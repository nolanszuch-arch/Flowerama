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nolan/Downloads/"/>
    </mc:Choice>
  </mc:AlternateContent>
  <xr:revisionPtr revIDLastSave="0" documentId="13_ncr:1_{EAD04D09-486A-9947-9412-EE949F8C9F37}" xr6:coauthVersionLast="47" xr6:coauthVersionMax="47" xr10:uidLastSave="{00000000-0000-0000-0000-000000000000}"/>
  <bookViews>
    <workbookView xWindow="0" yWindow="0" windowWidth="28800" windowHeight="16280" activeTab="4" xr2:uid="{2255E6D4-458C-49D4-A4B0-331784571C7C}"/>
  </bookViews>
  <sheets>
    <sheet name="Landing Sheet" sheetId="4" r:id="rId1"/>
    <sheet name="flatfeet" sheetId="11" r:id="rId2"/>
    <sheet name="Chance" sheetId="10" r:id="rId3"/>
    <sheet name="Assessment Sheet" sheetId="5" r:id="rId4"/>
    <sheet name="Pivot Tabels" sheetId="6" r:id="rId5"/>
    <sheet name="P&amp;L" sheetId="8" r:id="rId6"/>
    <sheet name="Sheet1" sheetId="9" r:id="rId7"/>
  </sheets>
  <definedNames>
    <definedName name="_xlchart.v1.0" hidden="1">'Pivot Tabels'!$T$33:$T$43</definedName>
    <definedName name="_xlchart.v1.1" hidden="1">'Pivot Tabels'!$U$33:$U$43</definedName>
    <definedName name="_xlchart.v1.2" hidden="1">'Pivot Tabels'!$T$33:$T$43</definedName>
    <definedName name="_xlchart.v1.3" hidden="1">'Pivot Tabels'!$U$33:$U$43</definedName>
  </definedNames>
  <calcPr calcId="191029" concurrentCalc="0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8" i="4" l="1"/>
  <c r="AM8" i="4"/>
  <c r="Y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45" i="11"/>
  <c r="Z246" i="11"/>
  <c r="Z247" i="11"/>
  <c r="Z248" i="11"/>
  <c r="Z249" i="11"/>
  <c r="Z250" i="11"/>
  <c r="Z251" i="11"/>
  <c r="Z252" i="11"/>
  <c r="Z253" i="11"/>
  <c r="Z254" i="11"/>
  <c r="Z255" i="11"/>
  <c r="Z256" i="11"/>
  <c r="Z257" i="11"/>
  <c r="Z258" i="11"/>
  <c r="Z259" i="11"/>
  <c r="Z260" i="11"/>
  <c r="Z261" i="11"/>
  <c r="Z262" i="11"/>
  <c r="Z263" i="11"/>
  <c r="Z264" i="11"/>
  <c r="Z265" i="11"/>
  <c r="Z266" i="11"/>
  <c r="Z267" i="11"/>
  <c r="Z268" i="11"/>
  <c r="Z269" i="11"/>
  <c r="Z270" i="11"/>
  <c r="Z271" i="11"/>
  <c r="Z272" i="11"/>
  <c r="Z273" i="11"/>
  <c r="Z274" i="11"/>
  <c r="Z275" i="11"/>
  <c r="Z276" i="11"/>
  <c r="Z277" i="11"/>
  <c r="Z278" i="11"/>
  <c r="Z279" i="11"/>
  <c r="Z280" i="11"/>
  <c r="Z281" i="11"/>
  <c r="Z282" i="11"/>
  <c r="Z283" i="11"/>
  <c r="Z284" i="11"/>
  <c r="Z285" i="11"/>
  <c r="Z286" i="11"/>
  <c r="Z287" i="11"/>
  <c r="Z288" i="11"/>
  <c r="Z289" i="11"/>
  <c r="Z290" i="11"/>
  <c r="Z291" i="11"/>
  <c r="Z292" i="11"/>
  <c r="Z293" i="11"/>
  <c r="Z294" i="11"/>
  <c r="Z295" i="11"/>
  <c r="Z296" i="11"/>
  <c r="Z297" i="11"/>
  <c r="Z298" i="11"/>
  <c r="Z299" i="11"/>
  <c r="Z300" i="11"/>
  <c r="Z301" i="11"/>
  <c r="Z302" i="11"/>
  <c r="Z303" i="11"/>
  <c r="Z304" i="11"/>
  <c r="Z305" i="11"/>
  <c r="Z306" i="11"/>
  <c r="Z307" i="11"/>
  <c r="Z308" i="11"/>
  <c r="Z309" i="11"/>
  <c r="Z310" i="11"/>
  <c r="Z311" i="11"/>
  <c r="Z312" i="11"/>
  <c r="Z313" i="11"/>
  <c r="Z314" i="11"/>
  <c r="Z315" i="11"/>
  <c r="Z316" i="11"/>
  <c r="Z317" i="11"/>
  <c r="Z318" i="11"/>
  <c r="Z319" i="11"/>
  <c r="Z320" i="11"/>
  <c r="Z321" i="11"/>
  <c r="Z322" i="11"/>
  <c r="Z323" i="11"/>
  <c r="Z324" i="11"/>
  <c r="Z325" i="11"/>
  <c r="Z326" i="11"/>
  <c r="Z327" i="11"/>
  <c r="Z328" i="11"/>
  <c r="Z329" i="11"/>
  <c r="Z330" i="11"/>
  <c r="Z331" i="11"/>
  <c r="Z332" i="11"/>
  <c r="Z333" i="11"/>
  <c r="Z334" i="11"/>
  <c r="Z335" i="11"/>
  <c r="Z336" i="11"/>
  <c r="Z337" i="11"/>
  <c r="Z338" i="11"/>
  <c r="Z339" i="11"/>
  <c r="Z340" i="11"/>
  <c r="Z341" i="11"/>
  <c r="Z342" i="11"/>
  <c r="Z343" i="11"/>
  <c r="Z344" i="11"/>
  <c r="Z345" i="11"/>
  <c r="Z346" i="11"/>
  <c r="Z347" i="11"/>
  <c r="Z348" i="11"/>
  <c r="Z349" i="11"/>
  <c r="Z350" i="11"/>
  <c r="Z351" i="11"/>
  <c r="Z352" i="11"/>
  <c r="Z353" i="11"/>
  <c r="Z354" i="11"/>
  <c r="Z355" i="11"/>
  <c r="Z356" i="11"/>
  <c r="Z357" i="11"/>
  <c r="Z358" i="11"/>
  <c r="Z359" i="11"/>
  <c r="Z360" i="11"/>
  <c r="Z361" i="11"/>
  <c r="Z362" i="11"/>
  <c r="Z363" i="11"/>
  <c r="Z364" i="11"/>
  <c r="Z365" i="11"/>
  <c r="Z366" i="11"/>
  <c r="Z367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157" i="1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Y172" i="11"/>
  <c r="Y173" i="1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Y189" i="11"/>
  <c r="Y190" i="11"/>
  <c r="Y191" i="11"/>
  <c r="Y192" i="11"/>
  <c r="Y193" i="11"/>
  <c r="Y194" i="11"/>
  <c r="Y195" i="11"/>
  <c r="Y196" i="11"/>
  <c r="Y197" i="11"/>
  <c r="Y198" i="11"/>
  <c r="Y199" i="11"/>
  <c r="Y200" i="11"/>
  <c r="Y201" i="11"/>
  <c r="Y202" i="11"/>
  <c r="Y203" i="11"/>
  <c r="Y204" i="11"/>
  <c r="Y205" i="11"/>
  <c r="Y206" i="11"/>
  <c r="Y207" i="11"/>
  <c r="Y208" i="11"/>
  <c r="Y209" i="11"/>
  <c r="Y210" i="11"/>
  <c r="Y211" i="11"/>
  <c r="Y212" i="11"/>
  <c r="Y213" i="11"/>
  <c r="Y214" i="11"/>
  <c r="Y215" i="11"/>
  <c r="Y216" i="11"/>
  <c r="Y217" i="11"/>
  <c r="Y218" i="11"/>
  <c r="Y219" i="11"/>
  <c r="Y220" i="11"/>
  <c r="Y221" i="11"/>
  <c r="Y222" i="11"/>
  <c r="Y223" i="11"/>
  <c r="Y224" i="11"/>
  <c r="Y225" i="11"/>
  <c r="Y226" i="11"/>
  <c r="Y227" i="11"/>
  <c r="Y228" i="11"/>
  <c r="Y229" i="11"/>
  <c r="Y230" i="11"/>
  <c r="Y231" i="11"/>
  <c r="Y232" i="11"/>
  <c r="Y233" i="11"/>
  <c r="Y234" i="11"/>
  <c r="Y235" i="11"/>
  <c r="Y236" i="11"/>
  <c r="Y237" i="11"/>
  <c r="Y238" i="11"/>
  <c r="Y239" i="11"/>
  <c r="Y240" i="11"/>
  <c r="Y241" i="11"/>
  <c r="Y242" i="11"/>
  <c r="Y243" i="11"/>
  <c r="Y244" i="11"/>
  <c r="Y245" i="11"/>
  <c r="Y246" i="11"/>
  <c r="Y247" i="11"/>
  <c r="Y248" i="11"/>
  <c r="Y249" i="11"/>
  <c r="Y250" i="11"/>
  <c r="Y251" i="11"/>
  <c r="Y252" i="11"/>
  <c r="Y253" i="11"/>
  <c r="Y254" i="11"/>
  <c r="Y255" i="11"/>
  <c r="Y256" i="11"/>
  <c r="Y257" i="11"/>
  <c r="Y258" i="11"/>
  <c r="Y259" i="11"/>
  <c r="Y260" i="11"/>
  <c r="Y261" i="11"/>
  <c r="Y262" i="11"/>
  <c r="Y263" i="11"/>
  <c r="Y264" i="11"/>
  <c r="Y265" i="11"/>
  <c r="Y266" i="11"/>
  <c r="Y267" i="11"/>
  <c r="Y268" i="11"/>
  <c r="Y269" i="11"/>
  <c r="Y270" i="11"/>
  <c r="Y271" i="11"/>
  <c r="Y272" i="11"/>
  <c r="Y273" i="11"/>
  <c r="Y274" i="11"/>
  <c r="Y275" i="11"/>
  <c r="Y276" i="11"/>
  <c r="Y277" i="11"/>
  <c r="Y278" i="11"/>
  <c r="Y279" i="11"/>
  <c r="Y280" i="11"/>
  <c r="Y281" i="11"/>
  <c r="Y282" i="11"/>
  <c r="Y283" i="11"/>
  <c r="Y284" i="11"/>
  <c r="Y285" i="11"/>
  <c r="Y286" i="11"/>
  <c r="Y287" i="11"/>
  <c r="Y288" i="11"/>
  <c r="Y289" i="11"/>
  <c r="Y290" i="11"/>
  <c r="Y291" i="11"/>
  <c r="Y292" i="11"/>
  <c r="Y293" i="11"/>
  <c r="Y294" i="11"/>
  <c r="Y295" i="11"/>
  <c r="Y296" i="11"/>
  <c r="Y297" i="11"/>
  <c r="Y298" i="11"/>
  <c r="Y299" i="11"/>
  <c r="Y300" i="11"/>
  <c r="Y301" i="11"/>
  <c r="Y302" i="11"/>
  <c r="Y303" i="11"/>
  <c r="Y304" i="11"/>
  <c r="Y305" i="11"/>
  <c r="Y306" i="11"/>
  <c r="Y307" i="11"/>
  <c r="Y308" i="11"/>
  <c r="Y309" i="11"/>
  <c r="Y310" i="11"/>
  <c r="Y311" i="11"/>
  <c r="Y312" i="11"/>
  <c r="Y313" i="11"/>
  <c r="Y314" i="11"/>
  <c r="Y315" i="11"/>
  <c r="Y316" i="11"/>
  <c r="Y317" i="11"/>
  <c r="Y318" i="11"/>
  <c r="Y319" i="11"/>
  <c r="Y320" i="11"/>
  <c r="Y321" i="11"/>
  <c r="Y322" i="11"/>
  <c r="Y323" i="11"/>
  <c r="Y324" i="11"/>
  <c r="Y325" i="11"/>
  <c r="Y326" i="11"/>
  <c r="Y327" i="11"/>
  <c r="Y328" i="11"/>
  <c r="Y329" i="11"/>
  <c r="Y330" i="11"/>
  <c r="Y331" i="11"/>
  <c r="Y332" i="11"/>
  <c r="Y333" i="11"/>
  <c r="Y334" i="11"/>
  <c r="Y335" i="11"/>
  <c r="Y336" i="11"/>
  <c r="Y337" i="11"/>
  <c r="Y338" i="11"/>
  <c r="Y339" i="11"/>
  <c r="Y340" i="11"/>
  <c r="Y341" i="11"/>
  <c r="Y342" i="11"/>
  <c r="Y343" i="11"/>
  <c r="Y344" i="11"/>
  <c r="Y345" i="11"/>
  <c r="Y346" i="11"/>
  <c r="Y347" i="11"/>
  <c r="Y348" i="11"/>
  <c r="Y349" i="11"/>
  <c r="Y350" i="11"/>
  <c r="Y351" i="11"/>
  <c r="Y352" i="11"/>
  <c r="Y353" i="11"/>
  <c r="Y354" i="11"/>
  <c r="Y355" i="11"/>
  <c r="Y356" i="11"/>
  <c r="Y357" i="11"/>
  <c r="Y358" i="11"/>
  <c r="Y359" i="11"/>
  <c r="Y360" i="11"/>
  <c r="Y361" i="11"/>
  <c r="Y362" i="11"/>
  <c r="Y363" i="11"/>
  <c r="Y364" i="11"/>
  <c r="Y365" i="11"/>
  <c r="Y366" i="11"/>
  <c r="Y367" i="11"/>
  <c r="Z2" i="1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O9" i="4"/>
  <c r="AM9" i="4"/>
  <c r="X26" i="6"/>
  <c r="X13" i="6"/>
  <c r="X14" i="6"/>
  <c r="X15" i="6"/>
  <c r="X16" i="6"/>
  <c r="X17" i="6"/>
  <c r="X18" i="6"/>
  <c r="X19" i="6"/>
  <c r="X20" i="6"/>
  <c r="X21" i="6"/>
  <c r="X22" i="6"/>
  <c r="X23" i="6"/>
  <c r="X12" i="6"/>
  <c r="W13" i="6"/>
  <c r="W14" i="6"/>
  <c r="W15" i="6"/>
  <c r="W16" i="6"/>
  <c r="W17" i="6"/>
  <c r="W18" i="6"/>
  <c r="W19" i="6"/>
  <c r="W20" i="6"/>
  <c r="W21" i="6"/>
  <c r="W22" i="6"/>
  <c r="W23" i="6"/>
  <c r="W12" i="6"/>
  <c r="U14" i="6"/>
  <c r="V23" i="6"/>
  <c r="T22" i="6"/>
  <c r="V22" i="6"/>
  <c r="V13" i="6"/>
  <c r="V14" i="6"/>
  <c r="V15" i="6"/>
  <c r="V16" i="6"/>
  <c r="V17" i="6"/>
  <c r="V18" i="6"/>
  <c r="V19" i="6"/>
  <c r="V20" i="6"/>
  <c r="V21" i="6"/>
  <c r="V12" i="6"/>
  <c r="T12" i="6"/>
  <c r="U12" i="6"/>
  <c r="U13" i="6"/>
  <c r="U15" i="6"/>
  <c r="U16" i="6"/>
  <c r="U17" i="6"/>
  <c r="U18" i="6"/>
  <c r="U19" i="6"/>
  <c r="U20" i="6"/>
  <c r="U21" i="6"/>
  <c r="U22" i="6"/>
  <c r="T13" i="6"/>
  <c r="T14" i="6"/>
  <c r="T15" i="6"/>
  <c r="T16" i="6"/>
  <c r="T17" i="6"/>
  <c r="T18" i="6"/>
  <c r="T19" i="6"/>
  <c r="T20" i="6"/>
  <c r="T21" i="6"/>
  <c r="Q6" i="6" a="1"/>
  <c r="Q6" i="6"/>
  <c r="Q13" i="6"/>
  <c r="Q12" i="6"/>
  <c r="Q11" i="6"/>
  <c r="Q7" i="6"/>
  <c r="Q8" i="6"/>
  <c r="Q9" i="6"/>
  <c r="Q10" i="6"/>
  <c r="Q14" i="6"/>
  <c r="Q15" i="6"/>
  <c r="Q16" i="6"/>
  <c r="Q17" i="6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9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8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336" i="10"/>
  <c r="Y337" i="10"/>
  <c r="Y338" i="10"/>
  <c r="Y339" i="10"/>
  <c r="Y340" i="10"/>
  <c r="Y341" i="10"/>
  <c r="Y342" i="10"/>
  <c r="Y34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Y364" i="10"/>
  <c r="Y365" i="10"/>
  <c r="Y366" i="10"/>
  <c r="Y367" i="10"/>
  <c r="Y368" i="10"/>
  <c r="Y369" i="10"/>
  <c r="Y370" i="10"/>
  <c r="Y371" i="10"/>
  <c r="Y372" i="10"/>
  <c r="Y373" i="10"/>
  <c r="Y9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P8" i="10"/>
  <c r="O8" i="10"/>
  <c r="M9" i="10"/>
  <c r="M10" i="10"/>
  <c r="M11" i="10"/>
  <c r="M12" i="10"/>
  <c r="M13" i="10"/>
  <c r="M14" i="10"/>
  <c r="AE14" i="10"/>
  <c r="M15" i="10"/>
  <c r="M16" i="10"/>
  <c r="M17" i="10"/>
  <c r="M18" i="10"/>
  <c r="M19" i="10"/>
  <c r="M20" i="10"/>
  <c r="U20" i="10"/>
  <c r="M21" i="10"/>
  <c r="M22" i="10"/>
  <c r="M23" i="10"/>
  <c r="M24" i="10"/>
  <c r="M25" i="10"/>
  <c r="M26" i="10"/>
  <c r="M27" i="10"/>
  <c r="M28" i="10"/>
  <c r="M29" i="10"/>
  <c r="U29" i="10"/>
  <c r="M30" i="10"/>
  <c r="AE30" i="10"/>
  <c r="M31" i="10"/>
  <c r="M32" i="10"/>
  <c r="M33" i="10"/>
  <c r="M34" i="10"/>
  <c r="M35" i="10"/>
  <c r="M36" i="10"/>
  <c r="M37" i="10"/>
  <c r="M38" i="10"/>
  <c r="AE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O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O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U112" i="10"/>
  <c r="M113" i="10"/>
  <c r="M114" i="10"/>
  <c r="M115" i="10"/>
  <c r="M116" i="10"/>
  <c r="M117" i="10"/>
  <c r="M118" i="10"/>
  <c r="M119" i="10"/>
  <c r="M120" i="10"/>
  <c r="AE120" i="10"/>
  <c r="M121" i="10"/>
  <c r="M122" i="10"/>
  <c r="M123" i="10"/>
  <c r="M124" i="10"/>
  <c r="U124" i="10"/>
  <c r="M125" i="10"/>
  <c r="M126" i="10"/>
  <c r="M127" i="10"/>
  <c r="M128" i="10"/>
  <c r="O128" i="10"/>
  <c r="M129" i="10"/>
  <c r="M130" i="10"/>
  <c r="M131" i="10"/>
  <c r="M132" i="10"/>
  <c r="O132" i="10"/>
  <c r="M133" i="10"/>
  <c r="AE133" i="10"/>
  <c r="M134" i="10"/>
  <c r="M135" i="10"/>
  <c r="M136" i="10"/>
  <c r="M137" i="10"/>
  <c r="M138" i="10"/>
  <c r="M139" i="10"/>
  <c r="M140" i="10"/>
  <c r="O140" i="10"/>
  <c r="M141" i="10"/>
  <c r="M142" i="10"/>
  <c r="M143" i="10"/>
  <c r="M144" i="10"/>
  <c r="M145" i="10"/>
  <c r="M146" i="10"/>
  <c r="M147" i="10"/>
  <c r="M148" i="10"/>
  <c r="M149" i="10"/>
  <c r="O149" i="10"/>
  <c r="P149" i="10"/>
  <c r="M150" i="10"/>
  <c r="O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O164" i="10"/>
  <c r="M165" i="10"/>
  <c r="M166" i="10"/>
  <c r="U166" i="10"/>
  <c r="M167" i="10"/>
  <c r="M168" i="10"/>
  <c r="M169" i="10"/>
  <c r="M170" i="10"/>
  <c r="M171" i="10"/>
  <c r="M172" i="10"/>
  <c r="M173" i="10"/>
  <c r="M174" i="10"/>
  <c r="AE174" i="10"/>
  <c r="M175" i="10"/>
  <c r="M176" i="10"/>
  <c r="M177" i="10"/>
  <c r="M178" i="10"/>
  <c r="M179" i="10"/>
  <c r="M180" i="10"/>
  <c r="AE180" i="10"/>
  <c r="M181" i="10"/>
  <c r="M182" i="10"/>
  <c r="M183" i="10"/>
  <c r="M184" i="10"/>
  <c r="U184" i="10"/>
  <c r="M185" i="10"/>
  <c r="M186" i="10"/>
  <c r="M187" i="10"/>
  <c r="M188" i="10"/>
  <c r="M189" i="10"/>
  <c r="AE189" i="10"/>
  <c r="M190" i="10"/>
  <c r="M191" i="10"/>
  <c r="M192" i="10"/>
  <c r="M193" i="10"/>
  <c r="M194" i="10"/>
  <c r="M195" i="10"/>
  <c r="M196" i="10"/>
  <c r="M197" i="10"/>
  <c r="U197" i="10"/>
  <c r="X197" i="10"/>
  <c r="M198" i="10"/>
  <c r="M199" i="10"/>
  <c r="M200" i="10"/>
  <c r="M201" i="10"/>
  <c r="M202" i="10"/>
  <c r="M203" i="10"/>
  <c r="M204" i="10"/>
  <c r="M205" i="10"/>
  <c r="M206" i="10"/>
  <c r="U206" i="10"/>
  <c r="M207" i="10"/>
  <c r="M208" i="10"/>
  <c r="M209" i="10"/>
  <c r="M210" i="10"/>
  <c r="M211" i="10"/>
  <c r="M212" i="10"/>
  <c r="M213" i="10"/>
  <c r="M214" i="10"/>
  <c r="U214" i="10"/>
  <c r="M215" i="10"/>
  <c r="M216" i="10"/>
  <c r="M217" i="10"/>
  <c r="M218" i="10"/>
  <c r="M219" i="10"/>
  <c r="M220" i="10"/>
  <c r="O220" i="10"/>
  <c r="M221" i="10"/>
  <c r="M222" i="10"/>
  <c r="M223" i="10"/>
  <c r="M224" i="10"/>
  <c r="M225" i="10"/>
  <c r="M226" i="10"/>
  <c r="M227" i="10"/>
  <c r="M228" i="10"/>
  <c r="O228" i="10"/>
  <c r="M229" i="10"/>
  <c r="M230" i="10"/>
  <c r="M231" i="10"/>
  <c r="M232" i="10"/>
  <c r="AE232" i="10"/>
  <c r="M233" i="10"/>
  <c r="M234" i="10"/>
  <c r="M235" i="10"/>
  <c r="M236" i="10"/>
  <c r="M237" i="10"/>
  <c r="M238" i="10"/>
  <c r="O238" i="10"/>
  <c r="M239" i="10"/>
  <c r="M240" i="10"/>
  <c r="O240" i="10"/>
  <c r="M241" i="10"/>
  <c r="M242" i="10"/>
  <c r="M243" i="10"/>
  <c r="M244" i="10"/>
  <c r="M245" i="10"/>
  <c r="M246" i="10"/>
  <c r="U246" i="10"/>
  <c r="M247" i="10"/>
  <c r="M248" i="10"/>
  <c r="AE248" i="10"/>
  <c r="M249" i="10"/>
  <c r="M250" i="10"/>
  <c r="M251" i="10"/>
  <c r="M252" i="10"/>
  <c r="M253" i="10"/>
  <c r="AE253" i="10"/>
  <c r="M254" i="10"/>
  <c r="M255" i="10"/>
  <c r="M256" i="10"/>
  <c r="AE256" i="10"/>
  <c r="M257" i="10"/>
  <c r="M258" i="10"/>
  <c r="M259" i="10"/>
  <c r="M260" i="10"/>
  <c r="O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AE272" i="10"/>
  <c r="M273" i="10"/>
  <c r="M274" i="10"/>
  <c r="M275" i="10"/>
  <c r="M276" i="10"/>
  <c r="O276" i="10"/>
  <c r="M277" i="10"/>
  <c r="AE277" i="10"/>
  <c r="M278" i="10"/>
  <c r="O278" i="10"/>
  <c r="M279" i="10"/>
  <c r="M280" i="10"/>
  <c r="M281" i="10"/>
  <c r="M282" i="10"/>
  <c r="M283" i="10"/>
  <c r="M284" i="10"/>
  <c r="M285" i="10"/>
  <c r="U285" i="10"/>
  <c r="M286" i="10"/>
  <c r="U286" i="10"/>
  <c r="M287" i="10"/>
  <c r="M288" i="10"/>
  <c r="U288" i="10"/>
  <c r="M289" i="10"/>
  <c r="M290" i="10"/>
  <c r="M291" i="10"/>
  <c r="M292" i="10"/>
  <c r="M293" i="10"/>
  <c r="M294" i="10"/>
  <c r="U294" i="10"/>
  <c r="M295" i="10"/>
  <c r="M296" i="10"/>
  <c r="AE296" i="10"/>
  <c r="M297" i="10"/>
  <c r="M298" i="10"/>
  <c r="M299" i="10"/>
  <c r="M300" i="10"/>
  <c r="M301" i="10"/>
  <c r="M302" i="10"/>
  <c r="M303" i="10"/>
  <c r="M304" i="10"/>
  <c r="AE304" i="10"/>
  <c r="M305" i="10"/>
  <c r="M306" i="10"/>
  <c r="M307" i="10"/>
  <c r="M308" i="10"/>
  <c r="M309" i="10"/>
  <c r="U309" i="10"/>
  <c r="M310" i="10"/>
  <c r="AE310" i="10"/>
  <c r="M311" i="10"/>
  <c r="M312" i="10"/>
  <c r="AE312" i="10"/>
  <c r="M313" i="10"/>
  <c r="M314" i="10"/>
  <c r="M315" i="10"/>
  <c r="M316" i="10"/>
  <c r="AE316" i="10"/>
  <c r="M317" i="10"/>
  <c r="M318" i="10"/>
  <c r="O318" i="10"/>
  <c r="M319" i="10"/>
  <c r="M320" i="10"/>
  <c r="AE320" i="10"/>
  <c r="M321" i="10"/>
  <c r="M322" i="10"/>
  <c r="M323" i="10"/>
  <c r="M324" i="10"/>
  <c r="U324" i="10"/>
  <c r="M325" i="10"/>
  <c r="M326" i="10"/>
  <c r="U326" i="10"/>
  <c r="M327" i="10"/>
  <c r="M328" i="10"/>
  <c r="M329" i="10"/>
  <c r="M330" i="10"/>
  <c r="M331" i="10"/>
  <c r="M332" i="10"/>
  <c r="U332" i="10"/>
  <c r="M333" i="10"/>
  <c r="M334" i="10"/>
  <c r="M335" i="10"/>
  <c r="M336" i="10"/>
  <c r="M337" i="10"/>
  <c r="M338" i="10"/>
  <c r="M339" i="10"/>
  <c r="M340" i="10"/>
  <c r="U340" i="10"/>
  <c r="M341" i="10"/>
  <c r="M342" i="10"/>
  <c r="AE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O358" i="10"/>
  <c r="M359" i="10"/>
  <c r="M360" i="10"/>
  <c r="M361" i="10"/>
  <c r="M362" i="10"/>
  <c r="M363" i="10"/>
  <c r="M364" i="10"/>
  <c r="M365" i="10"/>
  <c r="U365" i="10"/>
  <c r="M366" i="10"/>
  <c r="M367" i="10"/>
  <c r="M368" i="10"/>
  <c r="U368" i="10"/>
  <c r="X368" i="10"/>
  <c r="M369" i="10"/>
  <c r="M370" i="10"/>
  <c r="M371" i="10"/>
  <c r="M372" i="10"/>
  <c r="M373" i="10"/>
  <c r="M8" i="10"/>
  <c r="K316" i="10"/>
  <c r="K313" i="10"/>
  <c r="K314" i="10"/>
  <c r="K315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12" i="10"/>
  <c r="K202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189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8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12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4" i="10"/>
  <c r="AG235" i="10"/>
  <c r="AG236" i="10"/>
  <c r="AG237" i="10"/>
  <c r="AG238" i="10"/>
  <c r="AG239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90" i="10"/>
  <c r="AG291" i="10"/>
  <c r="AG292" i="10"/>
  <c r="AG293" i="10"/>
  <c r="AG294" i="10"/>
  <c r="AG295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189" i="10"/>
  <c r="AG4" i="10"/>
  <c r="AG240" i="10"/>
  <c r="AM373" i="10"/>
  <c r="AL373" i="10"/>
  <c r="AK373" i="10"/>
  <c r="AJ373" i="10"/>
  <c r="AI373" i="10"/>
  <c r="AH373" i="10"/>
  <c r="AF373" i="10"/>
  <c r="AD373" i="10"/>
  <c r="U373" i="10"/>
  <c r="AE373" i="10"/>
  <c r="AM372" i="10"/>
  <c r="AL372" i="10"/>
  <c r="AK372" i="10"/>
  <c r="AJ372" i="10"/>
  <c r="AI372" i="10"/>
  <c r="AH372" i="10"/>
  <c r="AF372" i="10"/>
  <c r="AD372" i="10"/>
  <c r="AM371" i="10"/>
  <c r="AL371" i="10"/>
  <c r="AK371" i="10"/>
  <c r="AJ371" i="10"/>
  <c r="AI371" i="10"/>
  <c r="AH371" i="10"/>
  <c r="AF371" i="10"/>
  <c r="AD371" i="10"/>
  <c r="AE371" i="10"/>
  <c r="AM370" i="10"/>
  <c r="AL370" i="10"/>
  <c r="AK370" i="10"/>
  <c r="AJ370" i="10"/>
  <c r="AI370" i="10"/>
  <c r="AH370" i="10"/>
  <c r="AF370" i="10"/>
  <c r="AD370" i="10"/>
  <c r="AM369" i="10"/>
  <c r="AL369" i="10"/>
  <c r="AK369" i="10"/>
  <c r="AJ369" i="10"/>
  <c r="AI369" i="10"/>
  <c r="AH369" i="10"/>
  <c r="AF369" i="10"/>
  <c r="AD369" i="10"/>
  <c r="AM368" i="10"/>
  <c r="AL368" i="10"/>
  <c r="AK368" i="10"/>
  <c r="AJ368" i="10"/>
  <c r="AI368" i="10"/>
  <c r="AH368" i="10"/>
  <c r="AF368" i="10"/>
  <c r="AD368" i="10"/>
  <c r="AM367" i="10"/>
  <c r="AL367" i="10"/>
  <c r="AK367" i="10"/>
  <c r="AJ367" i="10"/>
  <c r="AI367" i="10"/>
  <c r="AH367" i="10"/>
  <c r="AF367" i="10"/>
  <c r="AD367" i="10"/>
  <c r="AE367" i="10"/>
  <c r="AM366" i="10"/>
  <c r="AL366" i="10"/>
  <c r="AK366" i="10"/>
  <c r="AJ366" i="10"/>
  <c r="AI366" i="10"/>
  <c r="AH366" i="10"/>
  <c r="AF366" i="10"/>
  <c r="AD366" i="10"/>
  <c r="AM365" i="10"/>
  <c r="AL365" i="10"/>
  <c r="AK365" i="10"/>
  <c r="AJ365" i="10"/>
  <c r="AI365" i="10"/>
  <c r="AH365" i="10"/>
  <c r="AF365" i="10"/>
  <c r="AD365" i="10"/>
  <c r="AM364" i="10"/>
  <c r="AL364" i="10"/>
  <c r="AK364" i="10"/>
  <c r="AJ364" i="10"/>
  <c r="AI364" i="10"/>
  <c r="AH364" i="10"/>
  <c r="AF364" i="10"/>
  <c r="AD364" i="10"/>
  <c r="AM363" i="10"/>
  <c r="AL363" i="10"/>
  <c r="AK363" i="10"/>
  <c r="AJ363" i="10"/>
  <c r="AI363" i="10"/>
  <c r="AH363" i="10"/>
  <c r="AF363" i="10"/>
  <c r="AD363" i="10"/>
  <c r="AE363" i="10"/>
  <c r="AM362" i="10"/>
  <c r="AL362" i="10"/>
  <c r="AK362" i="10"/>
  <c r="AJ362" i="10"/>
  <c r="AI362" i="10"/>
  <c r="AH362" i="10"/>
  <c r="AF362" i="10"/>
  <c r="AN362" i="10"/>
  <c r="AD362" i="10"/>
  <c r="U362" i="10"/>
  <c r="X362" i="10"/>
  <c r="O362" i="10"/>
  <c r="AE362" i="10"/>
  <c r="AM361" i="10"/>
  <c r="AL361" i="10"/>
  <c r="AK361" i="10"/>
  <c r="AJ361" i="10"/>
  <c r="AI361" i="10"/>
  <c r="AH361" i="10"/>
  <c r="AF361" i="10"/>
  <c r="AE361" i="10"/>
  <c r="AD361" i="10"/>
  <c r="U361" i="10"/>
  <c r="O361" i="10"/>
  <c r="AM360" i="10"/>
  <c r="AL360" i="10"/>
  <c r="AK360" i="10"/>
  <c r="AJ360" i="10"/>
  <c r="AI360" i="10"/>
  <c r="AH360" i="10"/>
  <c r="AF360" i="10"/>
  <c r="AD360" i="10"/>
  <c r="AM359" i="10"/>
  <c r="AL359" i="10"/>
  <c r="AK359" i="10"/>
  <c r="AJ359" i="10"/>
  <c r="AI359" i="10"/>
  <c r="AH359" i="10"/>
  <c r="AF359" i="10"/>
  <c r="AD359" i="10"/>
  <c r="AM358" i="10"/>
  <c r="AL358" i="10"/>
  <c r="AK358" i="10"/>
  <c r="AJ358" i="10"/>
  <c r="AI358" i="10"/>
  <c r="AH358" i="10"/>
  <c r="AF358" i="10"/>
  <c r="AD358" i="10"/>
  <c r="AM357" i="10"/>
  <c r="AL357" i="10"/>
  <c r="AK357" i="10"/>
  <c r="AJ357" i="10"/>
  <c r="AI357" i="10"/>
  <c r="AH357" i="10"/>
  <c r="AF357" i="10"/>
  <c r="AD357" i="10"/>
  <c r="AM356" i="10"/>
  <c r="AL356" i="10"/>
  <c r="AK356" i="10"/>
  <c r="AJ356" i="10"/>
  <c r="AI356" i="10"/>
  <c r="AH356" i="10"/>
  <c r="AF356" i="10"/>
  <c r="AD356" i="10"/>
  <c r="AM355" i="10"/>
  <c r="AL355" i="10"/>
  <c r="AK355" i="10"/>
  <c r="AJ355" i="10"/>
  <c r="AI355" i="10"/>
  <c r="AH355" i="10"/>
  <c r="AF355" i="10"/>
  <c r="AD355" i="10"/>
  <c r="O355" i="10"/>
  <c r="AM354" i="10"/>
  <c r="AL354" i="10"/>
  <c r="AK354" i="10"/>
  <c r="AJ354" i="10"/>
  <c r="AI354" i="10"/>
  <c r="AH354" i="10"/>
  <c r="AF354" i="10"/>
  <c r="AD354" i="10"/>
  <c r="O354" i="10"/>
  <c r="AM353" i="10"/>
  <c r="AL353" i="10"/>
  <c r="AK353" i="10"/>
  <c r="AJ353" i="10"/>
  <c r="AI353" i="10"/>
  <c r="AH353" i="10"/>
  <c r="AF353" i="10"/>
  <c r="AD353" i="10"/>
  <c r="AM352" i="10"/>
  <c r="AL352" i="10"/>
  <c r="AK352" i="10"/>
  <c r="AJ352" i="10"/>
  <c r="AI352" i="10"/>
  <c r="AH352" i="10"/>
  <c r="AF352" i="10"/>
  <c r="AD352" i="10"/>
  <c r="AM351" i="10"/>
  <c r="AL351" i="10"/>
  <c r="AK351" i="10"/>
  <c r="AJ351" i="10"/>
  <c r="AI351" i="10"/>
  <c r="AH351" i="10"/>
  <c r="AF351" i="10"/>
  <c r="AD351" i="10"/>
  <c r="O351" i="10"/>
  <c r="AM350" i="10"/>
  <c r="AL350" i="10"/>
  <c r="AK350" i="10"/>
  <c r="AJ350" i="10"/>
  <c r="AI350" i="10"/>
  <c r="AH350" i="10"/>
  <c r="AF350" i="10"/>
  <c r="AD350" i="10"/>
  <c r="O350" i="10"/>
  <c r="AM349" i="10"/>
  <c r="AL349" i="10"/>
  <c r="AK349" i="10"/>
  <c r="AJ349" i="10"/>
  <c r="AI349" i="10"/>
  <c r="AH349" i="10"/>
  <c r="AF349" i="10"/>
  <c r="AD349" i="10"/>
  <c r="AM348" i="10"/>
  <c r="AL348" i="10"/>
  <c r="AK348" i="10"/>
  <c r="AJ348" i="10"/>
  <c r="AI348" i="10"/>
  <c r="AH348" i="10"/>
  <c r="AF348" i="10"/>
  <c r="AD348" i="10"/>
  <c r="AM347" i="10"/>
  <c r="AL347" i="10"/>
  <c r="AK347" i="10"/>
  <c r="AJ347" i="10"/>
  <c r="AI347" i="10"/>
  <c r="AH347" i="10"/>
  <c r="AF347" i="10"/>
  <c r="AD347" i="10"/>
  <c r="O347" i="10"/>
  <c r="P347" i="10"/>
  <c r="AM346" i="10"/>
  <c r="AL346" i="10"/>
  <c r="AK346" i="10"/>
  <c r="AJ346" i="10"/>
  <c r="AI346" i="10"/>
  <c r="AH346" i="10"/>
  <c r="AF346" i="10"/>
  <c r="AD346" i="10"/>
  <c r="AM345" i="10"/>
  <c r="AL345" i="10"/>
  <c r="AK345" i="10"/>
  <c r="AJ345" i="10"/>
  <c r="AI345" i="10"/>
  <c r="AH345" i="10"/>
  <c r="AF345" i="10"/>
  <c r="AE345" i="10"/>
  <c r="AD345" i="10"/>
  <c r="AM344" i="10"/>
  <c r="AL344" i="10"/>
  <c r="AK344" i="10"/>
  <c r="AJ344" i="10"/>
  <c r="AI344" i="10"/>
  <c r="AH344" i="10"/>
  <c r="AF344" i="10"/>
  <c r="AD344" i="10"/>
  <c r="AM343" i="10"/>
  <c r="AL343" i="10"/>
  <c r="AK343" i="10"/>
  <c r="AJ343" i="10"/>
  <c r="AI343" i="10"/>
  <c r="AH343" i="10"/>
  <c r="AF343" i="10"/>
  <c r="AE343" i="10"/>
  <c r="AD343" i="10"/>
  <c r="U343" i="10"/>
  <c r="AM342" i="10"/>
  <c r="AL342" i="10"/>
  <c r="AK342" i="10"/>
  <c r="AJ342" i="10"/>
  <c r="AI342" i="10"/>
  <c r="AH342" i="10"/>
  <c r="AF342" i="10"/>
  <c r="AD342" i="10"/>
  <c r="AM341" i="10"/>
  <c r="AL341" i="10"/>
  <c r="AK341" i="10"/>
  <c r="AJ341" i="10"/>
  <c r="AI341" i="10"/>
  <c r="AH341" i="10"/>
  <c r="AF341" i="10"/>
  <c r="AD341" i="10"/>
  <c r="AM340" i="10"/>
  <c r="AL340" i="10"/>
  <c r="AK340" i="10"/>
  <c r="AJ340" i="10"/>
  <c r="AI340" i="10"/>
  <c r="AH340" i="10"/>
  <c r="AF340" i="10"/>
  <c r="AE340" i="10"/>
  <c r="AD340" i="10"/>
  <c r="O340" i="10"/>
  <c r="AM339" i="10"/>
  <c r="AL339" i="10"/>
  <c r="AK339" i="10"/>
  <c r="AJ339" i="10"/>
  <c r="AI339" i="10"/>
  <c r="AH339" i="10"/>
  <c r="AF339" i="10"/>
  <c r="AD339" i="10"/>
  <c r="AM338" i="10"/>
  <c r="AL338" i="10"/>
  <c r="AK338" i="10"/>
  <c r="AJ338" i="10"/>
  <c r="AI338" i="10"/>
  <c r="AH338" i="10"/>
  <c r="AF338" i="10"/>
  <c r="AD338" i="10"/>
  <c r="AM337" i="10"/>
  <c r="AL337" i="10"/>
  <c r="AK337" i="10"/>
  <c r="AJ337" i="10"/>
  <c r="AI337" i="10"/>
  <c r="AH337" i="10"/>
  <c r="AF337" i="10"/>
  <c r="AE337" i="10"/>
  <c r="AD337" i="10"/>
  <c r="U337" i="10"/>
  <c r="AM336" i="10"/>
  <c r="AL336" i="10"/>
  <c r="AK336" i="10"/>
  <c r="AJ336" i="10"/>
  <c r="AI336" i="10"/>
  <c r="AH336" i="10"/>
  <c r="AF336" i="10"/>
  <c r="AD336" i="10"/>
  <c r="AM335" i="10"/>
  <c r="AL335" i="10"/>
  <c r="AK335" i="10"/>
  <c r="AJ335" i="10"/>
  <c r="AI335" i="10"/>
  <c r="AH335" i="10"/>
  <c r="AF335" i="10"/>
  <c r="AE335" i="10"/>
  <c r="AD335" i="10"/>
  <c r="U335" i="10"/>
  <c r="AM334" i="10"/>
  <c r="AL334" i="10"/>
  <c r="AK334" i="10"/>
  <c r="AJ334" i="10"/>
  <c r="AI334" i="10"/>
  <c r="AH334" i="10"/>
  <c r="AF334" i="10"/>
  <c r="AD334" i="10"/>
  <c r="AM333" i="10"/>
  <c r="AL333" i="10"/>
  <c r="AK333" i="10"/>
  <c r="AJ333" i="10"/>
  <c r="AI333" i="10"/>
  <c r="AH333" i="10"/>
  <c r="AF333" i="10"/>
  <c r="AD333" i="10"/>
  <c r="AM332" i="10"/>
  <c r="AL332" i="10"/>
  <c r="AK332" i="10"/>
  <c r="AJ332" i="10"/>
  <c r="AI332" i="10"/>
  <c r="AH332" i="10"/>
  <c r="AF332" i="10"/>
  <c r="AD332" i="10"/>
  <c r="AM331" i="10"/>
  <c r="AL331" i="10"/>
  <c r="AK331" i="10"/>
  <c r="AJ331" i="10"/>
  <c r="AI331" i="10"/>
  <c r="AH331" i="10"/>
  <c r="AF331" i="10"/>
  <c r="AD331" i="10"/>
  <c r="O331" i="10"/>
  <c r="AM330" i="10"/>
  <c r="AL330" i="10"/>
  <c r="AK330" i="10"/>
  <c r="AJ330" i="10"/>
  <c r="AI330" i="10"/>
  <c r="AH330" i="10"/>
  <c r="AF330" i="10"/>
  <c r="AD330" i="10"/>
  <c r="AM329" i="10"/>
  <c r="AL329" i="10"/>
  <c r="AK329" i="10"/>
  <c r="AJ329" i="10"/>
  <c r="AI329" i="10"/>
  <c r="AH329" i="10"/>
  <c r="AF329" i="10"/>
  <c r="AD329" i="10"/>
  <c r="AM328" i="10"/>
  <c r="AL328" i="10"/>
  <c r="AK328" i="10"/>
  <c r="AJ328" i="10"/>
  <c r="AI328" i="10"/>
  <c r="AH328" i="10"/>
  <c r="AF328" i="10"/>
  <c r="AD328" i="10"/>
  <c r="O328" i="10"/>
  <c r="AM327" i="10"/>
  <c r="AL327" i="10"/>
  <c r="AK327" i="10"/>
  <c r="AJ327" i="10"/>
  <c r="AI327" i="10"/>
  <c r="AH327" i="10"/>
  <c r="AF327" i="10"/>
  <c r="AE327" i="10"/>
  <c r="AD327" i="10"/>
  <c r="U327" i="10"/>
  <c r="AM326" i="10"/>
  <c r="AL326" i="10"/>
  <c r="AK326" i="10"/>
  <c r="AJ326" i="10"/>
  <c r="AI326" i="10"/>
  <c r="AH326" i="10"/>
  <c r="AF326" i="10"/>
  <c r="AD326" i="10"/>
  <c r="AM325" i="10"/>
  <c r="AL325" i="10"/>
  <c r="AK325" i="10"/>
  <c r="AJ325" i="10"/>
  <c r="AI325" i="10"/>
  <c r="AH325" i="10"/>
  <c r="AF325" i="10"/>
  <c r="AD325" i="10"/>
  <c r="AM324" i="10"/>
  <c r="AL324" i="10"/>
  <c r="AK324" i="10"/>
  <c r="AJ324" i="10"/>
  <c r="AI324" i="10"/>
  <c r="AH324" i="10"/>
  <c r="AF324" i="10"/>
  <c r="AE324" i="10"/>
  <c r="AD324" i="10"/>
  <c r="AM323" i="10"/>
  <c r="AL323" i="10"/>
  <c r="AK323" i="10"/>
  <c r="AJ323" i="10"/>
  <c r="AI323" i="10"/>
  <c r="AH323" i="10"/>
  <c r="AF323" i="10"/>
  <c r="AE323" i="10"/>
  <c r="AD323" i="10"/>
  <c r="U323" i="10"/>
  <c r="AM322" i="10"/>
  <c r="AL322" i="10"/>
  <c r="AK322" i="10"/>
  <c r="AJ322" i="10"/>
  <c r="AI322" i="10"/>
  <c r="AH322" i="10"/>
  <c r="AF322" i="10"/>
  <c r="AD322" i="10"/>
  <c r="AM321" i="10"/>
  <c r="AL321" i="10"/>
  <c r="AK321" i="10"/>
  <c r="AJ321" i="10"/>
  <c r="AI321" i="10"/>
  <c r="AH321" i="10"/>
  <c r="AF321" i="10"/>
  <c r="AD321" i="10"/>
  <c r="AM320" i="10"/>
  <c r="AL320" i="10"/>
  <c r="AK320" i="10"/>
  <c r="AJ320" i="10"/>
  <c r="AI320" i="10"/>
  <c r="AH320" i="10"/>
  <c r="AF320" i="10"/>
  <c r="AD320" i="10"/>
  <c r="U320" i="10"/>
  <c r="O320" i="10"/>
  <c r="AM319" i="10"/>
  <c r="AL319" i="10"/>
  <c r="AK319" i="10"/>
  <c r="AJ319" i="10"/>
  <c r="AI319" i="10"/>
  <c r="AH319" i="10"/>
  <c r="AF319" i="10"/>
  <c r="AD319" i="10"/>
  <c r="AM318" i="10"/>
  <c r="AL318" i="10"/>
  <c r="AK318" i="10"/>
  <c r="AJ318" i="10"/>
  <c r="AI318" i="10"/>
  <c r="AH318" i="10"/>
  <c r="AF318" i="10"/>
  <c r="AE318" i="10"/>
  <c r="AD318" i="10"/>
  <c r="AM317" i="10"/>
  <c r="AL317" i="10"/>
  <c r="AK317" i="10"/>
  <c r="AJ317" i="10"/>
  <c r="AI317" i="10"/>
  <c r="AH317" i="10"/>
  <c r="AF317" i="10"/>
  <c r="AD317" i="10"/>
  <c r="AM316" i="10"/>
  <c r="AL316" i="10"/>
  <c r="AK316" i="10"/>
  <c r="AJ316" i="10"/>
  <c r="AI316" i="10"/>
  <c r="AH316" i="10"/>
  <c r="AF316" i="10"/>
  <c r="AD316" i="10"/>
  <c r="O316" i="10"/>
  <c r="AM315" i="10"/>
  <c r="AL315" i="10"/>
  <c r="AK315" i="10"/>
  <c r="AJ315" i="10"/>
  <c r="AI315" i="10"/>
  <c r="AH315" i="10"/>
  <c r="AF315" i="10"/>
  <c r="AD315" i="10"/>
  <c r="AM314" i="10"/>
  <c r="AL314" i="10"/>
  <c r="AK314" i="10"/>
  <c r="AJ314" i="10"/>
  <c r="AI314" i="10"/>
  <c r="AH314" i="10"/>
  <c r="AF314" i="10"/>
  <c r="AE314" i="10"/>
  <c r="AD314" i="10"/>
  <c r="O314" i="10"/>
  <c r="AM313" i="10"/>
  <c r="AL313" i="10"/>
  <c r="AK313" i="10"/>
  <c r="AJ313" i="10"/>
  <c r="AI313" i="10"/>
  <c r="AH313" i="10"/>
  <c r="AF313" i="10"/>
  <c r="AD313" i="10"/>
  <c r="AM312" i="10"/>
  <c r="AL312" i="10"/>
  <c r="AK312" i="10"/>
  <c r="AJ312" i="10"/>
  <c r="AI312" i="10"/>
  <c r="AH312" i="10"/>
  <c r="AF312" i="10"/>
  <c r="AD312" i="10"/>
  <c r="O312" i="10"/>
  <c r="AM311" i="10"/>
  <c r="AL311" i="10"/>
  <c r="AK311" i="10"/>
  <c r="AJ311" i="10"/>
  <c r="AI311" i="10"/>
  <c r="AH311" i="10"/>
  <c r="AF311" i="10"/>
  <c r="AD311" i="10"/>
  <c r="U311" i="10"/>
  <c r="AM310" i="10"/>
  <c r="AL310" i="10"/>
  <c r="AK310" i="10"/>
  <c r="AJ310" i="10"/>
  <c r="AI310" i="10"/>
  <c r="AH310" i="10"/>
  <c r="AF310" i="10"/>
  <c r="AD310" i="10"/>
  <c r="AM309" i="10"/>
  <c r="AL309" i="10"/>
  <c r="AK309" i="10"/>
  <c r="AJ309" i="10"/>
  <c r="AI309" i="10"/>
  <c r="AH309" i="10"/>
  <c r="AF309" i="10"/>
  <c r="AE309" i="10"/>
  <c r="AD309" i="10"/>
  <c r="AM308" i="10"/>
  <c r="AL308" i="10"/>
  <c r="AK308" i="10"/>
  <c r="AJ308" i="10"/>
  <c r="AI308" i="10"/>
  <c r="AH308" i="10"/>
  <c r="AF308" i="10"/>
  <c r="AD308" i="10"/>
  <c r="U308" i="10"/>
  <c r="AM307" i="10"/>
  <c r="AL307" i="10"/>
  <c r="AK307" i="10"/>
  <c r="AJ307" i="10"/>
  <c r="AI307" i="10"/>
  <c r="AH307" i="10"/>
  <c r="AF307" i="10"/>
  <c r="AD307" i="10"/>
  <c r="AE307" i="10"/>
  <c r="AM306" i="10"/>
  <c r="AL306" i="10"/>
  <c r="AK306" i="10"/>
  <c r="AJ306" i="10"/>
  <c r="AI306" i="10"/>
  <c r="AH306" i="10"/>
  <c r="AF306" i="10"/>
  <c r="AE306" i="10"/>
  <c r="AD306" i="10"/>
  <c r="U306" i="10"/>
  <c r="O306" i="10"/>
  <c r="AM305" i="10"/>
  <c r="AL305" i="10"/>
  <c r="AK305" i="10"/>
  <c r="AJ305" i="10"/>
  <c r="AI305" i="10"/>
  <c r="AH305" i="10"/>
  <c r="AF305" i="10"/>
  <c r="AD305" i="10"/>
  <c r="AM304" i="10"/>
  <c r="AL304" i="10"/>
  <c r="AK304" i="10"/>
  <c r="AJ304" i="10"/>
  <c r="AI304" i="10"/>
  <c r="AH304" i="10"/>
  <c r="AF304" i="10"/>
  <c r="AD304" i="10"/>
  <c r="O304" i="10"/>
  <c r="AM303" i="10"/>
  <c r="AL303" i="10"/>
  <c r="AK303" i="10"/>
  <c r="AJ303" i="10"/>
  <c r="AI303" i="10"/>
  <c r="AH303" i="10"/>
  <c r="AF303" i="10"/>
  <c r="AD303" i="10"/>
  <c r="U303" i="10"/>
  <c r="AM302" i="10"/>
  <c r="AL302" i="10"/>
  <c r="AK302" i="10"/>
  <c r="AJ302" i="10"/>
  <c r="AI302" i="10"/>
  <c r="AH302" i="10"/>
  <c r="AF302" i="10"/>
  <c r="AE302" i="10"/>
  <c r="AD302" i="10"/>
  <c r="AM301" i="10"/>
  <c r="AL301" i="10"/>
  <c r="AK301" i="10"/>
  <c r="AJ301" i="10"/>
  <c r="AI301" i="10"/>
  <c r="AH301" i="10"/>
  <c r="AF301" i="10"/>
  <c r="AD301" i="10"/>
  <c r="AM300" i="10"/>
  <c r="AL300" i="10"/>
  <c r="AK300" i="10"/>
  <c r="AJ300" i="10"/>
  <c r="AI300" i="10"/>
  <c r="AH300" i="10"/>
  <c r="AF300" i="10"/>
  <c r="AD300" i="10"/>
  <c r="AM299" i="10"/>
  <c r="AL299" i="10"/>
  <c r="AK299" i="10"/>
  <c r="AJ299" i="10"/>
  <c r="AI299" i="10"/>
  <c r="AH299" i="10"/>
  <c r="AF299" i="10"/>
  <c r="AD299" i="10"/>
  <c r="AM298" i="10"/>
  <c r="AL298" i="10"/>
  <c r="AK298" i="10"/>
  <c r="AJ298" i="10"/>
  <c r="AI298" i="10"/>
  <c r="AH298" i="10"/>
  <c r="AF298" i="10"/>
  <c r="AD298" i="10"/>
  <c r="AM297" i="10"/>
  <c r="AL297" i="10"/>
  <c r="AK297" i="10"/>
  <c r="AJ297" i="10"/>
  <c r="AI297" i="10"/>
  <c r="AH297" i="10"/>
  <c r="AF297" i="10"/>
  <c r="AE297" i="10"/>
  <c r="AD297" i="10"/>
  <c r="U297" i="10"/>
  <c r="P297" i="10"/>
  <c r="O297" i="10"/>
  <c r="AM296" i="10"/>
  <c r="AL296" i="10"/>
  <c r="AK296" i="10"/>
  <c r="AJ296" i="10"/>
  <c r="AI296" i="10"/>
  <c r="AH296" i="10"/>
  <c r="AF296" i="10"/>
  <c r="AD296" i="10"/>
  <c r="AM295" i="10"/>
  <c r="AL295" i="10"/>
  <c r="AK295" i="10"/>
  <c r="AJ295" i="10"/>
  <c r="AI295" i="10"/>
  <c r="AH295" i="10"/>
  <c r="AF295" i="10"/>
  <c r="AD295" i="10"/>
  <c r="AM294" i="10"/>
  <c r="AL294" i="10"/>
  <c r="AK294" i="10"/>
  <c r="AJ294" i="10"/>
  <c r="AI294" i="10"/>
  <c r="AH294" i="10"/>
  <c r="AF294" i="10"/>
  <c r="AE294" i="10"/>
  <c r="AD294" i="10"/>
  <c r="AM293" i="10"/>
  <c r="AL293" i="10"/>
  <c r="AK293" i="10"/>
  <c r="AJ293" i="10"/>
  <c r="AI293" i="10"/>
  <c r="AH293" i="10"/>
  <c r="AF293" i="10"/>
  <c r="AD293" i="10"/>
  <c r="AM292" i="10"/>
  <c r="AL292" i="10"/>
  <c r="AK292" i="10"/>
  <c r="AJ292" i="10"/>
  <c r="AI292" i="10"/>
  <c r="AH292" i="10"/>
  <c r="AF292" i="10"/>
  <c r="AD292" i="10"/>
  <c r="AM291" i="10"/>
  <c r="AL291" i="10"/>
  <c r="AK291" i="10"/>
  <c r="AJ291" i="10"/>
  <c r="AI291" i="10"/>
  <c r="AH291" i="10"/>
  <c r="AF291" i="10"/>
  <c r="AD291" i="10"/>
  <c r="AM290" i="10"/>
  <c r="AL290" i="10"/>
  <c r="AK290" i="10"/>
  <c r="AJ290" i="10"/>
  <c r="AI290" i="10"/>
  <c r="AH290" i="10"/>
  <c r="AF290" i="10"/>
  <c r="AE290" i="10"/>
  <c r="AD290" i="10"/>
  <c r="U290" i="10"/>
  <c r="O290" i="10"/>
  <c r="AM289" i="10"/>
  <c r="AL289" i="10"/>
  <c r="AK289" i="10"/>
  <c r="AJ289" i="10"/>
  <c r="AI289" i="10"/>
  <c r="AH289" i="10"/>
  <c r="AF289" i="10"/>
  <c r="AE289" i="10"/>
  <c r="AD289" i="10"/>
  <c r="O289" i="10"/>
  <c r="P289" i="10"/>
  <c r="AM288" i="10"/>
  <c r="AL288" i="10"/>
  <c r="AK288" i="10"/>
  <c r="AJ288" i="10"/>
  <c r="AI288" i="10"/>
  <c r="AH288" i="10"/>
  <c r="AF288" i="10"/>
  <c r="AE288" i="10"/>
  <c r="AD288" i="10"/>
  <c r="AM287" i="10"/>
  <c r="AL287" i="10"/>
  <c r="AK287" i="10"/>
  <c r="AJ287" i="10"/>
  <c r="AI287" i="10"/>
  <c r="AH287" i="10"/>
  <c r="AF287" i="10"/>
  <c r="AD287" i="10"/>
  <c r="O287" i="10"/>
  <c r="P287" i="10"/>
  <c r="AM286" i="10"/>
  <c r="AL286" i="10"/>
  <c r="AK286" i="10"/>
  <c r="AJ286" i="10"/>
  <c r="AI286" i="10"/>
  <c r="AH286" i="10"/>
  <c r="AF286" i="10"/>
  <c r="AE286" i="10"/>
  <c r="AD286" i="10"/>
  <c r="AM285" i="10"/>
  <c r="AL285" i="10"/>
  <c r="AK285" i="10"/>
  <c r="AJ285" i="10"/>
  <c r="AI285" i="10"/>
  <c r="AH285" i="10"/>
  <c r="AF285" i="10"/>
  <c r="AD285" i="10"/>
  <c r="AM284" i="10"/>
  <c r="AL284" i="10"/>
  <c r="AK284" i="10"/>
  <c r="AJ284" i="10"/>
  <c r="AI284" i="10"/>
  <c r="AH284" i="10"/>
  <c r="AF284" i="10"/>
  <c r="AD284" i="10"/>
  <c r="AM283" i="10"/>
  <c r="AL283" i="10"/>
  <c r="AK283" i="10"/>
  <c r="AJ283" i="10"/>
  <c r="AI283" i="10"/>
  <c r="AH283" i="10"/>
  <c r="AF283" i="10"/>
  <c r="AE283" i="10"/>
  <c r="AD283" i="10"/>
  <c r="AM282" i="10"/>
  <c r="AL282" i="10"/>
  <c r="AK282" i="10"/>
  <c r="AJ282" i="10"/>
  <c r="AI282" i="10"/>
  <c r="AH282" i="10"/>
  <c r="AF282" i="10"/>
  <c r="AE282" i="10"/>
  <c r="AD282" i="10"/>
  <c r="U282" i="10"/>
  <c r="O282" i="10"/>
  <c r="AM281" i="10"/>
  <c r="AL281" i="10"/>
  <c r="AK281" i="10"/>
  <c r="AJ281" i="10"/>
  <c r="AI281" i="10"/>
  <c r="AH281" i="10"/>
  <c r="AF281" i="10"/>
  <c r="AD281" i="10"/>
  <c r="AM280" i="10"/>
  <c r="AL280" i="10"/>
  <c r="AK280" i="10"/>
  <c r="AJ280" i="10"/>
  <c r="AI280" i="10"/>
  <c r="AH280" i="10"/>
  <c r="AF280" i="10"/>
  <c r="AD280" i="10"/>
  <c r="AM279" i="10"/>
  <c r="AL279" i="10"/>
  <c r="AK279" i="10"/>
  <c r="AJ279" i="10"/>
  <c r="AI279" i="10"/>
  <c r="AH279" i="10"/>
  <c r="AF279" i="10"/>
  <c r="AE279" i="10"/>
  <c r="AD279" i="10"/>
  <c r="U279" i="10"/>
  <c r="AM278" i="10"/>
  <c r="AL278" i="10"/>
  <c r="AK278" i="10"/>
  <c r="AJ278" i="10"/>
  <c r="AI278" i="10"/>
  <c r="AH278" i="10"/>
  <c r="AF278" i="10"/>
  <c r="AE278" i="10"/>
  <c r="AD278" i="10"/>
  <c r="AM277" i="10"/>
  <c r="AL277" i="10"/>
  <c r="AK277" i="10"/>
  <c r="AJ277" i="10"/>
  <c r="AI277" i="10"/>
  <c r="AH277" i="10"/>
  <c r="AF277" i="10"/>
  <c r="AD277" i="10"/>
  <c r="U277" i="10"/>
  <c r="AM276" i="10"/>
  <c r="AL276" i="10"/>
  <c r="AK276" i="10"/>
  <c r="AJ276" i="10"/>
  <c r="AI276" i="10"/>
  <c r="AH276" i="10"/>
  <c r="AF276" i="10"/>
  <c r="AD276" i="10"/>
  <c r="AM275" i="10"/>
  <c r="AL275" i="10"/>
  <c r="AK275" i="10"/>
  <c r="AJ275" i="10"/>
  <c r="AI275" i="10"/>
  <c r="AH275" i="10"/>
  <c r="AF275" i="10"/>
  <c r="AE275" i="10"/>
  <c r="AD275" i="10"/>
  <c r="O275" i="10"/>
  <c r="AM274" i="10"/>
  <c r="AL274" i="10"/>
  <c r="AK274" i="10"/>
  <c r="AJ274" i="10"/>
  <c r="AI274" i="10"/>
  <c r="AH274" i="10"/>
  <c r="AF274" i="10"/>
  <c r="AE274" i="10"/>
  <c r="AD274" i="10"/>
  <c r="U274" i="10"/>
  <c r="O274" i="10"/>
  <c r="AM273" i="10"/>
  <c r="AL273" i="10"/>
  <c r="AK273" i="10"/>
  <c r="AJ273" i="10"/>
  <c r="AI273" i="10"/>
  <c r="AH273" i="10"/>
  <c r="AF273" i="10"/>
  <c r="AD273" i="10"/>
  <c r="AM272" i="10"/>
  <c r="AL272" i="10"/>
  <c r="AK272" i="10"/>
  <c r="AJ272" i="10"/>
  <c r="AI272" i="10"/>
  <c r="AH272" i="10"/>
  <c r="AF272" i="10"/>
  <c r="AD272" i="10"/>
  <c r="U272" i="10"/>
  <c r="O272" i="10"/>
  <c r="AM271" i="10"/>
  <c r="AL271" i="10"/>
  <c r="AK271" i="10"/>
  <c r="AJ271" i="10"/>
  <c r="AI271" i="10"/>
  <c r="AH271" i="10"/>
  <c r="AF271" i="10"/>
  <c r="AE271" i="10"/>
  <c r="AD271" i="10"/>
  <c r="U271" i="10"/>
  <c r="AM270" i="10"/>
  <c r="AL270" i="10"/>
  <c r="AK270" i="10"/>
  <c r="AJ270" i="10"/>
  <c r="AI270" i="10"/>
  <c r="AH270" i="10"/>
  <c r="AF270" i="10"/>
  <c r="AD270" i="10"/>
  <c r="AM269" i="10"/>
  <c r="AL269" i="10"/>
  <c r="AK269" i="10"/>
  <c r="AJ269" i="10"/>
  <c r="AI269" i="10"/>
  <c r="AH269" i="10"/>
  <c r="AF269" i="10"/>
  <c r="AD269" i="10"/>
  <c r="AM268" i="10"/>
  <c r="AL268" i="10"/>
  <c r="AK268" i="10"/>
  <c r="AJ268" i="10"/>
  <c r="AI268" i="10"/>
  <c r="AH268" i="10"/>
  <c r="AF268" i="10"/>
  <c r="AD268" i="10"/>
  <c r="U268" i="10"/>
  <c r="AM267" i="10"/>
  <c r="AL267" i="10"/>
  <c r="AK267" i="10"/>
  <c r="AJ267" i="10"/>
  <c r="AI267" i="10"/>
  <c r="AH267" i="10"/>
  <c r="AF267" i="10"/>
  <c r="AD267" i="10"/>
  <c r="O267" i="10"/>
  <c r="P267" i="10"/>
  <c r="AE267" i="10"/>
  <c r="AM266" i="10"/>
  <c r="AL266" i="10"/>
  <c r="AK266" i="10"/>
  <c r="AJ266" i="10"/>
  <c r="AI266" i="10"/>
  <c r="AH266" i="10"/>
  <c r="AF266" i="10"/>
  <c r="AD266" i="10"/>
  <c r="AM265" i="10"/>
  <c r="AL265" i="10"/>
  <c r="AK265" i="10"/>
  <c r="AJ265" i="10"/>
  <c r="AI265" i="10"/>
  <c r="AH265" i="10"/>
  <c r="AF265" i="10"/>
  <c r="AD265" i="10"/>
  <c r="AE265" i="10"/>
  <c r="AM264" i="10"/>
  <c r="AL264" i="10"/>
  <c r="AK264" i="10"/>
  <c r="AJ264" i="10"/>
  <c r="AI264" i="10"/>
  <c r="AH264" i="10"/>
  <c r="AF264" i="10"/>
  <c r="AD264" i="10"/>
  <c r="AM263" i="10"/>
  <c r="AL263" i="10"/>
  <c r="AK263" i="10"/>
  <c r="AJ263" i="10"/>
  <c r="AI263" i="10"/>
  <c r="AH263" i="10"/>
  <c r="AF263" i="10"/>
  <c r="AE263" i="10"/>
  <c r="AD263" i="10"/>
  <c r="AM262" i="10"/>
  <c r="AL262" i="10"/>
  <c r="AK262" i="10"/>
  <c r="AJ262" i="10"/>
  <c r="AI262" i="10"/>
  <c r="AH262" i="10"/>
  <c r="AF262" i="10"/>
  <c r="AD262" i="10"/>
  <c r="AM261" i="10"/>
  <c r="AL261" i="10"/>
  <c r="AK261" i="10"/>
  <c r="AJ261" i="10"/>
  <c r="AI261" i="10"/>
  <c r="AH261" i="10"/>
  <c r="AF261" i="10"/>
  <c r="AE261" i="10"/>
  <c r="AD261" i="10"/>
  <c r="AM260" i="10"/>
  <c r="AL260" i="10"/>
  <c r="AK260" i="10"/>
  <c r="AJ260" i="10"/>
  <c r="AI260" i="10"/>
  <c r="AH260" i="10"/>
  <c r="AF260" i="10"/>
  <c r="AE260" i="10"/>
  <c r="AD260" i="10"/>
  <c r="AM259" i="10"/>
  <c r="AL259" i="10"/>
  <c r="AK259" i="10"/>
  <c r="AJ259" i="10"/>
  <c r="AI259" i="10"/>
  <c r="AH259" i="10"/>
  <c r="AF259" i="10"/>
  <c r="AD259" i="10"/>
  <c r="O259" i="10"/>
  <c r="AM258" i="10"/>
  <c r="AL258" i="10"/>
  <c r="AK258" i="10"/>
  <c r="AJ258" i="10"/>
  <c r="AI258" i="10"/>
  <c r="AH258" i="10"/>
  <c r="AF258" i="10"/>
  <c r="AD258" i="10"/>
  <c r="U258" i="10"/>
  <c r="AM257" i="10"/>
  <c r="AL257" i="10"/>
  <c r="AK257" i="10"/>
  <c r="AJ257" i="10"/>
  <c r="AI257" i="10"/>
  <c r="AH257" i="10"/>
  <c r="AF257" i="10"/>
  <c r="AD257" i="10"/>
  <c r="AM256" i="10"/>
  <c r="AL256" i="10"/>
  <c r="AK256" i="10"/>
  <c r="AJ256" i="10"/>
  <c r="AI256" i="10"/>
  <c r="AH256" i="10"/>
  <c r="AF256" i="10"/>
  <c r="AD256" i="10"/>
  <c r="U256" i="10"/>
  <c r="O256" i="10"/>
  <c r="Z256" i="10"/>
  <c r="AM255" i="10"/>
  <c r="AL255" i="10"/>
  <c r="AK255" i="10"/>
  <c r="AJ255" i="10"/>
  <c r="AI255" i="10"/>
  <c r="AH255" i="10"/>
  <c r="AF255" i="10"/>
  <c r="AD255" i="10"/>
  <c r="U255" i="10"/>
  <c r="O255" i="10"/>
  <c r="Z255" i="10"/>
  <c r="AM254" i="10"/>
  <c r="AL254" i="10"/>
  <c r="AK254" i="10"/>
  <c r="AJ254" i="10"/>
  <c r="AI254" i="10"/>
  <c r="AH254" i="10"/>
  <c r="AF254" i="10"/>
  <c r="AD254" i="10"/>
  <c r="AM253" i="10"/>
  <c r="AL253" i="10"/>
  <c r="AK253" i="10"/>
  <c r="AJ253" i="10"/>
  <c r="AI253" i="10"/>
  <c r="AH253" i="10"/>
  <c r="AF253" i="10"/>
  <c r="AD253" i="10"/>
  <c r="U253" i="10"/>
  <c r="AM252" i="10"/>
  <c r="AL252" i="10"/>
  <c r="AK252" i="10"/>
  <c r="AJ252" i="10"/>
  <c r="AI252" i="10"/>
  <c r="AH252" i="10"/>
  <c r="AF252" i="10"/>
  <c r="AD252" i="10"/>
  <c r="AM251" i="10"/>
  <c r="AL251" i="10"/>
  <c r="AK251" i="10"/>
  <c r="AJ251" i="10"/>
  <c r="AI251" i="10"/>
  <c r="AH251" i="10"/>
  <c r="AF251" i="10"/>
  <c r="AE251" i="10"/>
  <c r="AD251" i="10"/>
  <c r="U251" i="10"/>
  <c r="AM250" i="10"/>
  <c r="AL250" i="10"/>
  <c r="AK250" i="10"/>
  <c r="AJ250" i="10"/>
  <c r="AI250" i="10"/>
  <c r="AH250" i="10"/>
  <c r="AF250" i="10"/>
  <c r="AE250" i="10"/>
  <c r="AD250" i="10"/>
  <c r="U250" i="10"/>
  <c r="AM249" i="10"/>
  <c r="AL249" i="10"/>
  <c r="AK249" i="10"/>
  <c r="AJ249" i="10"/>
  <c r="AI249" i="10"/>
  <c r="AH249" i="10"/>
  <c r="AF249" i="10"/>
  <c r="AD249" i="10"/>
  <c r="U249" i="10"/>
  <c r="AE249" i="10"/>
  <c r="AM248" i="10"/>
  <c r="AL248" i="10"/>
  <c r="AK248" i="10"/>
  <c r="AJ248" i="10"/>
  <c r="AI248" i="10"/>
  <c r="AH248" i="10"/>
  <c r="AF248" i="10"/>
  <c r="AN248" i="10"/>
  <c r="AD248" i="10"/>
  <c r="O248" i="10"/>
  <c r="AM247" i="10"/>
  <c r="AL247" i="10"/>
  <c r="AK247" i="10"/>
  <c r="AJ247" i="10"/>
  <c r="AI247" i="10"/>
  <c r="AH247" i="10"/>
  <c r="AF247" i="10"/>
  <c r="AE247" i="10"/>
  <c r="AD247" i="10"/>
  <c r="U247" i="10"/>
  <c r="AM246" i="10"/>
  <c r="AL246" i="10"/>
  <c r="AK246" i="10"/>
  <c r="AJ246" i="10"/>
  <c r="AI246" i="10"/>
  <c r="AH246" i="10"/>
  <c r="AF246" i="10"/>
  <c r="AD246" i="10"/>
  <c r="AM245" i="10"/>
  <c r="AL245" i="10"/>
  <c r="AK245" i="10"/>
  <c r="AJ245" i="10"/>
  <c r="AI245" i="10"/>
  <c r="AH245" i="10"/>
  <c r="AF245" i="10"/>
  <c r="AN245" i="10"/>
  <c r="AD245" i="10"/>
  <c r="AM244" i="10"/>
  <c r="AL244" i="10"/>
  <c r="AK244" i="10"/>
  <c r="AJ244" i="10"/>
  <c r="AI244" i="10"/>
  <c r="AH244" i="10"/>
  <c r="AF244" i="10"/>
  <c r="AD244" i="10"/>
  <c r="AM243" i="10"/>
  <c r="AL243" i="10"/>
  <c r="AK243" i="10"/>
  <c r="AJ243" i="10"/>
  <c r="AI243" i="10"/>
  <c r="AH243" i="10"/>
  <c r="AF243" i="10"/>
  <c r="AE243" i="10"/>
  <c r="AD243" i="10"/>
  <c r="AM242" i="10"/>
  <c r="AL242" i="10"/>
  <c r="AK242" i="10"/>
  <c r="AJ242" i="10"/>
  <c r="AI242" i="10"/>
  <c r="AH242" i="10"/>
  <c r="AF242" i="10"/>
  <c r="AE242" i="10"/>
  <c r="AD242" i="10"/>
  <c r="U242" i="10"/>
  <c r="AM241" i="10"/>
  <c r="AL241" i="10"/>
  <c r="AK241" i="10"/>
  <c r="AJ241" i="10"/>
  <c r="AI241" i="10"/>
  <c r="AH241" i="10"/>
  <c r="AF241" i="10"/>
  <c r="AN241" i="10"/>
  <c r="AD241" i="10"/>
  <c r="U241" i="10"/>
  <c r="AM240" i="10"/>
  <c r="AL240" i="10"/>
  <c r="AK240" i="10"/>
  <c r="AJ240" i="10"/>
  <c r="AI240" i="10"/>
  <c r="AH240" i="10"/>
  <c r="AF240" i="10"/>
  <c r="AE240" i="10"/>
  <c r="AD240" i="10"/>
  <c r="AM239" i="10"/>
  <c r="AL239" i="10"/>
  <c r="AK239" i="10"/>
  <c r="AJ239" i="10"/>
  <c r="AI239" i="10"/>
  <c r="AH239" i="10"/>
  <c r="AF239" i="10"/>
  <c r="AN239" i="10"/>
  <c r="AD239" i="10"/>
  <c r="U239" i="10"/>
  <c r="AM238" i="10"/>
  <c r="AL238" i="10"/>
  <c r="AK238" i="10"/>
  <c r="AJ238" i="10"/>
  <c r="AI238" i="10"/>
  <c r="AH238" i="10"/>
  <c r="AF238" i="10"/>
  <c r="AD238" i="10"/>
  <c r="AM237" i="10"/>
  <c r="AL237" i="10"/>
  <c r="AK237" i="10"/>
  <c r="AJ237" i="10"/>
  <c r="AI237" i="10"/>
  <c r="AH237" i="10"/>
  <c r="AF237" i="10"/>
  <c r="AD237" i="10"/>
  <c r="AM236" i="10"/>
  <c r="AL236" i="10"/>
  <c r="AK236" i="10"/>
  <c r="AJ236" i="10"/>
  <c r="AI236" i="10"/>
  <c r="AH236" i="10"/>
  <c r="AF236" i="10"/>
  <c r="AD236" i="10"/>
  <c r="AM235" i="10"/>
  <c r="AL235" i="10"/>
  <c r="AK235" i="10"/>
  <c r="AJ235" i="10"/>
  <c r="AI235" i="10"/>
  <c r="AH235" i="10"/>
  <c r="AF235" i="10"/>
  <c r="AD235" i="10"/>
  <c r="O235" i="10"/>
  <c r="AM234" i="10"/>
  <c r="AL234" i="10"/>
  <c r="AK234" i="10"/>
  <c r="AJ234" i="10"/>
  <c r="AI234" i="10"/>
  <c r="AH234" i="10"/>
  <c r="AF234" i="10"/>
  <c r="AN234" i="10"/>
  <c r="AD234" i="10"/>
  <c r="O234" i="10"/>
  <c r="AM233" i="10"/>
  <c r="AL233" i="10"/>
  <c r="AK233" i="10"/>
  <c r="AJ233" i="10"/>
  <c r="AI233" i="10"/>
  <c r="AH233" i="10"/>
  <c r="AF233" i="10"/>
  <c r="AD233" i="10"/>
  <c r="AM232" i="10"/>
  <c r="AL232" i="10"/>
  <c r="AK232" i="10"/>
  <c r="AJ232" i="10"/>
  <c r="AI232" i="10"/>
  <c r="AH232" i="10"/>
  <c r="AF232" i="10"/>
  <c r="AD232" i="10"/>
  <c r="U232" i="10"/>
  <c r="O232" i="10"/>
  <c r="AM231" i="10"/>
  <c r="AL231" i="10"/>
  <c r="AK231" i="10"/>
  <c r="AJ231" i="10"/>
  <c r="AI231" i="10"/>
  <c r="AH231" i="10"/>
  <c r="AF231" i="10"/>
  <c r="AD231" i="10"/>
  <c r="AM230" i="10"/>
  <c r="AL230" i="10"/>
  <c r="AK230" i="10"/>
  <c r="AJ230" i="10"/>
  <c r="AI230" i="10"/>
  <c r="AH230" i="10"/>
  <c r="AF230" i="10"/>
  <c r="AD230" i="10"/>
  <c r="AM229" i="10"/>
  <c r="AL229" i="10"/>
  <c r="AK229" i="10"/>
  <c r="AJ229" i="10"/>
  <c r="AI229" i="10"/>
  <c r="AH229" i="10"/>
  <c r="AF229" i="10"/>
  <c r="AD229" i="10"/>
  <c r="AM228" i="10"/>
  <c r="AL228" i="10"/>
  <c r="AK228" i="10"/>
  <c r="AJ228" i="10"/>
  <c r="AI228" i="10"/>
  <c r="AH228" i="10"/>
  <c r="AF228" i="10"/>
  <c r="AD228" i="10"/>
  <c r="AE228" i="10"/>
  <c r="AM227" i="10"/>
  <c r="AL227" i="10"/>
  <c r="AK227" i="10"/>
  <c r="AJ227" i="10"/>
  <c r="AI227" i="10"/>
  <c r="AH227" i="10"/>
  <c r="AF227" i="10"/>
  <c r="AD227" i="10"/>
  <c r="AM226" i="10"/>
  <c r="AL226" i="10"/>
  <c r="AK226" i="10"/>
  <c r="AJ226" i="10"/>
  <c r="AI226" i="10"/>
  <c r="AH226" i="10"/>
  <c r="AF226" i="10"/>
  <c r="AN226" i="10"/>
  <c r="AD226" i="10"/>
  <c r="AM225" i="10"/>
  <c r="AL225" i="10"/>
  <c r="AK225" i="10"/>
  <c r="AJ225" i="10"/>
  <c r="AI225" i="10"/>
  <c r="AH225" i="10"/>
  <c r="AF225" i="10"/>
  <c r="AD225" i="10"/>
  <c r="U225" i="10"/>
  <c r="X225" i="10"/>
  <c r="O225" i="10"/>
  <c r="AE225" i="10"/>
  <c r="AM224" i="10"/>
  <c r="AL224" i="10"/>
  <c r="AK224" i="10"/>
  <c r="AJ224" i="10"/>
  <c r="AI224" i="10"/>
  <c r="AH224" i="10"/>
  <c r="AF224" i="10"/>
  <c r="AD224" i="10"/>
  <c r="AM223" i="10"/>
  <c r="AL223" i="10"/>
  <c r="AK223" i="10"/>
  <c r="AJ223" i="10"/>
  <c r="AI223" i="10"/>
  <c r="AH223" i="10"/>
  <c r="AF223" i="10"/>
  <c r="AD223" i="10"/>
  <c r="AM222" i="10"/>
  <c r="AL222" i="10"/>
  <c r="AK222" i="10"/>
  <c r="AJ222" i="10"/>
  <c r="AI222" i="10"/>
  <c r="AH222" i="10"/>
  <c r="AF222" i="10"/>
  <c r="AD222" i="10"/>
  <c r="AM221" i="10"/>
  <c r="AL221" i="10"/>
  <c r="AK221" i="10"/>
  <c r="AJ221" i="10"/>
  <c r="AI221" i="10"/>
  <c r="AH221" i="10"/>
  <c r="AF221" i="10"/>
  <c r="AD221" i="10"/>
  <c r="AM220" i="10"/>
  <c r="AL220" i="10"/>
  <c r="AK220" i="10"/>
  <c r="AJ220" i="10"/>
  <c r="AI220" i="10"/>
  <c r="AH220" i="10"/>
  <c r="AF220" i="10"/>
  <c r="AD220" i="10"/>
  <c r="U220" i="10"/>
  <c r="AM219" i="10"/>
  <c r="AL219" i="10"/>
  <c r="AK219" i="10"/>
  <c r="AJ219" i="10"/>
  <c r="AI219" i="10"/>
  <c r="AH219" i="10"/>
  <c r="AF219" i="10"/>
  <c r="AD219" i="10"/>
  <c r="AM218" i="10"/>
  <c r="AL218" i="10"/>
  <c r="AK218" i="10"/>
  <c r="AJ218" i="10"/>
  <c r="AI218" i="10"/>
  <c r="AH218" i="10"/>
  <c r="AF218" i="10"/>
  <c r="AD218" i="10"/>
  <c r="U218" i="10"/>
  <c r="AM217" i="10"/>
  <c r="AL217" i="10"/>
  <c r="AK217" i="10"/>
  <c r="AJ217" i="10"/>
  <c r="AI217" i="10"/>
  <c r="AH217" i="10"/>
  <c r="AF217" i="10"/>
  <c r="AD217" i="10"/>
  <c r="AM216" i="10"/>
  <c r="AL216" i="10"/>
  <c r="AK216" i="10"/>
  <c r="AJ216" i="10"/>
  <c r="AI216" i="10"/>
  <c r="AH216" i="10"/>
  <c r="AF216" i="10"/>
  <c r="AD216" i="10"/>
  <c r="U216" i="10"/>
  <c r="AM215" i="10"/>
  <c r="AL215" i="10"/>
  <c r="AK215" i="10"/>
  <c r="AJ215" i="10"/>
  <c r="AI215" i="10"/>
  <c r="AH215" i="10"/>
  <c r="AF215" i="10"/>
  <c r="AD215" i="10"/>
  <c r="AE215" i="10"/>
  <c r="AM214" i="10"/>
  <c r="AL214" i="10"/>
  <c r="AK214" i="10"/>
  <c r="AJ214" i="10"/>
  <c r="AI214" i="10"/>
  <c r="AH214" i="10"/>
  <c r="AF214" i="10"/>
  <c r="AD214" i="10"/>
  <c r="AM213" i="10"/>
  <c r="AL213" i="10"/>
  <c r="AK213" i="10"/>
  <c r="AJ213" i="10"/>
  <c r="AI213" i="10"/>
  <c r="AH213" i="10"/>
  <c r="AF213" i="10"/>
  <c r="AD213" i="10"/>
  <c r="AM212" i="10"/>
  <c r="AL212" i="10"/>
  <c r="AK212" i="10"/>
  <c r="AJ212" i="10"/>
  <c r="AI212" i="10"/>
  <c r="AH212" i="10"/>
  <c r="AF212" i="10"/>
  <c r="AD212" i="10"/>
  <c r="AM211" i="10"/>
  <c r="AL211" i="10"/>
  <c r="AK211" i="10"/>
  <c r="AJ211" i="10"/>
  <c r="AI211" i="10"/>
  <c r="AH211" i="10"/>
  <c r="AF211" i="10"/>
  <c r="AD211" i="10"/>
  <c r="AM210" i="10"/>
  <c r="AL210" i="10"/>
  <c r="AK210" i="10"/>
  <c r="AJ210" i="10"/>
  <c r="AI210" i="10"/>
  <c r="AH210" i="10"/>
  <c r="AF210" i="10"/>
  <c r="AD210" i="10"/>
  <c r="U210" i="10"/>
  <c r="AM209" i="10"/>
  <c r="AL209" i="10"/>
  <c r="AK209" i="10"/>
  <c r="AJ209" i="10"/>
  <c r="AI209" i="10"/>
  <c r="AH209" i="10"/>
  <c r="AF209" i="10"/>
  <c r="AD209" i="10"/>
  <c r="O209" i="10"/>
  <c r="AM208" i="10"/>
  <c r="AL208" i="10"/>
  <c r="AK208" i="10"/>
  <c r="AJ208" i="10"/>
  <c r="AI208" i="10"/>
  <c r="AH208" i="10"/>
  <c r="AF208" i="10"/>
  <c r="AD208" i="10"/>
  <c r="AM207" i="10"/>
  <c r="AL207" i="10"/>
  <c r="AK207" i="10"/>
  <c r="AJ207" i="10"/>
  <c r="AI207" i="10"/>
  <c r="AH207" i="10"/>
  <c r="AF207" i="10"/>
  <c r="AD207" i="10"/>
  <c r="AM206" i="10"/>
  <c r="AL206" i="10"/>
  <c r="AK206" i="10"/>
  <c r="AJ206" i="10"/>
  <c r="AI206" i="10"/>
  <c r="AH206" i="10"/>
  <c r="AF206" i="10"/>
  <c r="AD206" i="10"/>
  <c r="AM205" i="10"/>
  <c r="AL205" i="10"/>
  <c r="AK205" i="10"/>
  <c r="AJ205" i="10"/>
  <c r="AI205" i="10"/>
  <c r="AH205" i="10"/>
  <c r="AF205" i="10"/>
  <c r="AD205" i="10"/>
  <c r="AM204" i="10"/>
  <c r="AL204" i="10"/>
  <c r="AK204" i="10"/>
  <c r="AJ204" i="10"/>
  <c r="AI204" i="10"/>
  <c r="AH204" i="10"/>
  <c r="AF204" i="10"/>
  <c r="AD204" i="10"/>
  <c r="AE204" i="10"/>
  <c r="AM203" i="10"/>
  <c r="AL203" i="10"/>
  <c r="AK203" i="10"/>
  <c r="AJ203" i="10"/>
  <c r="AI203" i="10"/>
  <c r="AH203" i="10"/>
  <c r="AF203" i="10"/>
  <c r="AD203" i="10"/>
  <c r="AM202" i="10"/>
  <c r="AL202" i="10"/>
  <c r="AK202" i="10"/>
  <c r="AJ202" i="10"/>
  <c r="AI202" i="10"/>
  <c r="AH202" i="10"/>
  <c r="AF202" i="10"/>
  <c r="AD202" i="10"/>
  <c r="AM201" i="10"/>
  <c r="AL201" i="10"/>
  <c r="AK201" i="10"/>
  <c r="AJ201" i="10"/>
  <c r="AI201" i="10"/>
  <c r="AH201" i="10"/>
  <c r="AF201" i="10"/>
  <c r="AD201" i="10"/>
  <c r="O201" i="10"/>
  <c r="AE201" i="10"/>
  <c r="AM200" i="10"/>
  <c r="AL200" i="10"/>
  <c r="AK200" i="10"/>
  <c r="AJ200" i="10"/>
  <c r="AI200" i="10"/>
  <c r="AH200" i="10"/>
  <c r="AF200" i="10"/>
  <c r="AD200" i="10"/>
  <c r="U200" i="10"/>
  <c r="O200" i="10"/>
  <c r="AM199" i="10"/>
  <c r="AL199" i="10"/>
  <c r="AK199" i="10"/>
  <c r="AJ199" i="10"/>
  <c r="AI199" i="10"/>
  <c r="AH199" i="10"/>
  <c r="AF199" i="10"/>
  <c r="AD199" i="10"/>
  <c r="O199" i="10"/>
  <c r="AE199" i="10"/>
  <c r="AM198" i="10"/>
  <c r="AL198" i="10"/>
  <c r="AK198" i="10"/>
  <c r="AJ198" i="10"/>
  <c r="AI198" i="10"/>
  <c r="AH198" i="10"/>
  <c r="AF198" i="10"/>
  <c r="AD198" i="10"/>
  <c r="AM197" i="10"/>
  <c r="AL197" i="10"/>
  <c r="AK197" i="10"/>
  <c r="AJ197" i="10"/>
  <c r="AI197" i="10"/>
  <c r="AH197" i="10"/>
  <c r="AF197" i="10"/>
  <c r="AD197" i="10"/>
  <c r="AM196" i="10"/>
  <c r="AL196" i="10"/>
  <c r="AK196" i="10"/>
  <c r="AJ196" i="10"/>
  <c r="AI196" i="10"/>
  <c r="AH196" i="10"/>
  <c r="AF196" i="10"/>
  <c r="AD196" i="10"/>
  <c r="AE196" i="10"/>
  <c r="AM195" i="10"/>
  <c r="AL195" i="10"/>
  <c r="AK195" i="10"/>
  <c r="AJ195" i="10"/>
  <c r="AI195" i="10"/>
  <c r="AH195" i="10"/>
  <c r="AF195" i="10"/>
  <c r="AD195" i="10"/>
  <c r="AM194" i="10"/>
  <c r="AL194" i="10"/>
  <c r="AK194" i="10"/>
  <c r="AJ194" i="10"/>
  <c r="AI194" i="10"/>
  <c r="AH194" i="10"/>
  <c r="AF194" i="10"/>
  <c r="AD194" i="10"/>
  <c r="U194" i="10"/>
  <c r="AE194" i="10"/>
  <c r="AM193" i="10"/>
  <c r="AL193" i="10"/>
  <c r="AK193" i="10"/>
  <c r="AJ193" i="10"/>
  <c r="AI193" i="10"/>
  <c r="AH193" i="10"/>
  <c r="AF193" i="10"/>
  <c r="AD193" i="10"/>
  <c r="AE193" i="10"/>
  <c r="AM192" i="10"/>
  <c r="AL192" i="10"/>
  <c r="AK192" i="10"/>
  <c r="AJ192" i="10"/>
  <c r="AI192" i="10"/>
  <c r="AH192" i="10"/>
  <c r="AF192" i="10"/>
  <c r="AD192" i="10"/>
  <c r="AM191" i="10"/>
  <c r="AL191" i="10"/>
  <c r="AK191" i="10"/>
  <c r="AJ191" i="10"/>
  <c r="AI191" i="10"/>
  <c r="AH191" i="10"/>
  <c r="AF191" i="10"/>
  <c r="AD191" i="10"/>
  <c r="U191" i="10"/>
  <c r="AM190" i="10"/>
  <c r="AL190" i="10"/>
  <c r="AK190" i="10"/>
  <c r="AJ190" i="10"/>
  <c r="AI190" i="10"/>
  <c r="AH190" i="10"/>
  <c r="AF190" i="10"/>
  <c r="AD190" i="10"/>
  <c r="AM189" i="10"/>
  <c r="AL189" i="10"/>
  <c r="AK189" i="10"/>
  <c r="AJ189" i="10"/>
  <c r="AI189" i="10"/>
  <c r="AH189" i="10"/>
  <c r="AF189" i="10"/>
  <c r="AD189" i="10"/>
  <c r="AM188" i="10"/>
  <c r="AL188" i="10"/>
  <c r="AK188" i="10"/>
  <c r="AJ188" i="10"/>
  <c r="AI188" i="10"/>
  <c r="AH188" i="10"/>
  <c r="AG188" i="10"/>
  <c r="AF188" i="10"/>
  <c r="AD188" i="10"/>
  <c r="AE188" i="10"/>
  <c r="AM187" i="10"/>
  <c r="AL187" i="10"/>
  <c r="AK187" i="10"/>
  <c r="AJ187" i="10"/>
  <c r="AI187" i="10"/>
  <c r="AH187" i="10"/>
  <c r="AG187" i="10"/>
  <c r="AF187" i="10"/>
  <c r="AD187" i="10"/>
  <c r="O187" i="10"/>
  <c r="AM186" i="10"/>
  <c r="AL186" i="10"/>
  <c r="AK186" i="10"/>
  <c r="AJ186" i="10"/>
  <c r="AI186" i="10"/>
  <c r="AH186" i="10"/>
  <c r="AG186" i="10"/>
  <c r="AF186" i="10"/>
  <c r="AD186" i="10"/>
  <c r="U186" i="10"/>
  <c r="O186" i="10"/>
  <c r="AM185" i="10"/>
  <c r="AL185" i="10"/>
  <c r="AK185" i="10"/>
  <c r="AJ185" i="10"/>
  <c r="AI185" i="10"/>
  <c r="AH185" i="10"/>
  <c r="AG185" i="10"/>
  <c r="AF185" i="10"/>
  <c r="AD185" i="10"/>
  <c r="AE185" i="10"/>
  <c r="AM184" i="10"/>
  <c r="AL184" i="10"/>
  <c r="AK184" i="10"/>
  <c r="AJ184" i="10"/>
  <c r="AI184" i="10"/>
  <c r="AH184" i="10"/>
  <c r="AG184" i="10"/>
  <c r="AF184" i="10"/>
  <c r="AD184" i="10"/>
  <c r="AM183" i="10"/>
  <c r="AL183" i="10"/>
  <c r="AK183" i="10"/>
  <c r="AJ183" i="10"/>
  <c r="AI183" i="10"/>
  <c r="AH183" i="10"/>
  <c r="AG183" i="10"/>
  <c r="AF183" i="10"/>
  <c r="AD183" i="10"/>
  <c r="AE183" i="10"/>
  <c r="AM182" i="10"/>
  <c r="AL182" i="10"/>
  <c r="AK182" i="10"/>
  <c r="AJ182" i="10"/>
  <c r="AI182" i="10"/>
  <c r="AH182" i="10"/>
  <c r="AG182" i="10"/>
  <c r="AF182" i="10"/>
  <c r="AD182" i="10"/>
  <c r="AM181" i="10"/>
  <c r="AL181" i="10"/>
  <c r="AK181" i="10"/>
  <c r="AJ181" i="10"/>
  <c r="AI181" i="10"/>
  <c r="AH181" i="10"/>
  <c r="AG181" i="10"/>
  <c r="AF181" i="10"/>
  <c r="AD181" i="10"/>
  <c r="AM180" i="10"/>
  <c r="AL180" i="10"/>
  <c r="AK180" i="10"/>
  <c r="AJ180" i="10"/>
  <c r="AI180" i="10"/>
  <c r="AH180" i="10"/>
  <c r="AG180" i="10"/>
  <c r="AF180" i="10"/>
  <c r="AD180" i="10"/>
  <c r="AM179" i="10"/>
  <c r="AL179" i="10"/>
  <c r="AK179" i="10"/>
  <c r="AJ179" i="10"/>
  <c r="AI179" i="10"/>
  <c r="AH179" i="10"/>
  <c r="AG179" i="10"/>
  <c r="AF179" i="10"/>
  <c r="AD179" i="10"/>
  <c r="AM178" i="10"/>
  <c r="AL178" i="10"/>
  <c r="AK178" i="10"/>
  <c r="AJ178" i="10"/>
  <c r="AI178" i="10"/>
  <c r="AH178" i="10"/>
  <c r="AG178" i="10"/>
  <c r="AF178" i="10"/>
  <c r="AD178" i="10"/>
  <c r="AM177" i="10"/>
  <c r="AL177" i="10"/>
  <c r="AK177" i="10"/>
  <c r="AJ177" i="10"/>
  <c r="AI177" i="10"/>
  <c r="AH177" i="10"/>
  <c r="AG177" i="10"/>
  <c r="AF177" i="10"/>
  <c r="AD177" i="10"/>
  <c r="AM176" i="10"/>
  <c r="AL176" i="10"/>
  <c r="AK176" i="10"/>
  <c r="AJ176" i="10"/>
  <c r="AI176" i="10"/>
  <c r="AH176" i="10"/>
  <c r="AG176" i="10"/>
  <c r="AF176" i="10"/>
  <c r="AD176" i="10"/>
  <c r="AM175" i="10"/>
  <c r="AL175" i="10"/>
  <c r="AK175" i="10"/>
  <c r="AJ175" i="10"/>
  <c r="AI175" i="10"/>
  <c r="AH175" i="10"/>
  <c r="AG175" i="10"/>
  <c r="AF175" i="10"/>
  <c r="AE175" i="10"/>
  <c r="AD175" i="10"/>
  <c r="U175" i="10"/>
  <c r="O175" i="10"/>
  <c r="AM174" i="10"/>
  <c r="AL174" i="10"/>
  <c r="AK174" i="10"/>
  <c r="AJ174" i="10"/>
  <c r="AI174" i="10"/>
  <c r="AH174" i="10"/>
  <c r="AG174" i="10"/>
  <c r="AF174" i="10"/>
  <c r="AD174" i="10"/>
  <c r="AM173" i="10"/>
  <c r="AL173" i="10"/>
  <c r="AK173" i="10"/>
  <c r="AJ173" i="10"/>
  <c r="AI173" i="10"/>
  <c r="AH173" i="10"/>
  <c r="AG173" i="10"/>
  <c r="AF173" i="10"/>
  <c r="AD173" i="10"/>
  <c r="AM172" i="10"/>
  <c r="AL172" i="10"/>
  <c r="AK172" i="10"/>
  <c r="AJ172" i="10"/>
  <c r="AI172" i="10"/>
  <c r="AH172" i="10"/>
  <c r="AG172" i="10"/>
  <c r="AF172" i="10"/>
  <c r="AD172" i="10"/>
  <c r="AM171" i="10"/>
  <c r="AL171" i="10"/>
  <c r="AK171" i="10"/>
  <c r="AJ171" i="10"/>
  <c r="AI171" i="10"/>
  <c r="AH171" i="10"/>
  <c r="AG171" i="10"/>
  <c r="AF171" i="10"/>
  <c r="AE171" i="10"/>
  <c r="AD171" i="10"/>
  <c r="U171" i="10"/>
  <c r="O171" i="10"/>
  <c r="AM170" i="10"/>
  <c r="AL170" i="10"/>
  <c r="AK170" i="10"/>
  <c r="AJ170" i="10"/>
  <c r="AI170" i="10"/>
  <c r="AH170" i="10"/>
  <c r="AG170" i="10"/>
  <c r="AF170" i="10"/>
  <c r="AD170" i="10"/>
  <c r="AM169" i="10"/>
  <c r="AL169" i="10"/>
  <c r="AK169" i="10"/>
  <c r="AJ169" i="10"/>
  <c r="AI169" i="10"/>
  <c r="AH169" i="10"/>
  <c r="AG169" i="10"/>
  <c r="AF169" i="10"/>
  <c r="AD169" i="10"/>
  <c r="AM168" i="10"/>
  <c r="AL168" i="10"/>
  <c r="AK168" i="10"/>
  <c r="AJ168" i="10"/>
  <c r="AI168" i="10"/>
  <c r="AH168" i="10"/>
  <c r="AG168" i="10"/>
  <c r="AF168" i="10"/>
  <c r="AD168" i="10"/>
  <c r="AM167" i="10"/>
  <c r="AL167" i="10"/>
  <c r="AK167" i="10"/>
  <c r="AJ167" i="10"/>
  <c r="AI167" i="10"/>
  <c r="AH167" i="10"/>
  <c r="AG167" i="10"/>
  <c r="AF167" i="10"/>
  <c r="AE167" i="10"/>
  <c r="AD167" i="10"/>
  <c r="U167" i="10"/>
  <c r="AM166" i="10"/>
  <c r="AL166" i="10"/>
  <c r="AK166" i="10"/>
  <c r="AJ166" i="10"/>
  <c r="AI166" i="10"/>
  <c r="AH166" i="10"/>
  <c r="AG166" i="10"/>
  <c r="AF166" i="10"/>
  <c r="AD166" i="10"/>
  <c r="AM165" i="10"/>
  <c r="AL165" i="10"/>
  <c r="AK165" i="10"/>
  <c r="AJ165" i="10"/>
  <c r="AI165" i="10"/>
  <c r="AH165" i="10"/>
  <c r="AG165" i="10"/>
  <c r="AF165" i="10"/>
  <c r="AD165" i="10"/>
  <c r="O165" i="10"/>
  <c r="AM164" i="10"/>
  <c r="AL164" i="10"/>
  <c r="AK164" i="10"/>
  <c r="AJ164" i="10"/>
  <c r="AI164" i="10"/>
  <c r="AH164" i="10"/>
  <c r="AG164" i="10"/>
  <c r="AF164" i="10"/>
  <c r="AD164" i="10"/>
  <c r="AM163" i="10"/>
  <c r="AL163" i="10"/>
  <c r="AK163" i="10"/>
  <c r="AJ163" i="10"/>
  <c r="AI163" i="10"/>
  <c r="AH163" i="10"/>
  <c r="AG163" i="10"/>
  <c r="AF163" i="10"/>
  <c r="AD163" i="10"/>
  <c r="AM162" i="10"/>
  <c r="AL162" i="10"/>
  <c r="AK162" i="10"/>
  <c r="AJ162" i="10"/>
  <c r="AI162" i="10"/>
  <c r="AH162" i="10"/>
  <c r="AG162" i="10"/>
  <c r="AF162" i="10"/>
  <c r="AD162" i="10"/>
  <c r="AM161" i="10"/>
  <c r="AL161" i="10"/>
  <c r="AK161" i="10"/>
  <c r="AJ161" i="10"/>
  <c r="AI161" i="10"/>
  <c r="AH161" i="10"/>
  <c r="AG161" i="10"/>
  <c r="AF161" i="10"/>
  <c r="AD161" i="10"/>
  <c r="AM160" i="10"/>
  <c r="AL160" i="10"/>
  <c r="AK160" i="10"/>
  <c r="AJ160" i="10"/>
  <c r="AI160" i="10"/>
  <c r="AH160" i="10"/>
  <c r="AG160" i="10"/>
  <c r="AF160" i="10"/>
  <c r="AD160" i="10"/>
  <c r="AM159" i="10"/>
  <c r="AL159" i="10"/>
  <c r="AK159" i="10"/>
  <c r="AJ159" i="10"/>
  <c r="AI159" i="10"/>
  <c r="AH159" i="10"/>
  <c r="AG159" i="10"/>
  <c r="AF159" i="10"/>
  <c r="AD159" i="10"/>
  <c r="AM158" i="10"/>
  <c r="AL158" i="10"/>
  <c r="AK158" i="10"/>
  <c r="AJ158" i="10"/>
  <c r="AI158" i="10"/>
  <c r="AH158" i="10"/>
  <c r="AG158" i="10"/>
  <c r="AF158" i="10"/>
  <c r="AD158" i="10"/>
  <c r="AM157" i="10"/>
  <c r="AL157" i="10"/>
  <c r="AK157" i="10"/>
  <c r="AJ157" i="10"/>
  <c r="AI157" i="10"/>
  <c r="AH157" i="10"/>
  <c r="AG157" i="10"/>
  <c r="AF157" i="10"/>
  <c r="AD157" i="10"/>
  <c r="AM156" i="10"/>
  <c r="AL156" i="10"/>
  <c r="AK156" i="10"/>
  <c r="AJ156" i="10"/>
  <c r="AI156" i="10"/>
  <c r="AH156" i="10"/>
  <c r="AG156" i="10"/>
  <c r="AF156" i="10"/>
  <c r="AD156" i="10"/>
  <c r="AM155" i="10"/>
  <c r="AL155" i="10"/>
  <c r="AK155" i="10"/>
  <c r="AJ155" i="10"/>
  <c r="AI155" i="10"/>
  <c r="AH155" i="10"/>
  <c r="AG155" i="10"/>
  <c r="AF155" i="10"/>
  <c r="AD155" i="10"/>
  <c r="AM154" i="10"/>
  <c r="AL154" i="10"/>
  <c r="AK154" i="10"/>
  <c r="AJ154" i="10"/>
  <c r="AI154" i="10"/>
  <c r="AH154" i="10"/>
  <c r="AG154" i="10"/>
  <c r="AF154" i="10"/>
  <c r="AD154" i="10"/>
  <c r="AM153" i="10"/>
  <c r="AL153" i="10"/>
  <c r="AK153" i="10"/>
  <c r="AJ153" i="10"/>
  <c r="AI153" i="10"/>
  <c r="AH153" i="10"/>
  <c r="AG153" i="10"/>
  <c r="AF153" i="10"/>
  <c r="AD153" i="10"/>
  <c r="O153" i="10"/>
  <c r="AM152" i="10"/>
  <c r="AL152" i="10"/>
  <c r="AK152" i="10"/>
  <c r="AJ152" i="10"/>
  <c r="AI152" i="10"/>
  <c r="AH152" i="10"/>
  <c r="AG152" i="10"/>
  <c r="AF152" i="10"/>
  <c r="AD152" i="10"/>
  <c r="AM151" i="10"/>
  <c r="AL151" i="10"/>
  <c r="AK151" i="10"/>
  <c r="AJ151" i="10"/>
  <c r="AI151" i="10"/>
  <c r="AH151" i="10"/>
  <c r="AG151" i="10"/>
  <c r="AF151" i="10"/>
  <c r="AD151" i="10"/>
  <c r="AM150" i="10"/>
  <c r="AL150" i="10"/>
  <c r="AK150" i="10"/>
  <c r="AJ150" i="10"/>
  <c r="AI150" i="10"/>
  <c r="AH150" i="10"/>
  <c r="AG150" i="10"/>
  <c r="AF150" i="10"/>
  <c r="AD150" i="10"/>
  <c r="AM149" i="10"/>
  <c r="AL149" i="10"/>
  <c r="AK149" i="10"/>
  <c r="AJ149" i="10"/>
  <c r="AI149" i="10"/>
  <c r="AH149" i="10"/>
  <c r="AG149" i="10"/>
  <c r="AF149" i="10"/>
  <c r="AD149" i="10"/>
  <c r="AM148" i="10"/>
  <c r="AL148" i="10"/>
  <c r="AK148" i="10"/>
  <c r="AJ148" i="10"/>
  <c r="AI148" i="10"/>
  <c r="AH148" i="10"/>
  <c r="AG148" i="10"/>
  <c r="AF148" i="10"/>
  <c r="AD148" i="10"/>
  <c r="AM147" i="10"/>
  <c r="AL147" i="10"/>
  <c r="AK147" i="10"/>
  <c r="AJ147" i="10"/>
  <c r="AI147" i="10"/>
  <c r="AH147" i="10"/>
  <c r="AG147" i="10"/>
  <c r="AF147" i="10"/>
  <c r="AD147" i="10"/>
  <c r="AM146" i="10"/>
  <c r="AL146" i="10"/>
  <c r="AK146" i="10"/>
  <c r="AJ146" i="10"/>
  <c r="AI146" i="10"/>
  <c r="AH146" i="10"/>
  <c r="AG146" i="10"/>
  <c r="AF146" i="10"/>
  <c r="AD146" i="10"/>
  <c r="O146" i="10"/>
  <c r="P146" i="10"/>
  <c r="AM145" i="10"/>
  <c r="AL145" i="10"/>
  <c r="AK145" i="10"/>
  <c r="AJ145" i="10"/>
  <c r="AI145" i="10"/>
  <c r="AH145" i="10"/>
  <c r="AG145" i="10"/>
  <c r="AF145" i="10"/>
  <c r="AD145" i="10"/>
  <c r="O145" i="10"/>
  <c r="P145" i="10"/>
  <c r="AM144" i="10"/>
  <c r="AL144" i="10"/>
  <c r="AK144" i="10"/>
  <c r="AJ144" i="10"/>
  <c r="AI144" i="10"/>
  <c r="AH144" i="10"/>
  <c r="AG144" i="10"/>
  <c r="AF144" i="10"/>
  <c r="AD144" i="10"/>
  <c r="AM143" i="10"/>
  <c r="AL143" i="10"/>
  <c r="AK143" i="10"/>
  <c r="AJ143" i="10"/>
  <c r="AI143" i="10"/>
  <c r="AH143" i="10"/>
  <c r="AG143" i="10"/>
  <c r="AF143" i="10"/>
  <c r="AD143" i="10"/>
  <c r="O143" i="10"/>
  <c r="P143" i="10"/>
  <c r="AM142" i="10"/>
  <c r="AL142" i="10"/>
  <c r="AK142" i="10"/>
  <c r="AJ142" i="10"/>
  <c r="AI142" i="10"/>
  <c r="AH142" i="10"/>
  <c r="AG142" i="10"/>
  <c r="AF142" i="10"/>
  <c r="AD142" i="10"/>
  <c r="AM141" i="10"/>
  <c r="AL141" i="10"/>
  <c r="AK141" i="10"/>
  <c r="AJ141" i="10"/>
  <c r="AI141" i="10"/>
  <c r="AH141" i="10"/>
  <c r="AG141" i="10"/>
  <c r="AF141" i="10"/>
  <c r="AD141" i="10"/>
  <c r="O141" i="10"/>
  <c r="AM140" i="10"/>
  <c r="AL140" i="10"/>
  <c r="AK140" i="10"/>
  <c r="AJ140" i="10"/>
  <c r="AI140" i="10"/>
  <c r="AH140" i="10"/>
  <c r="AG140" i="10"/>
  <c r="AF140" i="10"/>
  <c r="AD140" i="10"/>
  <c r="AM139" i="10"/>
  <c r="AL139" i="10"/>
  <c r="AK139" i="10"/>
  <c r="AJ139" i="10"/>
  <c r="AI139" i="10"/>
  <c r="AH139" i="10"/>
  <c r="AG139" i="10"/>
  <c r="AF139" i="10"/>
  <c r="AD139" i="10"/>
  <c r="O139" i="10"/>
  <c r="U139" i="10"/>
  <c r="AM138" i="10"/>
  <c r="AL138" i="10"/>
  <c r="AK138" i="10"/>
  <c r="AJ138" i="10"/>
  <c r="AI138" i="10"/>
  <c r="AH138" i="10"/>
  <c r="AG138" i="10"/>
  <c r="AF138" i="10"/>
  <c r="AD138" i="10"/>
  <c r="AM137" i="10"/>
  <c r="AL137" i="10"/>
  <c r="AK137" i="10"/>
  <c r="AJ137" i="10"/>
  <c r="AI137" i="10"/>
  <c r="AH137" i="10"/>
  <c r="AG137" i="10"/>
  <c r="AF137" i="10"/>
  <c r="AD137" i="10"/>
  <c r="AM136" i="10"/>
  <c r="AL136" i="10"/>
  <c r="AK136" i="10"/>
  <c r="AJ136" i="10"/>
  <c r="AI136" i="10"/>
  <c r="AH136" i="10"/>
  <c r="AG136" i="10"/>
  <c r="AF136" i="10"/>
  <c r="AD136" i="10"/>
  <c r="U136" i="10"/>
  <c r="AM135" i="10"/>
  <c r="AL135" i="10"/>
  <c r="AK135" i="10"/>
  <c r="AJ135" i="10"/>
  <c r="AI135" i="10"/>
  <c r="AH135" i="10"/>
  <c r="AG135" i="10"/>
  <c r="AF135" i="10"/>
  <c r="AD135" i="10"/>
  <c r="AM134" i="10"/>
  <c r="AL134" i="10"/>
  <c r="AK134" i="10"/>
  <c r="AJ134" i="10"/>
  <c r="AI134" i="10"/>
  <c r="AH134" i="10"/>
  <c r="AG134" i="10"/>
  <c r="AF134" i="10"/>
  <c r="AD134" i="10"/>
  <c r="AM133" i="10"/>
  <c r="AL133" i="10"/>
  <c r="AK133" i="10"/>
  <c r="AJ133" i="10"/>
  <c r="AI133" i="10"/>
  <c r="AH133" i="10"/>
  <c r="AG133" i="10"/>
  <c r="AF133" i="10"/>
  <c r="AD133" i="10"/>
  <c r="U133" i="10"/>
  <c r="AM132" i="10"/>
  <c r="AL132" i="10"/>
  <c r="AK132" i="10"/>
  <c r="AJ132" i="10"/>
  <c r="AI132" i="10"/>
  <c r="AH132" i="10"/>
  <c r="AG132" i="10"/>
  <c r="AF132" i="10"/>
  <c r="AE132" i="10"/>
  <c r="AD132" i="10"/>
  <c r="AM131" i="10"/>
  <c r="AL131" i="10"/>
  <c r="AK131" i="10"/>
  <c r="AJ131" i="10"/>
  <c r="AI131" i="10"/>
  <c r="AH131" i="10"/>
  <c r="AG131" i="10"/>
  <c r="AF131" i="10"/>
  <c r="AD131" i="10"/>
  <c r="O131" i="10"/>
  <c r="U131" i="10"/>
  <c r="AM130" i="10"/>
  <c r="AL130" i="10"/>
  <c r="AK130" i="10"/>
  <c r="AJ130" i="10"/>
  <c r="AI130" i="10"/>
  <c r="AH130" i="10"/>
  <c r="AG130" i="10"/>
  <c r="AF130" i="10"/>
  <c r="AD130" i="10"/>
  <c r="U130" i="10"/>
  <c r="AM129" i="10"/>
  <c r="AL129" i="10"/>
  <c r="AK129" i="10"/>
  <c r="AJ129" i="10"/>
  <c r="AI129" i="10"/>
  <c r="AH129" i="10"/>
  <c r="AG129" i="10"/>
  <c r="AF129" i="10"/>
  <c r="AD129" i="10"/>
  <c r="AM128" i="10"/>
  <c r="AL128" i="10"/>
  <c r="AK128" i="10"/>
  <c r="AJ128" i="10"/>
  <c r="AI128" i="10"/>
  <c r="AH128" i="10"/>
  <c r="AG128" i="10"/>
  <c r="AF128" i="10"/>
  <c r="AE128" i="10"/>
  <c r="AD128" i="10"/>
  <c r="AM127" i="10"/>
  <c r="AL127" i="10"/>
  <c r="AK127" i="10"/>
  <c r="AJ127" i="10"/>
  <c r="AI127" i="10"/>
  <c r="AH127" i="10"/>
  <c r="AG127" i="10"/>
  <c r="AF127" i="10"/>
  <c r="AD127" i="10"/>
  <c r="AM126" i="10"/>
  <c r="AL126" i="10"/>
  <c r="AK126" i="10"/>
  <c r="AJ126" i="10"/>
  <c r="AI126" i="10"/>
  <c r="AH126" i="10"/>
  <c r="AG126" i="10"/>
  <c r="AF126" i="10"/>
  <c r="AN126" i="10"/>
  <c r="AD126" i="10"/>
  <c r="AM125" i="10"/>
  <c r="AL125" i="10"/>
  <c r="AK125" i="10"/>
  <c r="AJ125" i="10"/>
  <c r="AI125" i="10"/>
  <c r="AH125" i="10"/>
  <c r="AG125" i="10"/>
  <c r="AF125" i="10"/>
  <c r="AD125" i="10"/>
  <c r="U125" i="10"/>
  <c r="AM124" i="10"/>
  <c r="AL124" i="10"/>
  <c r="AK124" i="10"/>
  <c r="AJ124" i="10"/>
  <c r="AI124" i="10"/>
  <c r="AH124" i="10"/>
  <c r="AG124" i="10"/>
  <c r="AF124" i="10"/>
  <c r="AD124" i="10"/>
  <c r="AM123" i="10"/>
  <c r="AL123" i="10"/>
  <c r="AK123" i="10"/>
  <c r="AJ123" i="10"/>
  <c r="AI123" i="10"/>
  <c r="AH123" i="10"/>
  <c r="AG123" i="10"/>
  <c r="AF123" i="10"/>
  <c r="AD123" i="10"/>
  <c r="AM122" i="10"/>
  <c r="AL122" i="10"/>
  <c r="AK122" i="10"/>
  <c r="AJ122" i="10"/>
  <c r="AI122" i="10"/>
  <c r="AH122" i="10"/>
  <c r="AG122" i="10"/>
  <c r="AF122" i="10"/>
  <c r="AD122" i="10"/>
  <c r="AM121" i="10"/>
  <c r="AL121" i="10"/>
  <c r="AK121" i="10"/>
  <c r="AJ121" i="10"/>
  <c r="AI121" i="10"/>
  <c r="AH121" i="10"/>
  <c r="AG121" i="10"/>
  <c r="AF121" i="10"/>
  <c r="AE121" i="10"/>
  <c r="AD121" i="10"/>
  <c r="U121" i="10"/>
  <c r="AM120" i="10"/>
  <c r="AL120" i="10"/>
  <c r="AK120" i="10"/>
  <c r="AJ120" i="10"/>
  <c r="AI120" i="10"/>
  <c r="AH120" i="10"/>
  <c r="AG120" i="10"/>
  <c r="AF120" i="10"/>
  <c r="AD120" i="10"/>
  <c r="U120" i="10"/>
  <c r="AM119" i="10"/>
  <c r="AL119" i="10"/>
  <c r="AK119" i="10"/>
  <c r="AJ119" i="10"/>
  <c r="AI119" i="10"/>
  <c r="AH119" i="10"/>
  <c r="AG119" i="10"/>
  <c r="AF119" i="10"/>
  <c r="AE119" i="10"/>
  <c r="AD119" i="10"/>
  <c r="U119" i="10"/>
  <c r="AM118" i="10"/>
  <c r="AL118" i="10"/>
  <c r="AK118" i="10"/>
  <c r="AJ118" i="10"/>
  <c r="AI118" i="10"/>
  <c r="AH118" i="10"/>
  <c r="AG118" i="10"/>
  <c r="AF118" i="10"/>
  <c r="AD118" i="10"/>
  <c r="AM117" i="10"/>
  <c r="AL117" i="10"/>
  <c r="AK117" i="10"/>
  <c r="AJ117" i="10"/>
  <c r="AI117" i="10"/>
  <c r="AH117" i="10"/>
  <c r="AG117" i="10"/>
  <c r="AF117" i="10"/>
  <c r="AD117" i="10"/>
  <c r="AM116" i="10"/>
  <c r="AL116" i="10"/>
  <c r="AK116" i="10"/>
  <c r="AJ116" i="10"/>
  <c r="AI116" i="10"/>
  <c r="AH116" i="10"/>
  <c r="AG116" i="10"/>
  <c r="AF116" i="10"/>
  <c r="AD116" i="10"/>
  <c r="O116" i="10"/>
  <c r="AM115" i="10"/>
  <c r="AL115" i="10"/>
  <c r="AK115" i="10"/>
  <c r="AJ115" i="10"/>
  <c r="AI115" i="10"/>
  <c r="AH115" i="10"/>
  <c r="AG115" i="10"/>
  <c r="AF115" i="10"/>
  <c r="AD115" i="10"/>
  <c r="AM114" i="10"/>
  <c r="AL114" i="10"/>
  <c r="AK114" i="10"/>
  <c r="AJ114" i="10"/>
  <c r="AI114" i="10"/>
  <c r="AH114" i="10"/>
  <c r="AG114" i="10"/>
  <c r="AF114" i="10"/>
  <c r="AD114" i="10"/>
  <c r="O114" i="10"/>
  <c r="AM113" i="10"/>
  <c r="AL113" i="10"/>
  <c r="AK113" i="10"/>
  <c r="AJ113" i="10"/>
  <c r="AI113" i="10"/>
  <c r="AH113" i="10"/>
  <c r="AG113" i="10"/>
  <c r="AF113" i="10"/>
  <c r="AD113" i="10"/>
  <c r="AM112" i="10"/>
  <c r="AL112" i="10"/>
  <c r="AK112" i="10"/>
  <c r="AJ112" i="10"/>
  <c r="AI112" i="10"/>
  <c r="AH112" i="10"/>
  <c r="AG112" i="10"/>
  <c r="AF112" i="10"/>
  <c r="AE112" i="10"/>
  <c r="AD112" i="10"/>
  <c r="AM111" i="10"/>
  <c r="AL111" i="10"/>
  <c r="AK111" i="10"/>
  <c r="AJ111" i="10"/>
  <c r="AI111" i="10"/>
  <c r="AH111" i="10"/>
  <c r="AG111" i="10"/>
  <c r="AF111" i="10"/>
  <c r="AD111" i="10"/>
  <c r="AM110" i="10"/>
  <c r="AL110" i="10"/>
  <c r="AK110" i="10"/>
  <c r="AJ110" i="10"/>
  <c r="AI110" i="10"/>
  <c r="AH110" i="10"/>
  <c r="AG110" i="10"/>
  <c r="AF110" i="10"/>
  <c r="AD110" i="10"/>
  <c r="AM109" i="10"/>
  <c r="AL109" i="10"/>
  <c r="AK109" i="10"/>
  <c r="AJ109" i="10"/>
  <c r="AI109" i="10"/>
  <c r="AH109" i="10"/>
  <c r="AG109" i="10"/>
  <c r="AF109" i="10"/>
  <c r="AD109" i="10"/>
  <c r="AM108" i="10"/>
  <c r="AL108" i="10"/>
  <c r="AK108" i="10"/>
  <c r="AJ108" i="10"/>
  <c r="AI108" i="10"/>
  <c r="AH108" i="10"/>
  <c r="AG108" i="10"/>
  <c r="AF108" i="10"/>
  <c r="AD108" i="10"/>
  <c r="AM107" i="10"/>
  <c r="AL107" i="10"/>
  <c r="AK107" i="10"/>
  <c r="AJ107" i="10"/>
  <c r="AI107" i="10"/>
  <c r="AH107" i="10"/>
  <c r="AG107" i="10"/>
  <c r="AF107" i="10"/>
  <c r="AD107" i="10"/>
  <c r="AM106" i="10"/>
  <c r="AL106" i="10"/>
  <c r="AK106" i="10"/>
  <c r="AJ106" i="10"/>
  <c r="AI106" i="10"/>
  <c r="AH106" i="10"/>
  <c r="AG106" i="10"/>
  <c r="AF106" i="10"/>
  <c r="AD106" i="10"/>
  <c r="AM105" i="10"/>
  <c r="AL105" i="10"/>
  <c r="AK105" i="10"/>
  <c r="AJ105" i="10"/>
  <c r="AI105" i="10"/>
  <c r="AH105" i="10"/>
  <c r="AG105" i="10"/>
  <c r="AF105" i="10"/>
  <c r="AD105" i="10"/>
  <c r="AM104" i="10"/>
  <c r="AL104" i="10"/>
  <c r="AK104" i="10"/>
  <c r="AJ104" i="10"/>
  <c r="AI104" i="10"/>
  <c r="AH104" i="10"/>
  <c r="AG104" i="10"/>
  <c r="AF104" i="10"/>
  <c r="AD104" i="10"/>
  <c r="AM103" i="10"/>
  <c r="AL103" i="10"/>
  <c r="AK103" i="10"/>
  <c r="AJ103" i="10"/>
  <c r="AI103" i="10"/>
  <c r="AH103" i="10"/>
  <c r="AG103" i="10"/>
  <c r="AF103" i="10"/>
  <c r="AD103" i="10"/>
  <c r="AM102" i="10"/>
  <c r="AL102" i="10"/>
  <c r="AK102" i="10"/>
  <c r="AJ102" i="10"/>
  <c r="AI102" i="10"/>
  <c r="AH102" i="10"/>
  <c r="AG102" i="10"/>
  <c r="AF102" i="10"/>
  <c r="AD102" i="10"/>
  <c r="AM101" i="10"/>
  <c r="AL101" i="10"/>
  <c r="AK101" i="10"/>
  <c r="AJ101" i="10"/>
  <c r="AI101" i="10"/>
  <c r="AH101" i="10"/>
  <c r="AG101" i="10"/>
  <c r="AF101" i="10"/>
  <c r="AN101" i="10"/>
  <c r="AD101" i="10"/>
  <c r="O101" i="10"/>
  <c r="AM100" i="10"/>
  <c r="AL100" i="10"/>
  <c r="AK100" i="10"/>
  <c r="AJ100" i="10"/>
  <c r="AI100" i="10"/>
  <c r="AH100" i="10"/>
  <c r="AG100" i="10"/>
  <c r="AF100" i="10"/>
  <c r="AD100" i="10"/>
  <c r="AM99" i="10"/>
  <c r="AL99" i="10"/>
  <c r="AK99" i="10"/>
  <c r="AJ99" i="10"/>
  <c r="AI99" i="10"/>
  <c r="AH99" i="10"/>
  <c r="AG99" i="10"/>
  <c r="AF99" i="10"/>
  <c r="AD99" i="10"/>
  <c r="AM98" i="10"/>
  <c r="AL98" i="10"/>
  <c r="AK98" i="10"/>
  <c r="AJ98" i="10"/>
  <c r="AI98" i="10"/>
  <c r="AH98" i="10"/>
  <c r="AG98" i="10"/>
  <c r="AF98" i="10"/>
  <c r="AD98" i="10"/>
  <c r="AM97" i="10"/>
  <c r="AL97" i="10"/>
  <c r="AK97" i="10"/>
  <c r="AJ97" i="10"/>
  <c r="AI97" i="10"/>
  <c r="AH97" i="10"/>
  <c r="AG97" i="10"/>
  <c r="AF97" i="10"/>
  <c r="AD97" i="10"/>
  <c r="O97" i="10"/>
  <c r="AM96" i="10"/>
  <c r="AL96" i="10"/>
  <c r="AK96" i="10"/>
  <c r="AJ96" i="10"/>
  <c r="AI96" i="10"/>
  <c r="AH96" i="10"/>
  <c r="AG96" i="10"/>
  <c r="AF96" i="10"/>
  <c r="AD96" i="10"/>
  <c r="AM95" i="10"/>
  <c r="AL95" i="10"/>
  <c r="AK95" i="10"/>
  <c r="AJ95" i="10"/>
  <c r="AI95" i="10"/>
  <c r="AH95" i="10"/>
  <c r="AG95" i="10"/>
  <c r="AF95" i="10"/>
  <c r="AD95" i="10"/>
  <c r="AM94" i="10"/>
  <c r="AL94" i="10"/>
  <c r="AK94" i="10"/>
  <c r="AJ94" i="10"/>
  <c r="AI94" i="10"/>
  <c r="AH94" i="10"/>
  <c r="AG94" i="10"/>
  <c r="AF94" i="10"/>
  <c r="AD94" i="10"/>
  <c r="AM93" i="10"/>
  <c r="AL93" i="10"/>
  <c r="AK93" i="10"/>
  <c r="AJ93" i="10"/>
  <c r="AI93" i="10"/>
  <c r="AH93" i="10"/>
  <c r="AG93" i="10"/>
  <c r="AF93" i="10"/>
  <c r="AD93" i="10"/>
  <c r="O93" i="10"/>
  <c r="AM92" i="10"/>
  <c r="AL92" i="10"/>
  <c r="AK92" i="10"/>
  <c r="AJ92" i="10"/>
  <c r="AI92" i="10"/>
  <c r="AH92" i="10"/>
  <c r="AG92" i="10"/>
  <c r="AF92" i="10"/>
  <c r="AD92" i="10"/>
  <c r="AM91" i="10"/>
  <c r="AL91" i="10"/>
  <c r="AK91" i="10"/>
  <c r="AJ91" i="10"/>
  <c r="AI91" i="10"/>
  <c r="AH91" i="10"/>
  <c r="AG91" i="10"/>
  <c r="AF91" i="10"/>
  <c r="AD91" i="10"/>
  <c r="AM90" i="10"/>
  <c r="AL90" i="10"/>
  <c r="AK90" i="10"/>
  <c r="AJ90" i="10"/>
  <c r="AI90" i="10"/>
  <c r="AH90" i="10"/>
  <c r="AG90" i="10"/>
  <c r="AF90" i="10"/>
  <c r="AD90" i="10"/>
  <c r="AM89" i="10"/>
  <c r="AL89" i="10"/>
  <c r="AK89" i="10"/>
  <c r="AJ89" i="10"/>
  <c r="AI89" i="10"/>
  <c r="AH89" i="10"/>
  <c r="AG89" i="10"/>
  <c r="AF89" i="10"/>
  <c r="AD89" i="10"/>
  <c r="O89" i="10"/>
  <c r="AM88" i="10"/>
  <c r="AL88" i="10"/>
  <c r="AK88" i="10"/>
  <c r="AJ88" i="10"/>
  <c r="AI88" i="10"/>
  <c r="AH88" i="10"/>
  <c r="AG88" i="10"/>
  <c r="AF88" i="10"/>
  <c r="AD88" i="10"/>
  <c r="AM87" i="10"/>
  <c r="AL87" i="10"/>
  <c r="AK87" i="10"/>
  <c r="AJ87" i="10"/>
  <c r="AI87" i="10"/>
  <c r="AH87" i="10"/>
  <c r="AG87" i="10"/>
  <c r="AF87" i="10"/>
  <c r="AD87" i="10"/>
  <c r="AM86" i="10"/>
  <c r="AL86" i="10"/>
  <c r="AK86" i="10"/>
  <c r="AJ86" i="10"/>
  <c r="AI86" i="10"/>
  <c r="AH86" i="10"/>
  <c r="AG86" i="10"/>
  <c r="AF86" i="10"/>
  <c r="AD86" i="10"/>
  <c r="AM85" i="10"/>
  <c r="AL85" i="10"/>
  <c r="AK85" i="10"/>
  <c r="AJ85" i="10"/>
  <c r="AI85" i="10"/>
  <c r="AH85" i="10"/>
  <c r="AG85" i="10"/>
  <c r="AF85" i="10"/>
  <c r="AD85" i="10"/>
  <c r="AM84" i="10"/>
  <c r="AL84" i="10"/>
  <c r="AK84" i="10"/>
  <c r="AJ84" i="10"/>
  <c r="AI84" i="10"/>
  <c r="AH84" i="10"/>
  <c r="AG84" i="10"/>
  <c r="AF84" i="10"/>
  <c r="AD84" i="10"/>
  <c r="AM83" i="10"/>
  <c r="AL83" i="10"/>
  <c r="AK83" i="10"/>
  <c r="AJ83" i="10"/>
  <c r="AI83" i="10"/>
  <c r="AH83" i="10"/>
  <c r="AG83" i="10"/>
  <c r="AF83" i="10"/>
  <c r="AD83" i="10"/>
  <c r="AM82" i="10"/>
  <c r="AL82" i="10"/>
  <c r="AK82" i="10"/>
  <c r="AJ82" i="10"/>
  <c r="AI82" i="10"/>
  <c r="AH82" i="10"/>
  <c r="AG82" i="10"/>
  <c r="AF82" i="10"/>
  <c r="AD82" i="10"/>
  <c r="AM81" i="10"/>
  <c r="AL81" i="10"/>
  <c r="AK81" i="10"/>
  <c r="AJ81" i="10"/>
  <c r="AI81" i="10"/>
  <c r="AH81" i="10"/>
  <c r="AG81" i="10"/>
  <c r="AF81" i="10"/>
  <c r="AN81" i="10"/>
  <c r="AD81" i="10"/>
  <c r="O81" i="10"/>
  <c r="AM80" i="10"/>
  <c r="AL80" i="10"/>
  <c r="AK80" i="10"/>
  <c r="AJ80" i="10"/>
  <c r="AI80" i="10"/>
  <c r="AH80" i="10"/>
  <c r="AG80" i="10"/>
  <c r="AF80" i="10"/>
  <c r="AD80" i="10"/>
  <c r="S80" i="10"/>
  <c r="AB80" i="10"/>
  <c r="AM79" i="10"/>
  <c r="AL79" i="10"/>
  <c r="AK79" i="10"/>
  <c r="AJ79" i="10"/>
  <c r="AI79" i="10"/>
  <c r="AH79" i="10"/>
  <c r="AG79" i="10"/>
  <c r="AF79" i="10"/>
  <c r="AD79" i="10"/>
  <c r="AM78" i="10"/>
  <c r="AL78" i="10"/>
  <c r="AK78" i="10"/>
  <c r="AJ78" i="10"/>
  <c r="AI78" i="10"/>
  <c r="AH78" i="10"/>
  <c r="AG78" i="10"/>
  <c r="AF78" i="10"/>
  <c r="AD78" i="10"/>
  <c r="AM77" i="10"/>
  <c r="AL77" i="10"/>
  <c r="AK77" i="10"/>
  <c r="AJ77" i="10"/>
  <c r="AI77" i="10"/>
  <c r="AH77" i="10"/>
  <c r="AG77" i="10"/>
  <c r="AF77" i="10"/>
  <c r="AD77" i="10"/>
  <c r="O77" i="10"/>
  <c r="AM76" i="10"/>
  <c r="AL76" i="10"/>
  <c r="AK76" i="10"/>
  <c r="AJ76" i="10"/>
  <c r="AI76" i="10"/>
  <c r="AH76" i="10"/>
  <c r="AG76" i="10"/>
  <c r="AF76" i="10"/>
  <c r="AD76" i="10"/>
  <c r="AM75" i="10"/>
  <c r="AL75" i="10"/>
  <c r="AK75" i="10"/>
  <c r="AJ75" i="10"/>
  <c r="AI75" i="10"/>
  <c r="AH75" i="10"/>
  <c r="AG75" i="10"/>
  <c r="AF75" i="10"/>
  <c r="AD75" i="10"/>
  <c r="AM74" i="10"/>
  <c r="AL74" i="10"/>
  <c r="AK74" i="10"/>
  <c r="AJ74" i="10"/>
  <c r="AI74" i="10"/>
  <c r="AH74" i="10"/>
  <c r="AG74" i="10"/>
  <c r="AF74" i="10"/>
  <c r="AD74" i="10"/>
  <c r="AM73" i="10"/>
  <c r="AL73" i="10"/>
  <c r="AK73" i="10"/>
  <c r="AJ73" i="10"/>
  <c r="AI73" i="10"/>
  <c r="AH73" i="10"/>
  <c r="AG73" i="10"/>
  <c r="AF73" i="10"/>
  <c r="AD73" i="10"/>
  <c r="O73" i="10"/>
  <c r="AM72" i="10"/>
  <c r="AL72" i="10"/>
  <c r="AK72" i="10"/>
  <c r="AJ72" i="10"/>
  <c r="AI72" i="10"/>
  <c r="AH72" i="10"/>
  <c r="AG72" i="10"/>
  <c r="AF72" i="10"/>
  <c r="AD72" i="10"/>
  <c r="AM71" i="10"/>
  <c r="AL71" i="10"/>
  <c r="AK71" i="10"/>
  <c r="AJ71" i="10"/>
  <c r="AI71" i="10"/>
  <c r="AH71" i="10"/>
  <c r="AG71" i="10"/>
  <c r="AF71" i="10"/>
  <c r="AD71" i="10"/>
  <c r="AM70" i="10"/>
  <c r="AL70" i="10"/>
  <c r="AK70" i="10"/>
  <c r="AJ70" i="10"/>
  <c r="AI70" i="10"/>
  <c r="AH70" i="10"/>
  <c r="AG70" i="10"/>
  <c r="AF70" i="10"/>
  <c r="AD70" i="10"/>
  <c r="AM69" i="10"/>
  <c r="AL69" i="10"/>
  <c r="AK69" i="10"/>
  <c r="AJ69" i="10"/>
  <c r="AI69" i="10"/>
  <c r="AH69" i="10"/>
  <c r="AG69" i="10"/>
  <c r="AF69" i="10"/>
  <c r="AD69" i="10"/>
  <c r="AM68" i="10"/>
  <c r="AL68" i="10"/>
  <c r="AK68" i="10"/>
  <c r="AJ68" i="10"/>
  <c r="AI68" i="10"/>
  <c r="AH68" i="10"/>
  <c r="AG68" i="10"/>
  <c r="AF68" i="10"/>
  <c r="AD68" i="10"/>
  <c r="AM67" i="10"/>
  <c r="AL67" i="10"/>
  <c r="AK67" i="10"/>
  <c r="AJ67" i="10"/>
  <c r="AI67" i="10"/>
  <c r="AH67" i="10"/>
  <c r="AG67" i="10"/>
  <c r="AF67" i="10"/>
  <c r="AD67" i="10"/>
  <c r="AM66" i="10"/>
  <c r="AL66" i="10"/>
  <c r="AK66" i="10"/>
  <c r="AJ66" i="10"/>
  <c r="AI66" i="10"/>
  <c r="AH66" i="10"/>
  <c r="AG66" i="10"/>
  <c r="AF66" i="10"/>
  <c r="AD66" i="10"/>
  <c r="AM65" i="10"/>
  <c r="AL65" i="10"/>
  <c r="AK65" i="10"/>
  <c r="AJ65" i="10"/>
  <c r="AI65" i="10"/>
  <c r="AH65" i="10"/>
  <c r="AG65" i="10"/>
  <c r="AF65" i="10"/>
  <c r="AN65" i="10"/>
  <c r="AD65" i="10"/>
  <c r="AM64" i="10"/>
  <c r="AL64" i="10"/>
  <c r="AK64" i="10"/>
  <c r="AJ64" i="10"/>
  <c r="AI64" i="10"/>
  <c r="AH64" i="10"/>
  <c r="AG64" i="10"/>
  <c r="AF64" i="10"/>
  <c r="AD64" i="10"/>
  <c r="AM63" i="10"/>
  <c r="AL63" i="10"/>
  <c r="AK63" i="10"/>
  <c r="AJ63" i="10"/>
  <c r="AI63" i="10"/>
  <c r="AH63" i="10"/>
  <c r="AG63" i="10"/>
  <c r="AF63" i="10"/>
  <c r="AD63" i="10"/>
  <c r="AM62" i="10"/>
  <c r="AL62" i="10"/>
  <c r="AK62" i="10"/>
  <c r="AJ62" i="10"/>
  <c r="AI62" i="10"/>
  <c r="AH62" i="10"/>
  <c r="AG62" i="10"/>
  <c r="AF62" i="10"/>
  <c r="AD62" i="10"/>
  <c r="AM61" i="10"/>
  <c r="AL61" i="10"/>
  <c r="AK61" i="10"/>
  <c r="AJ61" i="10"/>
  <c r="AI61" i="10"/>
  <c r="AH61" i="10"/>
  <c r="AG61" i="10"/>
  <c r="AF61" i="10"/>
  <c r="AN61" i="10"/>
  <c r="AD61" i="10"/>
  <c r="AM60" i="10"/>
  <c r="AL60" i="10"/>
  <c r="AK60" i="10"/>
  <c r="AJ60" i="10"/>
  <c r="AI60" i="10"/>
  <c r="AH60" i="10"/>
  <c r="AG60" i="10"/>
  <c r="AF60" i="10"/>
  <c r="AD60" i="10"/>
  <c r="AM59" i="10"/>
  <c r="AL59" i="10"/>
  <c r="AK59" i="10"/>
  <c r="AJ59" i="10"/>
  <c r="AI59" i="10"/>
  <c r="AH59" i="10"/>
  <c r="AG59" i="10"/>
  <c r="AF59" i="10"/>
  <c r="AD59" i="10"/>
  <c r="O59" i="10"/>
  <c r="AM58" i="10"/>
  <c r="AL58" i="10"/>
  <c r="AK58" i="10"/>
  <c r="AJ58" i="10"/>
  <c r="AI58" i="10"/>
  <c r="AH58" i="10"/>
  <c r="AG58" i="10"/>
  <c r="AF58" i="10"/>
  <c r="AD58" i="10"/>
  <c r="AM57" i="10"/>
  <c r="AL57" i="10"/>
  <c r="AK57" i="10"/>
  <c r="AJ57" i="10"/>
  <c r="AI57" i="10"/>
  <c r="AH57" i="10"/>
  <c r="AG57" i="10"/>
  <c r="AF57" i="10"/>
  <c r="AD57" i="10"/>
  <c r="AM56" i="10"/>
  <c r="AL56" i="10"/>
  <c r="AK56" i="10"/>
  <c r="AJ56" i="10"/>
  <c r="AI56" i="10"/>
  <c r="AH56" i="10"/>
  <c r="AG56" i="10"/>
  <c r="AF56" i="10"/>
  <c r="AD56" i="10"/>
  <c r="AM55" i="10"/>
  <c r="AL55" i="10"/>
  <c r="AK55" i="10"/>
  <c r="AJ55" i="10"/>
  <c r="AI55" i="10"/>
  <c r="AH55" i="10"/>
  <c r="AG55" i="10"/>
  <c r="AF55" i="10"/>
  <c r="AD55" i="10"/>
  <c r="O55" i="10"/>
  <c r="AM54" i="10"/>
  <c r="AL54" i="10"/>
  <c r="AK54" i="10"/>
  <c r="AJ54" i="10"/>
  <c r="AI54" i="10"/>
  <c r="AH54" i="10"/>
  <c r="AG54" i="10"/>
  <c r="AF54" i="10"/>
  <c r="AD54" i="10"/>
  <c r="AM53" i="10"/>
  <c r="AL53" i="10"/>
  <c r="AK53" i="10"/>
  <c r="AJ53" i="10"/>
  <c r="AI53" i="10"/>
  <c r="AH53" i="10"/>
  <c r="AG53" i="10"/>
  <c r="AF53" i="10"/>
  <c r="AD53" i="10"/>
  <c r="AM52" i="10"/>
  <c r="AL52" i="10"/>
  <c r="AK52" i="10"/>
  <c r="AJ52" i="10"/>
  <c r="AI52" i="10"/>
  <c r="AH52" i="10"/>
  <c r="AG52" i="10"/>
  <c r="AF52" i="10"/>
  <c r="AD52" i="10"/>
  <c r="AM51" i="10"/>
  <c r="AL51" i="10"/>
  <c r="AK51" i="10"/>
  <c r="AJ51" i="10"/>
  <c r="AI51" i="10"/>
  <c r="AH51" i="10"/>
  <c r="AG51" i="10"/>
  <c r="AF51" i="10"/>
  <c r="AD51" i="10"/>
  <c r="S51" i="10"/>
  <c r="AB51" i="10"/>
  <c r="O51" i="10"/>
  <c r="P51" i="10"/>
  <c r="AM50" i="10"/>
  <c r="AL50" i="10"/>
  <c r="AK50" i="10"/>
  <c r="AJ50" i="10"/>
  <c r="AI50" i="10"/>
  <c r="AH50" i="10"/>
  <c r="AG50" i="10"/>
  <c r="AF50" i="10"/>
  <c r="AD50" i="10"/>
  <c r="AM49" i="10"/>
  <c r="AL49" i="10"/>
  <c r="AK49" i="10"/>
  <c r="AJ49" i="10"/>
  <c r="AI49" i="10"/>
  <c r="AH49" i="10"/>
  <c r="AG49" i="10"/>
  <c r="AF49" i="10"/>
  <c r="AD49" i="10"/>
  <c r="S49" i="10"/>
  <c r="AB49" i="10"/>
  <c r="O49" i="10"/>
  <c r="P49" i="10"/>
  <c r="AM48" i="10"/>
  <c r="AL48" i="10"/>
  <c r="AK48" i="10"/>
  <c r="AJ48" i="10"/>
  <c r="AI48" i="10"/>
  <c r="AH48" i="10"/>
  <c r="AG48" i="10"/>
  <c r="AF48" i="10"/>
  <c r="AD48" i="10"/>
  <c r="AM47" i="10"/>
  <c r="AL47" i="10"/>
  <c r="AK47" i="10"/>
  <c r="AJ47" i="10"/>
  <c r="AI47" i="10"/>
  <c r="AH47" i="10"/>
  <c r="AG47" i="10"/>
  <c r="AF47" i="10"/>
  <c r="AD47" i="10"/>
  <c r="AM46" i="10"/>
  <c r="AL46" i="10"/>
  <c r="AK46" i="10"/>
  <c r="AJ46" i="10"/>
  <c r="AI46" i="10"/>
  <c r="AH46" i="10"/>
  <c r="AG46" i="10"/>
  <c r="AF46" i="10"/>
  <c r="AD46" i="10"/>
  <c r="AM45" i="10"/>
  <c r="AL45" i="10"/>
  <c r="AK45" i="10"/>
  <c r="AJ45" i="10"/>
  <c r="AI45" i="10"/>
  <c r="AH45" i="10"/>
  <c r="AG45" i="10"/>
  <c r="AF45" i="10"/>
  <c r="AD45" i="10"/>
  <c r="AM44" i="10"/>
  <c r="AL44" i="10"/>
  <c r="AK44" i="10"/>
  <c r="AJ44" i="10"/>
  <c r="AI44" i="10"/>
  <c r="AH44" i="10"/>
  <c r="AG44" i="10"/>
  <c r="AF44" i="10"/>
  <c r="AD44" i="10"/>
  <c r="AM43" i="10"/>
  <c r="AL43" i="10"/>
  <c r="AK43" i="10"/>
  <c r="AJ43" i="10"/>
  <c r="AI43" i="10"/>
  <c r="AH43" i="10"/>
  <c r="AG43" i="10"/>
  <c r="AF43" i="10"/>
  <c r="AD43" i="10"/>
  <c r="O43" i="10"/>
  <c r="AM42" i="10"/>
  <c r="AL42" i="10"/>
  <c r="AK42" i="10"/>
  <c r="AJ42" i="10"/>
  <c r="AI42" i="10"/>
  <c r="AH42" i="10"/>
  <c r="AG42" i="10"/>
  <c r="AF42" i="10"/>
  <c r="AD42" i="10"/>
  <c r="O42" i="10"/>
  <c r="AM41" i="10"/>
  <c r="AL41" i="10"/>
  <c r="AK41" i="10"/>
  <c r="AJ41" i="10"/>
  <c r="AI41" i="10"/>
  <c r="AH41" i="10"/>
  <c r="AG41" i="10"/>
  <c r="AF41" i="10"/>
  <c r="AD41" i="10"/>
  <c r="AM40" i="10"/>
  <c r="AL40" i="10"/>
  <c r="AK40" i="10"/>
  <c r="AJ40" i="10"/>
  <c r="AI40" i="10"/>
  <c r="AH40" i="10"/>
  <c r="AG40" i="10"/>
  <c r="AF40" i="10"/>
  <c r="AD40" i="10"/>
  <c r="AE40" i="10"/>
  <c r="AM39" i="10"/>
  <c r="AL39" i="10"/>
  <c r="AK39" i="10"/>
  <c r="AJ39" i="10"/>
  <c r="AI39" i="10"/>
  <c r="AH39" i="10"/>
  <c r="AG39" i="10"/>
  <c r="AF39" i="10"/>
  <c r="AD39" i="10"/>
  <c r="AM38" i="10"/>
  <c r="AL38" i="10"/>
  <c r="AK38" i="10"/>
  <c r="AJ38" i="10"/>
  <c r="AI38" i="10"/>
  <c r="AH38" i="10"/>
  <c r="AG38" i="10"/>
  <c r="AF38" i="10"/>
  <c r="AD38" i="10"/>
  <c r="AM37" i="10"/>
  <c r="AL37" i="10"/>
  <c r="AK37" i="10"/>
  <c r="AJ37" i="10"/>
  <c r="AI37" i="10"/>
  <c r="AH37" i="10"/>
  <c r="AG37" i="10"/>
  <c r="AF37" i="10"/>
  <c r="AD37" i="10"/>
  <c r="AM36" i="10"/>
  <c r="AL36" i="10"/>
  <c r="AK36" i="10"/>
  <c r="AJ36" i="10"/>
  <c r="AI36" i="10"/>
  <c r="AH36" i="10"/>
  <c r="AG36" i="10"/>
  <c r="AF36" i="10"/>
  <c r="AD36" i="10"/>
  <c r="AM35" i="10"/>
  <c r="AL35" i="10"/>
  <c r="AK35" i="10"/>
  <c r="AJ35" i="10"/>
  <c r="AI35" i="10"/>
  <c r="AH35" i="10"/>
  <c r="AG35" i="10"/>
  <c r="AF35" i="10"/>
  <c r="AD35" i="10"/>
  <c r="AM34" i="10"/>
  <c r="AL34" i="10"/>
  <c r="AK34" i="10"/>
  <c r="AJ34" i="10"/>
  <c r="AI34" i="10"/>
  <c r="AH34" i="10"/>
  <c r="AG34" i="10"/>
  <c r="AF34" i="10"/>
  <c r="AD34" i="10"/>
  <c r="U34" i="10"/>
  <c r="AE34" i="10"/>
  <c r="AM33" i="10"/>
  <c r="AL33" i="10"/>
  <c r="AK33" i="10"/>
  <c r="AJ33" i="10"/>
  <c r="AI33" i="10"/>
  <c r="AH33" i="10"/>
  <c r="AG33" i="10"/>
  <c r="AF33" i="10"/>
  <c r="AD33" i="10"/>
  <c r="O33" i="10"/>
  <c r="AM32" i="10"/>
  <c r="AL32" i="10"/>
  <c r="AK32" i="10"/>
  <c r="AJ32" i="10"/>
  <c r="AI32" i="10"/>
  <c r="AH32" i="10"/>
  <c r="AG32" i="10"/>
  <c r="AF32" i="10"/>
  <c r="AD32" i="10"/>
  <c r="AM31" i="10"/>
  <c r="AL31" i="10"/>
  <c r="AK31" i="10"/>
  <c r="AJ31" i="10"/>
  <c r="AI31" i="10"/>
  <c r="AH31" i="10"/>
  <c r="AG31" i="10"/>
  <c r="AF31" i="10"/>
  <c r="AD31" i="10"/>
  <c r="AM30" i="10"/>
  <c r="AL30" i="10"/>
  <c r="AK30" i="10"/>
  <c r="AJ30" i="10"/>
  <c r="AI30" i="10"/>
  <c r="AH30" i="10"/>
  <c r="AG30" i="10"/>
  <c r="AF30" i="10"/>
  <c r="AN30" i="10"/>
  <c r="AD30" i="10"/>
  <c r="AM29" i="10"/>
  <c r="AL29" i="10"/>
  <c r="AK29" i="10"/>
  <c r="AJ29" i="10"/>
  <c r="AI29" i="10"/>
  <c r="AH29" i="10"/>
  <c r="AG29" i="10"/>
  <c r="AF29" i="10"/>
  <c r="AD29" i="10"/>
  <c r="AM28" i="10"/>
  <c r="AL28" i="10"/>
  <c r="AK28" i="10"/>
  <c r="AJ28" i="10"/>
  <c r="AI28" i="10"/>
  <c r="AH28" i="10"/>
  <c r="AG28" i="10"/>
  <c r="AF28" i="10"/>
  <c r="AD28" i="10"/>
  <c r="AM27" i="10"/>
  <c r="AL27" i="10"/>
  <c r="AK27" i="10"/>
  <c r="AJ27" i="10"/>
  <c r="AI27" i="10"/>
  <c r="AH27" i="10"/>
  <c r="AG27" i="10"/>
  <c r="AF27" i="10"/>
  <c r="AD27" i="10"/>
  <c r="AM26" i="10"/>
  <c r="AL26" i="10"/>
  <c r="AK26" i="10"/>
  <c r="AJ26" i="10"/>
  <c r="AI26" i="10"/>
  <c r="AH26" i="10"/>
  <c r="AG26" i="10"/>
  <c r="AF26" i="10"/>
  <c r="AD26" i="10"/>
  <c r="AM25" i="10"/>
  <c r="AL25" i="10"/>
  <c r="AK25" i="10"/>
  <c r="AJ25" i="10"/>
  <c r="AI25" i="10"/>
  <c r="AH25" i="10"/>
  <c r="AG25" i="10"/>
  <c r="AF25" i="10"/>
  <c r="AD25" i="10"/>
  <c r="AM24" i="10"/>
  <c r="AL24" i="10"/>
  <c r="AK24" i="10"/>
  <c r="AJ24" i="10"/>
  <c r="AI24" i="10"/>
  <c r="AH24" i="10"/>
  <c r="AG24" i="10"/>
  <c r="AF24" i="10"/>
  <c r="AD24" i="10"/>
  <c r="AM23" i="10"/>
  <c r="AL23" i="10"/>
  <c r="AK23" i="10"/>
  <c r="AJ23" i="10"/>
  <c r="AI23" i="10"/>
  <c r="AH23" i="10"/>
  <c r="AG23" i="10"/>
  <c r="AF23" i="10"/>
  <c r="AD23" i="10"/>
  <c r="U23" i="10"/>
  <c r="S23" i="10"/>
  <c r="AB23" i="10"/>
  <c r="AE23" i="10"/>
  <c r="AM22" i="10"/>
  <c r="AL22" i="10"/>
  <c r="AK22" i="10"/>
  <c r="AJ22" i="10"/>
  <c r="AI22" i="10"/>
  <c r="AH22" i="10"/>
  <c r="AG22" i="10"/>
  <c r="AF22" i="10"/>
  <c r="AD22" i="10"/>
  <c r="S22" i="10"/>
  <c r="AB22" i="10"/>
  <c r="AM21" i="10"/>
  <c r="AL21" i="10"/>
  <c r="AK21" i="10"/>
  <c r="AJ21" i="10"/>
  <c r="AI21" i="10"/>
  <c r="AH21" i="10"/>
  <c r="AG21" i="10"/>
  <c r="AF21" i="10"/>
  <c r="AD21" i="10"/>
  <c r="AM20" i="10"/>
  <c r="AL20" i="10"/>
  <c r="AK20" i="10"/>
  <c r="AJ20" i="10"/>
  <c r="AI20" i="10"/>
  <c r="AH20" i="10"/>
  <c r="AG20" i="10"/>
  <c r="AF20" i="10"/>
  <c r="AD20" i="10"/>
  <c r="S20" i="10"/>
  <c r="AE20" i="10"/>
  <c r="AM19" i="10"/>
  <c r="AL19" i="10"/>
  <c r="AK19" i="10"/>
  <c r="AJ19" i="10"/>
  <c r="AI19" i="10"/>
  <c r="AH19" i="10"/>
  <c r="AG19" i="10"/>
  <c r="AF19" i="10"/>
  <c r="AD19" i="10"/>
  <c r="U19" i="10"/>
  <c r="AE19" i="10"/>
  <c r="AM18" i="10"/>
  <c r="AL18" i="10"/>
  <c r="AK18" i="10"/>
  <c r="AJ18" i="10"/>
  <c r="AI18" i="10"/>
  <c r="AH18" i="10"/>
  <c r="AG18" i="10"/>
  <c r="AF18" i="10"/>
  <c r="AD18" i="10"/>
  <c r="U18" i="10"/>
  <c r="X18" i="10"/>
  <c r="AE18" i="10"/>
  <c r="AM17" i="10"/>
  <c r="AL17" i="10"/>
  <c r="AK17" i="10"/>
  <c r="AJ17" i="10"/>
  <c r="AI17" i="10"/>
  <c r="AH17" i="10"/>
  <c r="AG17" i="10"/>
  <c r="AF17" i="10"/>
  <c r="AD17" i="10"/>
  <c r="U17" i="10"/>
  <c r="S17" i="10"/>
  <c r="AB17" i="10"/>
  <c r="AE17" i="10"/>
  <c r="AM16" i="10"/>
  <c r="AL16" i="10"/>
  <c r="AK16" i="10"/>
  <c r="AJ16" i="10"/>
  <c r="AI16" i="10"/>
  <c r="AH16" i="10"/>
  <c r="AG16" i="10"/>
  <c r="AF16" i="10"/>
  <c r="AD16" i="10"/>
  <c r="U16" i="10"/>
  <c r="AE16" i="10"/>
  <c r="AM15" i="10"/>
  <c r="AL15" i="10"/>
  <c r="AK15" i="10"/>
  <c r="AJ15" i="10"/>
  <c r="AI15" i="10"/>
  <c r="AH15" i="10"/>
  <c r="AG15" i="10"/>
  <c r="AF15" i="10"/>
  <c r="AD15" i="10"/>
  <c r="AM14" i="10"/>
  <c r="AL14" i="10"/>
  <c r="AK14" i="10"/>
  <c r="AJ14" i="10"/>
  <c r="AI14" i="10"/>
  <c r="AH14" i="10"/>
  <c r="AG14" i="10"/>
  <c r="AF14" i="10"/>
  <c r="AN14" i="10"/>
  <c r="AD14" i="10"/>
  <c r="AM13" i="10"/>
  <c r="AL13" i="10"/>
  <c r="AK13" i="10"/>
  <c r="AJ13" i="10"/>
  <c r="AI13" i="10"/>
  <c r="AH13" i="10"/>
  <c r="AG13" i="10"/>
  <c r="AF13" i="10"/>
  <c r="AD13" i="10"/>
  <c r="U13" i="10"/>
  <c r="X13" i="10"/>
  <c r="AE13" i="10"/>
  <c r="AM12" i="10"/>
  <c r="AL12" i="10"/>
  <c r="AK12" i="10"/>
  <c r="AJ12" i="10"/>
  <c r="AI12" i="10"/>
  <c r="AH12" i="10"/>
  <c r="AG12" i="10"/>
  <c r="AF12" i="10"/>
  <c r="AD12" i="10"/>
  <c r="AM11" i="10"/>
  <c r="AL11" i="10"/>
  <c r="AK11" i="10"/>
  <c r="AJ11" i="10"/>
  <c r="AI11" i="10"/>
  <c r="AH11" i="10"/>
  <c r="AG11" i="10"/>
  <c r="AF11" i="10"/>
  <c r="AD11" i="10"/>
  <c r="AM10" i="10"/>
  <c r="AL10" i="10"/>
  <c r="AK10" i="10"/>
  <c r="AJ10" i="10"/>
  <c r="AI10" i="10"/>
  <c r="AH10" i="10"/>
  <c r="AG10" i="10"/>
  <c r="AF10" i="10"/>
  <c r="AN10" i="10"/>
  <c r="AD10" i="10"/>
  <c r="AM9" i="10"/>
  <c r="AL9" i="10"/>
  <c r="AK9" i="10"/>
  <c r="AJ9" i="10"/>
  <c r="AI9" i="10"/>
  <c r="AH9" i="10"/>
  <c r="AG9" i="10"/>
  <c r="S2" i="10"/>
  <c r="AF9" i="10"/>
  <c r="AD9" i="10"/>
  <c r="AM8" i="10"/>
  <c r="AL8" i="10"/>
  <c r="AK8" i="10"/>
  <c r="AJ8" i="10"/>
  <c r="AI8" i="10"/>
  <c r="AH8" i="10"/>
  <c r="AG8" i="10"/>
  <c r="AF8" i="10"/>
  <c r="AD8" i="10"/>
  <c r="Y8" i="10"/>
  <c r="L9" i="4"/>
  <c r="T9" i="4"/>
  <c r="U9" i="4"/>
  <c r="W9" i="4"/>
  <c r="L10" i="4"/>
  <c r="T10" i="4"/>
  <c r="U10" i="4"/>
  <c r="W10" i="4"/>
  <c r="L11" i="4"/>
  <c r="T11" i="4"/>
  <c r="U11" i="4"/>
  <c r="W11" i="4"/>
  <c r="L12" i="4"/>
  <c r="T12" i="4"/>
  <c r="U12" i="4"/>
  <c r="W12" i="4"/>
  <c r="L13" i="4"/>
  <c r="T13" i="4"/>
  <c r="U13" i="4"/>
  <c r="W13" i="4"/>
  <c r="L14" i="4"/>
  <c r="T14" i="4"/>
  <c r="U14" i="4"/>
  <c r="W14" i="4"/>
  <c r="L15" i="4"/>
  <c r="T15" i="4"/>
  <c r="U15" i="4"/>
  <c r="W15" i="4"/>
  <c r="L16" i="4"/>
  <c r="T16" i="4"/>
  <c r="U16" i="4"/>
  <c r="W16" i="4"/>
  <c r="L17" i="4"/>
  <c r="T17" i="4"/>
  <c r="U17" i="4"/>
  <c r="W17" i="4"/>
  <c r="L18" i="4"/>
  <c r="T18" i="4"/>
  <c r="U18" i="4"/>
  <c r="W18" i="4"/>
  <c r="L19" i="4"/>
  <c r="T19" i="4"/>
  <c r="U19" i="4"/>
  <c r="W19" i="4"/>
  <c r="L20" i="4"/>
  <c r="T20" i="4"/>
  <c r="U20" i="4"/>
  <c r="W20" i="4"/>
  <c r="L21" i="4"/>
  <c r="T21" i="4"/>
  <c r="U21" i="4"/>
  <c r="W21" i="4"/>
  <c r="L22" i="4"/>
  <c r="T22" i="4"/>
  <c r="U22" i="4"/>
  <c r="W22" i="4"/>
  <c r="L23" i="4"/>
  <c r="T23" i="4"/>
  <c r="U23" i="4"/>
  <c r="W23" i="4"/>
  <c r="L24" i="4"/>
  <c r="T24" i="4"/>
  <c r="U24" i="4"/>
  <c r="W24" i="4"/>
  <c r="L25" i="4"/>
  <c r="T25" i="4"/>
  <c r="U25" i="4"/>
  <c r="W25" i="4"/>
  <c r="L26" i="4"/>
  <c r="T26" i="4"/>
  <c r="U26" i="4"/>
  <c r="W26" i="4"/>
  <c r="L27" i="4"/>
  <c r="T27" i="4"/>
  <c r="U27" i="4"/>
  <c r="W27" i="4"/>
  <c r="L28" i="4"/>
  <c r="T28" i="4"/>
  <c r="U28" i="4"/>
  <c r="W28" i="4"/>
  <c r="L29" i="4"/>
  <c r="T29" i="4"/>
  <c r="U29" i="4"/>
  <c r="W29" i="4"/>
  <c r="L30" i="4"/>
  <c r="T30" i="4"/>
  <c r="U30" i="4"/>
  <c r="W30" i="4"/>
  <c r="L31" i="4"/>
  <c r="T31" i="4"/>
  <c r="U31" i="4"/>
  <c r="W31" i="4"/>
  <c r="L32" i="4"/>
  <c r="T32" i="4"/>
  <c r="U32" i="4"/>
  <c r="W32" i="4"/>
  <c r="L33" i="4"/>
  <c r="T33" i="4"/>
  <c r="U33" i="4"/>
  <c r="W33" i="4"/>
  <c r="L34" i="4"/>
  <c r="T34" i="4"/>
  <c r="U34" i="4"/>
  <c r="W34" i="4"/>
  <c r="L35" i="4"/>
  <c r="T35" i="4"/>
  <c r="U35" i="4"/>
  <c r="W35" i="4"/>
  <c r="L36" i="4"/>
  <c r="T36" i="4"/>
  <c r="U36" i="4"/>
  <c r="W36" i="4"/>
  <c r="L37" i="4"/>
  <c r="T37" i="4"/>
  <c r="U37" i="4"/>
  <c r="W37" i="4"/>
  <c r="L38" i="4"/>
  <c r="T38" i="4"/>
  <c r="U38" i="4"/>
  <c r="W38" i="4"/>
  <c r="L39" i="4"/>
  <c r="T39" i="4"/>
  <c r="U39" i="4"/>
  <c r="W39" i="4"/>
  <c r="L40" i="4"/>
  <c r="T40" i="4"/>
  <c r="U40" i="4"/>
  <c r="W40" i="4"/>
  <c r="L41" i="4"/>
  <c r="T41" i="4"/>
  <c r="U41" i="4"/>
  <c r="W41" i="4"/>
  <c r="L42" i="4"/>
  <c r="T42" i="4"/>
  <c r="U42" i="4"/>
  <c r="W42" i="4"/>
  <c r="L43" i="4"/>
  <c r="T43" i="4"/>
  <c r="U43" i="4"/>
  <c r="W43" i="4"/>
  <c r="L44" i="4"/>
  <c r="T44" i="4"/>
  <c r="U44" i="4"/>
  <c r="W44" i="4"/>
  <c r="L45" i="4"/>
  <c r="T45" i="4"/>
  <c r="U45" i="4"/>
  <c r="W45" i="4"/>
  <c r="L46" i="4"/>
  <c r="T46" i="4"/>
  <c r="U46" i="4"/>
  <c r="W46" i="4"/>
  <c r="L47" i="4"/>
  <c r="T47" i="4"/>
  <c r="U47" i="4"/>
  <c r="W47" i="4"/>
  <c r="L48" i="4"/>
  <c r="T48" i="4"/>
  <c r="U48" i="4"/>
  <c r="W48" i="4"/>
  <c r="L49" i="4"/>
  <c r="T49" i="4"/>
  <c r="U49" i="4"/>
  <c r="W49" i="4"/>
  <c r="L50" i="4"/>
  <c r="T50" i="4"/>
  <c r="U50" i="4"/>
  <c r="W50" i="4"/>
  <c r="L51" i="4"/>
  <c r="T51" i="4"/>
  <c r="U51" i="4"/>
  <c r="W51" i="4"/>
  <c r="L52" i="4"/>
  <c r="T52" i="4"/>
  <c r="U52" i="4"/>
  <c r="W52" i="4"/>
  <c r="L53" i="4"/>
  <c r="T53" i="4"/>
  <c r="U53" i="4"/>
  <c r="W53" i="4"/>
  <c r="L54" i="4"/>
  <c r="T54" i="4"/>
  <c r="U54" i="4"/>
  <c r="W54" i="4"/>
  <c r="L55" i="4"/>
  <c r="T55" i="4"/>
  <c r="U55" i="4"/>
  <c r="W55" i="4"/>
  <c r="L56" i="4"/>
  <c r="T56" i="4"/>
  <c r="U56" i="4"/>
  <c r="W56" i="4"/>
  <c r="L57" i="4"/>
  <c r="T57" i="4"/>
  <c r="U57" i="4"/>
  <c r="W57" i="4"/>
  <c r="L58" i="4"/>
  <c r="T58" i="4"/>
  <c r="U58" i="4"/>
  <c r="W58" i="4"/>
  <c r="L59" i="4"/>
  <c r="T59" i="4"/>
  <c r="U59" i="4"/>
  <c r="W59" i="4"/>
  <c r="L60" i="4"/>
  <c r="T60" i="4"/>
  <c r="U60" i="4"/>
  <c r="W60" i="4"/>
  <c r="L61" i="4"/>
  <c r="T61" i="4"/>
  <c r="U61" i="4"/>
  <c r="W61" i="4"/>
  <c r="L62" i="4"/>
  <c r="T62" i="4"/>
  <c r="U62" i="4"/>
  <c r="W62" i="4"/>
  <c r="L63" i="4"/>
  <c r="T63" i="4"/>
  <c r="U63" i="4"/>
  <c r="W63" i="4"/>
  <c r="L64" i="4"/>
  <c r="T64" i="4"/>
  <c r="U64" i="4"/>
  <c r="W64" i="4"/>
  <c r="L65" i="4"/>
  <c r="T65" i="4"/>
  <c r="U65" i="4"/>
  <c r="W65" i="4"/>
  <c r="L66" i="4"/>
  <c r="T66" i="4"/>
  <c r="U66" i="4"/>
  <c r="W66" i="4"/>
  <c r="L67" i="4"/>
  <c r="T67" i="4"/>
  <c r="U67" i="4"/>
  <c r="W67" i="4"/>
  <c r="L68" i="4"/>
  <c r="T68" i="4"/>
  <c r="U68" i="4"/>
  <c r="W68" i="4"/>
  <c r="L69" i="4"/>
  <c r="T69" i="4"/>
  <c r="U69" i="4"/>
  <c r="W69" i="4"/>
  <c r="L70" i="4"/>
  <c r="T70" i="4"/>
  <c r="U70" i="4"/>
  <c r="W70" i="4"/>
  <c r="L71" i="4"/>
  <c r="T71" i="4"/>
  <c r="U71" i="4"/>
  <c r="W71" i="4"/>
  <c r="L72" i="4"/>
  <c r="T72" i="4"/>
  <c r="U72" i="4"/>
  <c r="W72" i="4"/>
  <c r="L73" i="4"/>
  <c r="T73" i="4"/>
  <c r="U73" i="4"/>
  <c r="W73" i="4"/>
  <c r="L74" i="4"/>
  <c r="T74" i="4"/>
  <c r="U74" i="4"/>
  <c r="W74" i="4"/>
  <c r="L75" i="4"/>
  <c r="T75" i="4"/>
  <c r="U75" i="4"/>
  <c r="W75" i="4"/>
  <c r="L76" i="4"/>
  <c r="T76" i="4"/>
  <c r="U76" i="4"/>
  <c r="W76" i="4"/>
  <c r="L77" i="4"/>
  <c r="T77" i="4"/>
  <c r="U77" i="4"/>
  <c r="W77" i="4"/>
  <c r="L78" i="4"/>
  <c r="T78" i="4"/>
  <c r="U78" i="4"/>
  <c r="W78" i="4"/>
  <c r="L79" i="4"/>
  <c r="T79" i="4"/>
  <c r="U79" i="4"/>
  <c r="W79" i="4"/>
  <c r="L80" i="4"/>
  <c r="T80" i="4"/>
  <c r="U80" i="4"/>
  <c r="W80" i="4"/>
  <c r="L81" i="4"/>
  <c r="T81" i="4"/>
  <c r="U81" i="4"/>
  <c r="W81" i="4"/>
  <c r="L82" i="4"/>
  <c r="T82" i="4"/>
  <c r="U82" i="4"/>
  <c r="W82" i="4"/>
  <c r="L83" i="4"/>
  <c r="T83" i="4"/>
  <c r="U83" i="4"/>
  <c r="W83" i="4"/>
  <c r="L84" i="4"/>
  <c r="T84" i="4"/>
  <c r="U84" i="4"/>
  <c r="W84" i="4"/>
  <c r="L85" i="4"/>
  <c r="T85" i="4"/>
  <c r="U85" i="4"/>
  <c r="W85" i="4"/>
  <c r="L86" i="4"/>
  <c r="T86" i="4"/>
  <c r="U86" i="4"/>
  <c r="W86" i="4"/>
  <c r="L87" i="4"/>
  <c r="T87" i="4"/>
  <c r="U87" i="4"/>
  <c r="W87" i="4"/>
  <c r="L88" i="4"/>
  <c r="T88" i="4"/>
  <c r="U88" i="4"/>
  <c r="W88" i="4"/>
  <c r="L89" i="4"/>
  <c r="T89" i="4"/>
  <c r="U89" i="4"/>
  <c r="W89" i="4"/>
  <c r="L90" i="4"/>
  <c r="T90" i="4"/>
  <c r="U90" i="4"/>
  <c r="W90" i="4"/>
  <c r="L91" i="4"/>
  <c r="T91" i="4"/>
  <c r="U91" i="4"/>
  <c r="W91" i="4"/>
  <c r="L92" i="4"/>
  <c r="T92" i="4"/>
  <c r="U92" i="4"/>
  <c r="W92" i="4"/>
  <c r="L93" i="4"/>
  <c r="T93" i="4"/>
  <c r="U93" i="4"/>
  <c r="W93" i="4"/>
  <c r="L94" i="4"/>
  <c r="T94" i="4"/>
  <c r="U94" i="4"/>
  <c r="W94" i="4"/>
  <c r="L95" i="4"/>
  <c r="T95" i="4"/>
  <c r="U95" i="4"/>
  <c r="W95" i="4"/>
  <c r="L96" i="4"/>
  <c r="T96" i="4"/>
  <c r="U96" i="4"/>
  <c r="W96" i="4"/>
  <c r="L97" i="4"/>
  <c r="T97" i="4"/>
  <c r="U97" i="4"/>
  <c r="W97" i="4"/>
  <c r="L98" i="4"/>
  <c r="T98" i="4"/>
  <c r="U98" i="4"/>
  <c r="W98" i="4"/>
  <c r="L99" i="4"/>
  <c r="T99" i="4"/>
  <c r="U99" i="4"/>
  <c r="W99" i="4"/>
  <c r="L100" i="4"/>
  <c r="T100" i="4"/>
  <c r="U100" i="4"/>
  <c r="W100" i="4"/>
  <c r="L101" i="4"/>
  <c r="T101" i="4"/>
  <c r="U101" i="4"/>
  <c r="W101" i="4"/>
  <c r="L102" i="4"/>
  <c r="T102" i="4"/>
  <c r="U102" i="4"/>
  <c r="W102" i="4"/>
  <c r="L103" i="4"/>
  <c r="T103" i="4"/>
  <c r="U103" i="4"/>
  <c r="W103" i="4"/>
  <c r="L104" i="4"/>
  <c r="T104" i="4"/>
  <c r="U104" i="4"/>
  <c r="W104" i="4"/>
  <c r="L105" i="4"/>
  <c r="T105" i="4"/>
  <c r="U105" i="4"/>
  <c r="W105" i="4"/>
  <c r="L106" i="4"/>
  <c r="T106" i="4"/>
  <c r="U106" i="4"/>
  <c r="W106" i="4"/>
  <c r="L107" i="4"/>
  <c r="T107" i="4"/>
  <c r="U107" i="4"/>
  <c r="W107" i="4"/>
  <c r="L108" i="4"/>
  <c r="T108" i="4"/>
  <c r="U108" i="4"/>
  <c r="W108" i="4"/>
  <c r="L109" i="4"/>
  <c r="T109" i="4"/>
  <c r="U109" i="4"/>
  <c r="W109" i="4"/>
  <c r="L110" i="4"/>
  <c r="T110" i="4"/>
  <c r="U110" i="4"/>
  <c r="W110" i="4"/>
  <c r="L111" i="4"/>
  <c r="T111" i="4"/>
  <c r="U111" i="4"/>
  <c r="W111" i="4"/>
  <c r="L112" i="4"/>
  <c r="T112" i="4"/>
  <c r="U112" i="4"/>
  <c r="W112" i="4"/>
  <c r="L113" i="4"/>
  <c r="T113" i="4"/>
  <c r="U113" i="4"/>
  <c r="W113" i="4"/>
  <c r="L114" i="4"/>
  <c r="T114" i="4"/>
  <c r="U114" i="4"/>
  <c r="W114" i="4"/>
  <c r="L115" i="4"/>
  <c r="T115" i="4"/>
  <c r="U115" i="4"/>
  <c r="W115" i="4"/>
  <c r="L116" i="4"/>
  <c r="T116" i="4"/>
  <c r="U116" i="4"/>
  <c r="W116" i="4"/>
  <c r="L117" i="4"/>
  <c r="T117" i="4"/>
  <c r="U117" i="4"/>
  <c r="W117" i="4"/>
  <c r="L118" i="4"/>
  <c r="T118" i="4"/>
  <c r="U118" i="4"/>
  <c r="W118" i="4"/>
  <c r="L119" i="4"/>
  <c r="T119" i="4"/>
  <c r="U119" i="4"/>
  <c r="W119" i="4"/>
  <c r="L120" i="4"/>
  <c r="T120" i="4"/>
  <c r="U120" i="4"/>
  <c r="W120" i="4"/>
  <c r="L121" i="4"/>
  <c r="T121" i="4"/>
  <c r="U121" i="4"/>
  <c r="W121" i="4"/>
  <c r="L122" i="4"/>
  <c r="T122" i="4"/>
  <c r="U122" i="4"/>
  <c r="W122" i="4"/>
  <c r="L123" i="4"/>
  <c r="T123" i="4"/>
  <c r="U123" i="4"/>
  <c r="W123" i="4"/>
  <c r="L124" i="4"/>
  <c r="T124" i="4"/>
  <c r="U124" i="4"/>
  <c r="W124" i="4"/>
  <c r="L125" i="4"/>
  <c r="T125" i="4"/>
  <c r="U125" i="4"/>
  <c r="W125" i="4"/>
  <c r="L126" i="4"/>
  <c r="T126" i="4"/>
  <c r="U126" i="4"/>
  <c r="W126" i="4"/>
  <c r="L127" i="4"/>
  <c r="T127" i="4"/>
  <c r="U127" i="4"/>
  <c r="W127" i="4"/>
  <c r="L128" i="4"/>
  <c r="T128" i="4"/>
  <c r="U128" i="4"/>
  <c r="W128" i="4"/>
  <c r="L129" i="4"/>
  <c r="T129" i="4"/>
  <c r="U129" i="4"/>
  <c r="W129" i="4"/>
  <c r="L130" i="4"/>
  <c r="T130" i="4"/>
  <c r="U130" i="4"/>
  <c r="W130" i="4"/>
  <c r="L131" i="4"/>
  <c r="T131" i="4"/>
  <c r="U131" i="4"/>
  <c r="W131" i="4"/>
  <c r="L132" i="4"/>
  <c r="T132" i="4"/>
  <c r="U132" i="4"/>
  <c r="W132" i="4"/>
  <c r="L133" i="4"/>
  <c r="T133" i="4"/>
  <c r="U133" i="4"/>
  <c r="W133" i="4"/>
  <c r="L134" i="4"/>
  <c r="T134" i="4"/>
  <c r="U134" i="4"/>
  <c r="W134" i="4"/>
  <c r="L135" i="4"/>
  <c r="T135" i="4"/>
  <c r="U135" i="4"/>
  <c r="W135" i="4"/>
  <c r="L136" i="4"/>
  <c r="T136" i="4"/>
  <c r="U136" i="4"/>
  <c r="W136" i="4"/>
  <c r="L137" i="4"/>
  <c r="T137" i="4"/>
  <c r="U137" i="4"/>
  <c r="W137" i="4"/>
  <c r="L138" i="4"/>
  <c r="T138" i="4"/>
  <c r="U138" i="4"/>
  <c r="W138" i="4"/>
  <c r="L139" i="4"/>
  <c r="T139" i="4"/>
  <c r="U139" i="4"/>
  <c r="W139" i="4"/>
  <c r="L140" i="4"/>
  <c r="T140" i="4"/>
  <c r="U140" i="4"/>
  <c r="W140" i="4"/>
  <c r="L141" i="4"/>
  <c r="T141" i="4"/>
  <c r="U141" i="4"/>
  <c r="W141" i="4"/>
  <c r="L142" i="4"/>
  <c r="T142" i="4"/>
  <c r="U142" i="4"/>
  <c r="W142" i="4"/>
  <c r="L143" i="4"/>
  <c r="T143" i="4"/>
  <c r="U143" i="4"/>
  <c r="W143" i="4"/>
  <c r="L144" i="4"/>
  <c r="T144" i="4"/>
  <c r="U144" i="4"/>
  <c r="W144" i="4"/>
  <c r="L145" i="4"/>
  <c r="T145" i="4"/>
  <c r="U145" i="4"/>
  <c r="W145" i="4"/>
  <c r="L146" i="4"/>
  <c r="T146" i="4"/>
  <c r="U146" i="4"/>
  <c r="W146" i="4"/>
  <c r="L147" i="4"/>
  <c r="T147" i="4"/>
  <c r="U147" i="4"/>
  <c r="W147" i="4"/>
  <c r="L148" i="4"/>
  <c r="T148" i="4"/>
  <c r="U148" i="4"/>
  <c r="W148" i="4"/>
  <c r="L149" i="4"/>
  <c r="T149" i="4"/>
  <c r="U149" i="4"/>
  <c r="W149" i="4"/>
  <c r="L150" i="4"/>
  <c r="T150" i="4"/>
  <c r="U150" i="4"/>
  <c r="W150" i="4"/>
  <c r="L151" i="4"/>
  <c r="T151" i="4"/>
  <c r="U151" i="4"/>
  <c r="W151" i="4"/>
  <c r="L152" i="4"/>
  <c r="T152" i="4"/>
  <c r="U152" i="4"/>
  <c r="W152" i="4"/>
  <c r="L153" i="4"/>
  <c r="T153" i="4"/>
  <c r="U153" i="4"/>
  <c r="W153" i="4"/>
  <c r="L154" i="4"/>
  <c r="T154" i="4"/>
  <c r="U154" i="4"/>
  <c r="W154" i="4"/>
  <c r="L155" i="4"/>
  <c r="T155" i="4"/>
  <c r="U155" i="4"/>
  <c r="W155" i="4"/>
  <c r="L156" i="4"/>
  <c r="T156" i="4"/>
  <c r="U156" i="4"/>
  <c r="W156" i="4"/>
  <c r="L157" i="4"/>
  <c r="T157" i="4"/>
  <c r="U157" i="4"/>
  <c r="W157" i="4"/>
  <c r="L158" i="4"/>
  <c r="T158" i="4"/>
  <c r="U158" i="4"/>
  <c r="W158" i="4"/>
  <c r="L159" i="4"/>
  <c r="T159" i="4"/>
  <c r="U159" i="4"/>
  <c r="W159" i="4"/>
  <c r="L160" i="4"/>
  <c r="T160" i="4"/>
  <c r="U160" i="4"/>
  <c r="W160" i="4"/>
  <c r="L161" i="4"/>
  <c r="T161" i="4"/>
  <c r="U161" i="4"/>
  <c r="W161" i="4"/>
  <c r="L162" i="4"/>
  <c r="T162" i="4"/>
  <c r="U162" i="4"/>
  <c r="W162" i="4"/>
  <c r="L163" i="4"/>
  <c r="T163" i="4"/>
  <c r="U163" i="4"/>
  <c r="W163" i="4"/>
  <c r="L164" i="4"/>
  <c r="T164" i="4"/>
  <c r="U164" i="4"/>
  <c r="W164" i="4"/>
  <c r="L165" i="4"/>
  <c r="T165" i="4"/>
  <c r="U165" i="4"/>
  <c r="W165" i="4"/>
  <c r="L166" i="4"/>
  <c r="T166" i="4"/>
  <c r="U166" i="4"/>
  <c r="W166" i="4"/>
  <c r="L167" i="4"/>
  <c r="T167" i="4"/>
  <c r="U167" i="4"/>
  <c r="W167" i="4"/>
  <c r="L168" i="4"/>
  <c r="T168" i="4"/>
  <c r="U168" i="4"/>
  <c r="W168" i="4"/>
  <c r="L169" i="4"/>
  <c r="T169" i="4"/>
  <c r="U169" i="4"/>
  <c r="W169" i="4"/>
  <c r="L170" i="4"/>
  <c r="T170" i="4"/>
  <c r="U170" i="4"/>
  <c r="W170" i="4"/>
  <c r="L171" i="4"/>
  <c r="T171" i="4"/>
  <c r="U171" i="4"/>
  <c r="W171" i="4"/>
  <c r="L172" i="4"/>
  <c r="T172" i="4"/>
  <c r="U172" i="4"/>
  <c r="W172" i="4"/>
  <c r="L173" i="4"/>
  <c r="T173" i="4"/>
  <c r="U173" i="4"/>
  <c r="W173" i="4"/>
  <c r="L174" i="4"/>
  <c r="T174" i="4"/>
  <c r="U174" i="4"/>
  <c r="W174" i="4"/>
  <c r="L175" i="4"/>
  <c r="T175" i="4"/>
  <c r="U175" i="4"/>
  <c r="W175" i="4"/>
  <c r="L176" i="4"/>
  <c r="T176" i="4"/>
  <c r="U176" i="4"/>
  <c r="W176" i="4"/>
  <c r="L177" i="4"/>
  <c r="T177" i="4"/>
  <c r="U177" i="4"/>
  <c r="W177" i="4"/>
  <c r="L178" i="4"/>
  <c r="T178" i="4"/>
  <c r="U178" i="4"/>
  <c r="W178" i="4"/>
  <c r="L179" i="4"/>
  <c r="T179" i="4"/>
  <c r="U179" i="4"/>
  <c r="W179" i="4"/>
  <c r="L180" i="4"/>
  <c r="T180" i="4"/>
  <c r="U180" i="4"/>
  <c r="W180" i="4"/>
  <c r="L181" i="4"/>
  <c r="T181" i="4"/>
  <c r="U181" i="4"/>
  <c r="W181" i="4"/>
  <c r="L182" i="4"/>
  <c r="T182" i="4"/>
  <c r="U182" i="4"/>
  <c r="W182" i="4"/>
  <c r="L183" i="4"/>
  <c r="T183" i="4"/>
  <c r="U183" i="4"/>
  <c r="W183" i="4"/>
  <c r="L184" i="4"/>
  <c r="T184" i="4"/>
  <c r="U184" i="4"/>
  <c r="W184" i="4"/>
  <c r="L185" i="4"/>
  <c r="T185" i="4"/>
  <c r="U185" i="4"/>
  <c r="W185" i="4"/>
  <c r="L186" i="4"/>
  <c r="T186" i="4"/>
  <c r="U186" i="4"/>
  <c r="W186" i="4"/>
  <c r="L187" i="4"/>
  <c r="T187" i="4"/>
  <c r="U187" i="4"/>
  <c r="W187" i="4"/>
  <c r="L188" i="4"/>
  <c r="T188" i="4"/>
  <c r="U188" i="4"/>
  <c r="W188" i="4"/>
  <c r="L189" i="4"/>
  <c r="T189" i="4"/>
  <c r="U189" i="4"/>
  <c r="W189" i="4"/>
  <c r="L190" i="4"/>
  <c r="T190" i="4"/>
  <c r="U190" i="4"/>
  <c r="W190" i="4"/>
  <c r="L191" i="4"/>
  <c r="T191" i="4"/>
  <c r="U191" i="4"/>
  <c r="W191" i="4"/>
  <c r="L192" i="4"/>
  <c r="T192" i="4"/>
  <c r="U192" i="4"/>
  <c r="W192" i="4"/>
  <c r="L193" i="4"/>
  <c r="T193" i="4"/>
  <c r="U193" i="4"/>
  <c r="W193" i="4"/>
  <c r="L194" i="4"/>
  <c r="T194" i="4"/>
  <c r="U194" i="4"/>
  <c r="W194" i="4"/>
  <c r="L195" i="4"/>
  <c r="T195" i="4"/>
  <c r="U195" i="4"/>
  <c r="W195" i="4"/>
  <c r="L196" i="4"/>
  <c r="T196" i="4"/>
  <c r="U196" i="4"/>
  <c r="W196" i="4"/>
  <c r="L197" i="4"/>
  <c r="T197" i="4"/>
  <c r="U197" i="4"/>
  <c r="W197" i="4"/>
  <c r="L198" i="4"/>
  <c r="T198" i="4"/>
  <c r="U198" i="4"/>
  <c r="W198" i="4"/>
  <c r="L199" i="4"/>
  <c r="T199" i="4"/>
  <c r="U199" i="4"/>
  <c r="W199" i="4"/>
  <c r="L200" i="4"/>
  <c r="T200" i="4"/>
  <c r="U200" i="4"/>
  <c r="W200" i="4"/>
  <c r="L201" i="4"/>
  <c r="T201" i="4"/>
  <c r="U201" i="4"/>
  <c r="W201" i="4"/>
  <c r="L202" i="4"/>
  <c r="T202" i="4"/>
  <c r="U202" i="4"/>
  <c r="W202" i="4"/>
  <c r="L203" i="4"/>
  <c r="T203" i="4"/>
  <c r="U203" i="4"/>
  <c r="W203" i="4"/>
  <c r="L204" i="4"/>
  <c r="T204" i="4"/>
  <c r="U204" i="4"/>
  <c r="W204" i="4"/>
  <c r="L205" i="4"/>
  <c r="T205" i="4"/>
  <c r="U205" i="4"/>
  <c r="W205" i="4"/>
  <c r="L206" i="4"/>
  <c r="T206" i="4"/>
  <c r="U206" i="4"/>
  <c r="W206" i="4"/>
  <c r="L207" i="4"/>
  <c r="T207" i="4"/>
  <c r="U207" i="4"/>
  <c r="W207" i="4"/>
  <c r="L208" i="4"/>
  <c r="T208" i="4"/>
  <c r="U208" i="4"/>
  <c r="W208" i="4"/>
  <c r="L209" i="4"/>
  <c r="T209" i="4"/>
  <c r="U209" i="4"/>
  <c r="W209" i="4"/>
  <c r="L210" i="4"/>
  <c r="T210" i="4"/>
  <c r="U210" i="4"/>
  <c r="W210" i="4"/>
  <c r="L211" i="4"/>
  <c r="T211" i="4"/>
  <c r="U211" i="4"/>
  <c r="W211" i="4"/>
  <c r="L212" i="4"/>
  <c r="T212" i="4"/>
  <c r="U212" i="4"/>
  <c r="W212" i="4"/>
  <c r="L213" i="4"/>
  <c r="T213" i="4"/>
  <c r="U213" i="4"/>
  <c r="W213" i="4"/>
  <c r="L214" i="4"/>
  <c r="T214" i="4"/>
  <c r="U214" i="4"/>
  <c r="W214" i="4"/>
  <c r="L215" i="4"/>
  <c r="T215" i="4"/>
  <c r="U215" i="4"/>
  <c r="W215" i="4"/>
  <c r="L216" i="4"/>
  <c r="T216" i="4"/>
  <c r="U216" i="4"/>
  <c r="W216" i="4"/>
  <c r="L217" i="4"/>
  <c r="T217" i="4"/>
  <c r="U217" i="4"/>
  <c r="W217" i="4"/>
  <c r="L218" i="4"/>
  <c r="T218" i="4"/>
  <c r="U218" i="4"/>
  <c r="W218" i="4"/>
  <c r="L219" i="4"/>
  <c r="T219" i="4"/>
  <c r="U219" i="4"/>
  <c r="W219" i="4"/>
  <c r="L220" i="4"/>
  <c r="T220" i="4"/>
  <c r="U220" i="4"/>
  <c r="W220" i="4"/>
  <c r="L221" i="4"/>
  <c r="T221" i="4"/>
  <c r="U221" i="4"/>
  <c r="W221" i="4"/>
  <c r="L222" i="4"/>
  <c r="T222" i="4"/>
  <c r="U222" i="4"/>
  <c r="W222" i="4"/>
  <c r="L223" i="4"/>
  <c r="T223" i="4"/>
  <c r="U223" i="4"/>
  <c r="W223" i="4"/>
  <c r="L224" i="4"/>
  <c r="T224" i="4"/>
  <c r="U224" i="4"/>
  <c r="W224" i="4"/>
  <c r="L225" i="4"/>
  <c r="T225" i="4"/>
  <c r="U225" i="4"/>
  <c r="W225" i="4"/>
  <c r="L226" i="4"/>
  <c r="T226" i="4"/>
  <c r="U226" i="4"/>
  <c r="W226" i="4"/>
  <c r="L227" i="4"/>
  <c r="T227" i="4"/>
  <c r="U227" i="4"/>
  <c r="W227" i="4"/>
  <c r="L228" i="4"/>
  <c r="T228" i="4"/>
  <c r="U228" i="4"/>
  <c r="W228" i="4"/>
  <c r="L229" i="4"/>
  <c r="T229" i="4"/>
  <c r="U229" i="4"/>
  <c r="W229" i="4"/>
  <c r="L230" i="4"/>
  <c r="T230" i="4"/>
  <c r="U230" i="4"/>
  <c r="W230" i="4"/>
  <c r="L231" i="4"/>
  <c r="T231" i="4"/>
  <c r="U231" i="4"/>
  <c r="W231" i="4"/>
  <c r="L232" i="4"/>
  <c r="T232" i="4"/>
  <c r="U232" i="4"/>
  <c r="W232" i="4"/>
  <c r="L233" i="4"/>
  <c r="T233" i="4"/>
  <c r="U233" i="4"/>
  <c r="W233" i="4"/>
  <c r="L234" i="4"/>
  <c r="T234" i="4"/>
  <c r="U234" i="4"/>
  <c r="W234" i="4"/>
  <c r="L235" i="4"/>
  <c r="T235" i="4"/>
  <c r="U235" i="4"/>
  <c r="W235" i="4"/>
  <c r="L236" i="4"/>
  <c r="T236" i="4"/>
  <c r="U236" i="4"/>
  <c r="W236" i="4"/>
  <c r="L237" i="4"/>
  <c r="T237" i="4"/>
  <c r="U237" i="4"/>
  <c r="W237" i="4"/>
  <c r="L238" i="4"/>
  <c r="T238" i="4"/>
  <c r="U238" i="4"/>
  <c r="W238" i="4"/>
  <c r="L239" i="4"/>
  <c r="T239" i="4"/>
  <c r="U239" i="4"/>
  <c r="W239" i="4"/>
  <c r="L240" i="4"/>
  <c r="T240" i="4"/>
  <c r="U240" i="4"/>
  <c r="W240" i="4"/>
  <c r="L241" i="4"/>
  <c r="T241" i="4"/>
  <c r="U241" i="4"/>
  <c r="W241" i="4"/>
  <c r="L242" i="4"/>
  <c r="T242" i="4"/>
  <c r="U242" i="4"/>
  <c r="W242" i="4"/>
  <c r="L243" i="4"/>
  <c r="T243" i="4"/>
  <c r="U243" i="4"/>
  <c r="W243" i="4"/>
  <c r="L244" i="4"/>
  <c r="T244" i="4"/>
  <c r="U244" i="4"/>
  <c r="W244" i="4"/>
  <c r="L245" i="4"/>
  <c r="T245" i="4"/>
  <c r="U245" i="4"/>
  <c r="W245" i="4"/>
  <c r="L246" i="4"/>
  <c r="T246" i="4"/>
  <c r="U246" i="4"/>
  <c r="W246" i="4"/>
  <c r="L247" i="4"/>
  <c r="T247" i="4"/>
  <c r="U247" i="4"/>
  <c r="W247" i="4"/>
  <c r="L248" i="4"/>
  <c r="T248" i="4"/>
  <c r="U248" i="4"/>
  <c r="W248" i="4"/>
  <c r="L249" i="4"/>
  <c r="T249" i="4"/>
  <c r="U249" i="4"/>
  <c r="W249" i="4"/>
  <c r="L250" i="4"/>
  <c r="T250" i="4"/>
  <c r="U250" i="4"/>
  <c r="W250" i="4"/>
  <c r="L251" i="4"/>
  <c r="T251" i="4"/>
  <c r="U251" i="4"/>
  <c r="W251" i="4"/>
  <c r="L252" i="4"/>
  <c r="T252" i="4"/>
  <c r="U252" i="4"/>
  <c r="W252" i="4"/>
  <c r="L253" i="4"/>
  <c r="T253" i="4"/>
  <c r="U253" i="4"/>
  <c r="W253" i="4"/>
  <c r="L254" i="4"/>
  <c r="T254" i="4"/>
  <c r="U254" i="4"/>
  <c r="W254" i="4"/>
  <c r="L255" i="4"/>
  <c r="T255" i="4"/>
  <c r="U255" i="4"/>
  <c r="W255" i="4"/>
  <c r="L256" i="4"/>
  <c r="T256" i="4"/>
  <c r="U256" i="4"/>
  <c r="W256" i="4"/>
  <c r="L257" i="4"/>
  <c r="T257" i="4"/>
  <c r="U257" i="4"/>
  <c r="W257" i="4"/>
  <c r="L258" i="4"/>
  <c r="T258" i="4"/>
  <c r="U258" i="4"/>
  <c r="W258" i="4"/>
  <c r="L259" i="4"/>
  <c r="T259" i="4"/>
  <c r="U259" i="4"/>
  <c r="W259" i="4"/>
  <c r="L260" i="4"/>
  <c r="T260" i="4"/>
  <c r="U260" i="4"/>
  <c r="W260" i="4"/>
  <c r="L261" i="4"/>
  <c r="T261" i="4"/>
  <c r="U261" i="4"/>
  <c r="W261" i="4"/>
  <c r="L262" i="4"/>
  <c r="T262" i="4"/>
  <c r="U262" i="4"/>
  <c r="W262" i="4"/>
  <c r="L263" i="4"/>
  <c r="T263" i="4"/>
  <c r="U263" i="4"/>
  <c r="W263" i="4"/>
  <c r="L264" i="4"/>
  <c r="T264" i="4"/>
  <c r="U264" i="4"/>
  <c r="W264" i="4"/>
  <c r="L265" i="4"/>
  <c r="T265" i="4"/>
  <c r="U265" i="4"/>
  <c r="W265" i="4"/>
  <c r="L266" i="4"/>
  <c r="T266" i="4"/>
  <c r="U266" i="4"/>
  <c r="W266" i="4"/>
  <c r="L267" i="4"/>
  <c r="T267" i="4"/>
  <c r="U267" i="4"/>
  <c r="W267" i="4"/>
  <c r="L268" i="4"/>
  <c r="T268" i="4"/>
  <c r="U268" i="4"/>
  <c r="W268" i="4"/>
  <c r="L269" i="4"/>
  <c r="T269" i="4"/>
  <c r="U269" i="4"/>
  <c r="W269" i="4"/>
  <c r="L270" i="4"/>
  <c r="T270" i="4"/>
  <c r="U270" i="4"/>
  <c r="W270" i="4"/>
  <c r="L271" i="4"/>
  <c r="T271" i="4"/>
  <c r="U271" i="4"/>
  <c r="W271" i="4"/>
  <c r="L272" i="4"/>
  <c r="T272" i="4"/>
  <c r="U272" i="4"/>
  <c r="W272" i="4"/>
  <c r="L273" i="4"/>
  <c r="T273" i="4"/>
  <c r="U273" i="4"/>
  <c r="W273" i="4"/>
  <c r="L274" i="4"/>
  <c r="T274" i="4"/>
  <c r="U274" i="4"/>
  <c r="W274" i="4"/>
  <c r="L275" i="4"/>
  <c r="T275" i="4"/>
  <c r="U275" i="4"/>
  <c r="W275" i="4"/>
  <c r="L276" i="4"/>
  <c r="T276" i="4"/>
  <c r="U276" i="4"/>
  <c r="W276" i="4"/>
  <c r="L277" i="4"/>
  <c r="T277" i="4"/>
  <c r="U277" i="4"/>
  <c r="W277" i="4"/>
  <c r="L278" i="4"/>
  <c r="T278" i="4"/>
  <c r="U278" i="4"/>
  <c r="W278" i="4"/>
  <c r="L279" i="4"/>
  <c r="T279" i="4"/>
  <c r="U279" i="4"/>
  <c r="W279" i="4"/>
  <c r="L280" i="4"/>
  <c r="T280" i="4"/>
  <c r="U280" i="4"/>
  <c r="W280" i="4"/>
  <c r="L281" i="4"/>
  <c r="T281" i="4"/>
  <c r="U281" i="4"/>
  <c r="W281" i="4"/>
  <c r="L282" i="4"/>
  <c r="T282" i="4"/>
  <c r="U282" i="4"/>
  <c r="W282" i="4"/>
  <c r="L283" i="4"/>
  <c r="T283" i="4"/>
  <c r="U283" i="4"/>
  <c r="W283" i="4"/>
  <c r="L284" i="4"/>
  <c r="T284" i="4"/>
  <c r="U284" i="4"/>
  <c r="W284" i="4"/>
  <c r="L285" i="4"/>
  <c r="T285" i="4"/>
  <c r="U285" i="4"/>
  <c r="W285" i="4"/>
  <c r="L286" i="4"/>
  <c r="T286" i="4"/>
  <c r="U286" i="4"/>
  <c r="W286" i="4"/>
  <c r="L287" i="4"/>
  <c r="T287" i="4"/>
  <c r="U287" i="4"/>
  <c r="W287" i="4"/>
  <c r="L288" i="4"/>
  <c r="T288" i="4"/>
  <c r="U288" i="4"/>
  <c r="W288" i="4"/>
  <c r="L289" i="4"/>
  <c r="T289" i="4"/>
  <c r="U289" i="4"/>
  <c r="W289" i="4"/>
  <c r="L290" i="4"/>
  <c r="T290" i="4"/>
  <c r="U290" i="4"/>
  <c r="W290" i="4"/>
  <c r="L291" i="4"/>
  <c r="T291" i="4"/>
  <c r="U291" i="4"/>
  <c r="W291" i="4"/>
  <c r="L292" i="4"/>
  <c r="T292" i="4"/>
  <c r="U292" i="4"/>
  <c r="W292" i="4"/>
  <c r="L293" i="4"/>
  <c r="T293" i="4"/>
  <c r="U293" i="4"/>
  <c r="W293" i="4"/>
  <c r="L294" i="4"/>
  <c r="T294" i="4"/>
  <c r="U294" i="4"/>
  <c r="W294" i="4"/>
  <c r="L295" i="4"/>
  <c r="T295" i="4"/>
  <c r="U295" i="4"/>
  <c r="W295" i="4"/>
  <c r="L296" i="4"/>
  <c r="T296" i="4"/>
  <c r="U296" i="4"/>
  <c r="W296" i="4"/>
  <c r="L297" i="4"/>
  <c r="T297" i="4"/>
  <c r="U297" i="4"/>
  <c r="W297" i="4"/>
  <c r="L298" i="4"/>
  <c r="T298" i="4"/>
  <c r="U298" i="4"/>
  <c r="W298" i="4"/>
  <c r="L299" i="4"/>
  <c r="T299" i="4"/>
  <c r="U299" i="4"/>
  <c r="W299" i="4"/>
  <c r="L300" i="4"/>
  <c r="T300" i="4"/>
  <c r="U300" i="4"/>
  <c r="W300" i="4"/>
  <c r="L301" i="4"/>
  <c r="T301" i="4"/>
  <c r="U301" i="4"/>
  <c r="W301" i="4"/>
  <c r="L302" i="4"/>
  <c r="T302" i="4"/>
  <c r="U302" i="4"/>
  <c r="W302" i="4"/>
  <c r="L303" i="4"/>
  <c r="T303" i="4"/>
  <c r="U303" i="4"/>
  <c r="W303" i="4"/>
  <c r="L304" i="4"/>
  <c r="T304" i="4"/>
  <c r="U304" i="4"/>
  <c r="W304" i="4"/>
  <c r="L305" i="4"/>
  <c r="T305" i="4"/>
  <c r="U305" i="4"/>
  <c r="W305" i="4"/>
  <c r="L306" i="4"/>
  <c r="T306" i="4"/>
  <c r="U306" i="4"/>
  <c r="W306" i="4"/>
  <c r="L307" i="4"/>
  <c r="T307" i="4"/>
  <c r="U307" i="4"/>
  <c r="W307" i="4"/>
  <c r="L308" i="4"/>
  <c r="T308" i="4"/>
  <c r="U308" i="4"/>
  <c r="W308" i="4"/>
  <c r="L309" i="4"/>
  <c r="T309" i="4"/>
  <c r="U309" i="4"/>
  <c r="W309" i="4"/>
  <c r="L310" i="4"/>
  <c r="T310" i="4"/>
  <c r="U310" i="4"/>
  <c r="W310" i="4"/>
  <c r="L311" i="4"/>
  <c r="T311" i="4"/>
  <c r="U311" i="4"/>
  <c r="W311" i="4"/>
  <c r="L312" i="4"/>
  <c r="T312" i="4"/>
  <c r="U312" i="4"/>
  <c r="W312" i="4"/>
  <c r="L313" i="4"/>
  <c r="T313" i="4"/>
  <c r="U313" i="4"/>
  <c r="W313" i="4"/>
  <c r="L314" i="4"/>
  <c r="T314" i="4"/>
  <c r="U314" i="4"/>
  <c r="W314" i="4"/>
  <c r="L315" i="4"/>
  <c r="T315" i="4"/>
  <c r="U315" i="4"/>
  <c r="W315" i="4"/>
  <c r="L316" i="4"/>
  <c r="T316" i="4"/>
  <c r="U316" i="4"/>
  <c r="W316" i="4"/>
  <c r="L317" i="4"/>
  <c r="T317" i="4"/>
  <c r="U317" i="4"/>
  <c r="W317" i="4"/>
  <c r="L318" i="4"/>
  <c r="T318" i="4"/>
  <c r="U318" i="4"/>
  <c r="W318" i="4"/>
  <c r="L319" i="4"/>
  <c r="T319" i="4"/>
  <c r="U319" i="4"/>
  <c r="W319" i="4"/>
  <c r="L320" i="4"/>
  <c r="T320" i="4"/>
  <c r="U320" i="4"/>
  <c r="W320" i="4"/>
  <c r="L321" i="4"/>
  <c r="T321" i="4"/>
  <c r="U321" i="4"/>
  <c r="W321" i="4"/>
  <c r="L322" i="4"/>
  <c r="T322" i="4"/>
  <c r="U322" i="4"/>
  <c r="W322" i="4"/>
  <c r="L323" i="4"/>
  <c r="T323" i="4"/>
  <c r="U323" i="4"/>
  <c r="W323" i="4"/>
  <c r="L324" i="4"/>
  <c r="T324" i="4"/>
  <c r="U324" i="4"/>
  <c r="W324" i="4"/>
  <c r="L325" i="4"/>
  <c r="T325" i="4"/>
  <c r="U325" i="4"/>
  <c r="W325" i="4"/>
  <c r="L326" i="4"/>
  <c r="T326" i="4"/>
  <c r="U326" i="4"/>
  <c r="W326" i="4"/>
  <c r="L327" i="4"/>
  <c r="T327" i="4"/>
  <c r="U327" i="4"/>
  <c r="W327" i="4"/>
  <c r="L328" i="4"/>
  <c r="T328" i="4"/>
  <c r="U328" i="4"/>
  <c r="W328" i="4"/>
  <c r="L329" i="4"/>
  <c r="T329" i="4"/>
  <c r="U329" i="4"/>
  <c r="W329" i="4"/>
  <c r="L330" i="4"/>
  <c r="T330" i="4"/>
  <c r="U330" i="4"/>
  <c r="W330" i="4"/>
  <c r="L331" i="4"/>
  <c r="T331" i="4"/>
  <c r="U331" i="4"/>
  <c r="W331" i="4"/>
  <c r="L332" i="4"/>
  <c r="T332" i="4"/>
  <c r="U332" i="4"/>
  <c r="W332" i="4"/>
  <c r="L333" i="4"/>
  <c r="T333" i="4"/>
  <c r="U333" i="4"/>
  <c r="W333" i="4"/>
  <c r="L334" i="4"/>
  <c r="T334" i="4"/>
  <c r="U334" i="4"/>
  <c r="W334" i="4"/>
  <c r="L335" i="4"/>
  <c r="T335" i="4"/>
  <c r="U335" i="4"/>
  <c r="W335" i="4"/>
  <c r="L336" i="4"/>
  <c r="T336" i="4"/>
  <c r="U336" i="4"/>
  <c r="W336" i="4"/>
  <c r="L337" i="4"/>
  <c r="T337" i="4"/>
  <c r="U337" i="4"/>
  <c r="W337" i="4"/>
  <c r="L338" i="4"/>
  <c r="T338" i="4"/>
  <c r="U338" i="4"/>
  <c r="W338" i="4"/>
  <c r="L339" i="4"/>
  <c r="T339" i="4"/>
  <c r="U339" i="4"/>
  <c r="W339" i="4"/>
  <c r="L340" i="4"/>
  <c r="T340" i="4"/>
  <c r="U340" i="4"/>
  <c r="W340" i="4"/>
  <c r="L341" i="4"/>
  <c r="T341" i="4"/>
  <c r="U341" i="4"/>
  <c r="W341" i="4"/>
  <c r="L342" i="4"/>
  <c r="T342" i="4"/>
  <c r="U342" i="4"/>
  <c r="W342" i="4"/>
  <c r="L343" i="4"/>
  <c r="T343" i="4"/>
  <c r="U343" i="4"/>
  <c r="W343" i="4"/>
  <c r="L344" i="4"/>
  <c r="T344" i="4"/>
  <c r="U344" i="4"/>
  <c r="W344" i="4"/>
  <c r="L345" i="4"/>
  <c r="T345" i="4"/>
  <c r="U345" i="4"/>
  <c r="W345" i="4"/>
  <c r="L346" i="4"/>
  <c r="T346" i="4"/>
  <c r="U346" i="4"/>
  <c r="W346" i="4"/>
  <c r="L347" i="4"/>
  <c r="T347" i="4"/>
  <c r="U347" i="4"/>
  <c r="W347" i="4"/>
  <c r="L348" i="4"/>
  <c r="T348" i="4"/>
  <c r="U348" i="4"/>
  <c r="W348" i="4"/>
  <c r="L349" i="4"/>
  <c r="T349" i="4"/>
  <c r="U349" i="4"/>
  <c r="W349" i="4"/>
  <c r="L350" i="4"/>
  <c r="T350" i="4"/>
  <c r="U350" i="4"/>
  <c r="W350" i="4"/>
  <c r="L351" i="4"/>
  <c r="T351" i="4"/>
  <c r="U351" i="4"/>
  <c r="W351" i="4"/>
  <c r="L352" i="4"/>
  <c r="T352" i="4"/>
  <c r="U352" i="4"/>
  <c r="W352" i="4"/>
  <c r="L353" i="4"/>
  <c r="T353" i="4"/>
  <c r="U353" i="4"/>
  <c r="W353" i="4"/>
  <c r="L354" i="4"/>
  <c r="T354" i="4"/>
  <c r="U354" i="4"/>
  <c r="W354" i="4"/>
  <c r="L355" i="4"/>
  <c r="T355" i="4"/>
  <c r="U355" i="4"/>
  <c r="W355" i="4"/>
  <c r="L356" i="4"/>
  <c r="T356" i="4"/>
  <c r="U356" i="4"/>
  <c r="W356" i="4"/>
  <c r="L357" i="4"/>
  <c r="T357" i="4"/>
  <c r="U357" i="4"/>
  <c r="W357" i="4"/>
  <c r="L358" i="4"/>
  <c r="T358" i="4"/>
  <c r="U358" i="4"/>
  <c r="W358" i="4"/>
  <c r="L359" i="4"/>
  <c r="T359" i="4"/>
  <c r="U359" i="4"/>
  <c r="W359" i="4"/>
  <c r="L360" i="4"/>
  <c r="T360" i="4"/>
  <c r="U360" i="4"/>
  <c r="W360" i="4"/>
  <c r="T361" i="4"/>
  <c r="U361" i="4"/>
  <c r="W361" i="4"/>
  <c r="L362" i="4"/>
  <c r="T362" i="4"/>
  <c r="U362" i="4"/>
  <c r="W362" i="4"/>
  <c r="L363" i="4"/>
  <c r="T363" i="4"/>
  <c r="U363" i="4"/>
  <c r="W363" i="4"/>
  <c r="L364" i="4"/>
  <c r="T364" i="4"/>
  <c r="U364" i="4"/>
  <c r="W364" i="4"/>
  <c r="L365" i="4"/>
  <c r="T365" i="4"/>
  <c r="U365" i="4"/>
  <c r="W365" i="4"/>
  <c r="L366" i="4"/>
  <c r="T366" i="4"/>
  <c r="U366" i="4"/>
  <c r="W366" i="4"/>
  <c r="L367" i="4"/>
  <c r="T367" i="4"/>
  <c r="U367" i="4"/>
  <c r="W367" i="4"/>
  <c r="L368" i="4"/>
  <c r="T368" i="4"/>
  <c r="U368" i="4"/>
  <c r="W368" i="4"/>
  <c r="L369" i="4"/>
  <c r="T369" i="4"/>
  <c r="U369" i="4"/>
  <c r="W369" i="4"/>
  <c r="L370" i="4"/>
  <c r="T370" i="4"/>
  <c r="U370" i="4"/>
  <c r="W370" i="4"/>
  <c r="L371" i="4"/>
  <c r="T371" i="4"/>
  <c r="U371" i="4"/>
  <c r="W371" i="4"/>
  <c r="L372" i="4"/>
  <c r="T372" i="4"/>
  <c r="U372" i="4"/>
  <c r="W372" i="4"/>
  <c r="L373" i="4"/>
  <c r="T373" i="4"/>
  <c r="U373" i="4"/>
  <c r="W373" i="4"/>
  <c r="L8" i="4"/>
  <c r="T8" i="4"/>
  <c r="U8" i="4"/>
  <c r="W8" i="4"/>
  <c r="AC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8" i="4"/>
  <c r="N8" i="4"/>
  <c r="Y8" i="4"/>
  <c r="N9" i="4"/>
  <c r="Y9" i="4"/>
  <c r="N10" i="4"/>
  <c r="Y10" i="4"/>
  <c r="N11" i="4"/>
  <c r="Y11" i="4"/>
  <c r="N12" i="4"/>
  <c r="Y12" i="4"/>
  <c r="N13" i="4"/>
  <c r="Y13" i="4"/>
  <c r="N14" i="4"/>
  <c r="Y14" i="4"/>
  <c r="N15" i="4"/>
  <c r="Y15" i="4"/>
  <c r="N16" i="4"/>
  <c r="Y16" i="4"/>
  <c r="N17" i="4"/>
  <c r="Y17" i="4"/>
  <c r="N18" i="4"/>
  <c r="Y18" i="4"/>
  <c r="N19" i="4"/>
  <c r="Y19" i="4"/>
  <c r="N20" i="4"/>
  <c r="Y20" i="4"/>
  <c r="N21" i="4"/>
  <c r="Y21" i="4"/>
  <c r="N22" i="4"/>
  <c r="Y22" i="4"/>
  <c r="N23" i="4"/>
  <c r="Y23" i="4"/>
  <c r="N24" i="4"/>
  <c r="Y24" i="4"/>
  <c r="N25" i="4"/>
  <c r="Y25" i="4"/>
  <c r="N26" i="4"/>
  <c r="Y26" i="4"/>
  <c r="N27" i="4"/>
  <c r="Y27" i="4"/>
  <c r="N28" i="4"/>
  <c r="Y28" i="4"/>
  <c r="N29" i="4"/>
  <c r="Y29" i="4"/>
  <c r="N30" i="4"/>
  <c r="Y30" i="4"/>
  <c r="N31" i="4"/>
  <c r="Y31" i="4"/>
  <c r="N32" i="4"/>
  <c r="Y32" i="4"/>
  <c r="N33" i="4"/>
  <c r="Y33" i="4"/>
  <c r="N34" i="4"/>
  <c r="Y34" i="4"/>
  <c r="N35" i="4"/>
  <c r="Y35" i="4"/>
  <c r="N36" i="4"/>
  <c r="Y36" i="4"/>
  <c r="N37" i="4"/>
  <c r="Y37" i="4"/>
  <c r="N38" i="4"/>
  <c r="Y38" i="4"/>
  <c r="N39" i="4"/>
  <c r="Y39" i="4"/>
  <c r="N40" i="4"/>
  <c r="Y40" i="4"/>
  <c r="N41" i="4"/>
  <c r="Y41" i="4"/>
  <c r="N42" i="4"/>
  <c r="Y42" i="4"/>
  <c r="N43" i="4"/>
  <c r="Y43" i="4"/>
  <c r="N44" i="4"/>
  <c r="Y44" i="4"/>
  <c r="N45" i="4"/>
  <c r="Y45" i="4"/>
  <c r="N46" i="4"/>
  <c r="Y46" i="4"/>
  <c r="N47" i="4"/>
  <c r="Y47" i="4"/>
  <c r="N48" i="4"/>
  <c r="Y48" i="4"/>
  <c r="N49" i="4"/>
  <c r="Y49" i="4"/>
  <c r="N50" i="4"/>
  <c r="Y50" i="4"/>
  <c r="N51" i="4"/>
  <c r="Y51" i="4"/>
  <c r="N52" i="4"/>
  <c r="Y52" i="4"/>
  <c r="N53" i="4"/>
  <c r="Y53" i="4"/>
  <c r="N54" i="4"/>
  <c r="Y54" i="4"/>
  <c r="N55" i="4"/>
  <c r="Y55" i="4"/>
  <c r="N56" i="4"/>
  <c r="Y56" i="4"/>
  <c r="N57" i="4"/>
  <c r="Y57" i="4"/>
  <c r="N58" i="4"/>
  <c r="Y58" i="4"/>
  <c r="N59" i="4"/>
  <c r="Y59" i="4"/>
  <c r="N60" i="4"/>
  <c r="Y60" i="4"/>
  <c r="N61" i="4"/>
  <c r="Y61" i="4"/>
  <c r="N62" i="4"/>
  <c r="Y62" i="4"/>
  <c r="N63" i="4"/>
  <c r="Y63" i="4"/>
  <c r="N64" i="4"/>
  <c r="Y64" i="4"/>
  <c r="N65" i="4"/>
  <c r="Y65" i="4"/>
  <c r="N66" i="4"/>
  <c r="Y66" i="4"/>
  <c r="N67" i="4"/>
  <c r="Y67" i="4"/>
  <c r="N68" i="4"/>
  <c r="Y68" i="4"/>
  <c r="N69" i="4"/>
  <c r="Y69" i="4"/>
  <c r="N70" i="4"/>
  <c r="Y70" i="4"/>
  <c r="N71" i="4"/>
  <c r="Y71" i="4"/>
  <c r="N72" i="4"/>
  <c r="Y72" i="4"/>
  <c r="N73" i="4"/>
  <c r="Y73" i="4"/>
  <c r="N74" i="4"/>
  <c r="Y74" i="4"/>
  <c r="N75" i="4"/>
  <c r="Y75" i="4"/>
  <c r="N76" i="4"/>
  <c r="Y76" i="4"/>
  <c r="N77" i="4"/>
  <c r="Y77" i="4"/>
  <c r="N78" i="4"/>
  <c r="Y78" i="4"/>
  <c r="N79" i="4"/>
  <c r="Y79" i="4"/>
  <c r="N80" i="4"/>
  <c r="Y80" i="4"/>
  <c r="N81" i="4"/>
  <c r="Y81" i="4"/>
  <c r="N82" i="4"/>
  <c r="Y82" i="4"/>
  <c r="N83" i="4"/>
  <c r="Y83" i="4"/>
  <c r="N84" i="4"/>
  <c r="Y84" i="4"/>
  <c r="N85" i="4"/>
  <c r="Y85" i="4"/>
  <c r="N86" i="4"/>
  <c r="Y86" i="4"/>
  <c r="N87" i="4"/>
  <c r="Y87" i="4"/>
  <c r="N88" i="4"/>
  <c r="Y88" i="4"/>
  <c r="N89" i="4"/>
  <c r="Y89" i="4"/>
  <c r="N90" i="4"/>
  <c r="Y90" i="4"/>
  <c r="N91" i="4"/>
  <c r="Y91" i="4"/>
  <c r="N92" i="4"/>
  <c r="Y92" i="4"/>
  <c r="N93" i="4"/>
  <c r="Y93" i="4"/>
  <c r="N94" i="4"/>
  <c r="Y94" i="4"/>
  <c r="N95" i="4"/>
  <c r="Y95" i="4"/>
  <c r="N96" i="4"/>
  <c r="Y96" i="4"/>
  <c r="N97" i="4"/>
  <c r="Y97" i="4"/>
  <c r="N98" i="4"/>
  <c r="Y98" i="4"/>
  <c r="N99" i="4"/>
  <c r="Y99" i="4"/>
  <c r="N100" i="4"/>
  <c r="Y100" i="4"/>
  <c r="N101" i="4"/>
  <c r="Y101" i="4"/>
  <c r="N102" i="4"/>
  <c r="Y102" i="4"/>
  <c r="N103" i="4"/>
  <c r="Y103" i="4"/>
  <c r="N104" i="4"/>
  <c r="Y104" i="4"/>
  <c r="N105" i="4"/>
  <c r="Y105" i="4"/>
  <c r="N106" i="4"/>
  <c r="Y106" i="4"/>
  <c r="N107" i="4"/>
  <c r="Y107" i="4"/>
  <c r="N108" i="4"/>
  <c r="Y108" i="4"/>
  <c r="N109" i="4"/>
  <c r="Y109" i="4"/>
  <c r="N110" i="4"/>
  <c r="Y110" i="4"/>
  <c r="N111" i="4"/>
  <c r="Y111" i="4"/>
  <c r="N112" i="4"/>
  <c r="Y112" i="4"/>
  <c r="N113" i="4"/>
  <c r="Y113" i="4"/>
  <c r="N114" i="4"/>
  <c r="Y114" i="4"/>
  <c r="N115" i="4"/>
  <c r="Y115" i="4"/>
  <c r="N116" i="4"/>
  <c r="Y116" i="4"/>
  <c r="N117" i="4"/>
  <c r="Y117" i="4"/>
  <c r="N118" i="4"/>
  <c r="Y118" i="4"/>
  <c r="N119" i="4"/>
  <c r="Y119" i="4"/>
  <c r="N120" i="4"/>
  <c r="Y120" i="4"/>
  <c r="N121" i="4"/>
  <c r="Y121" i="4"/>
  <c r="N122" i="4"/>
  <c r="Y122" i="4"/>
  <c r="N123" i="4"/>
  <c r="Y123" i="4"/>
  <c r="N124" i="4"/>
  <c r="Y124" i="4"/>
  <c r="N125" i="4"/>
  <c r="Y125" i="4"/>
  <c r="N126" i="4"/>
  <c r="Y126" i="4"/>
  <c r="N127" i="4"/>
  <c r="Y127" i="4"/>
  <c r="N128" i="4"/>
  <c r="Y128" i="4"/>
  <c r="N129" i="4"/>
  <c r="Y129" i="4"/>
  <c r="N130" i="4"/>
  <c r="Y130" i="4"/>
  <c r="N131" i="4"/>
  <c r="Y131" i="4"/>
  <c r="N132" i="4"/>
  <c r="Y132" i="4"/>
  <c r="N133" i="4"/>
  <c r="Y133" i="4"/>
  <c r="N134" i="4"/>
  <c r="Y134" i="4"/>
  <c r="N135" i="4"/>
  <c r="Y135" i="4"/>
  <c r="N136" i="4"/>
  <c r="Y136" i="4"/>
  <c r="N137" i="4"/>
  <c r="Y137" i="4"/>
  <c r="N138" i="4"/>
  <c r="Y138" i="4"/>
  <c r="N139" i="4"/>
  <c r="Y139" i="4"/>
  <c r="N140" i="4"/>
  <c r="Y140" i="4"/>
  <c r="N141" i="4"/>
  <c r="Y141" i="4"/>
  <c r="N142" i="4"/>
  <c r="Y142" i="4"/>
  <c r="N143" i="4"/>
  <c r="Y143" i="4"/>
  <c r="N144" i="4"/>
  <c r="Y144" i="4"/>
  <c r="N145" i="4"/>
  <c r="Y145" i="4"/>
  <c r="N146" i="4"/>
  <c r="Y146" i="4"/>
  <c r="N147" i="4"/>
  <c r="Y147" i="4"/>
  <c r="N148" i="4"/>
  <c r="Y148" i="4"/>
  <c r="N149" i="4"/>
  <c r="Y149" i="4"/>
  <c r="N150" i="4"/>
  <c r="Y150" i="4"/>
  <c r="N151" i="4"/>
  <c r="Y151" i="4"/>
  <c r="N152" i="4"/>
  <c r="Y152" i="4"/>
  <c r="N153" i="4"/>
  <c r="Y153" i="4"/>
  <c r="N154" i="4"/>
  <c r="Y154" i="4"/>
  <c r="N155" i="4"/>
  <c r="Y155" i="4"/>
  <c r="N156" i="4"/>
  <c r="Y156" i="4"/>
  <c r="N157" i="4"/>
  <c r="Y157" i="4"/>
  <c r="N158" i="4"/>
  <c r="Y158" i="4"/>
  <c r="N159" i="4"/>
  <c r="Y159" i="4"/>
  <c r="N160" i="4"/>
  <c r="Y160" i="4"/>
  <c r="N161" i="4"/>
  <c r="Y161" i="4"/>
  <c r="N162" i="4"/>
  <c r="Y162" i="4"/>
  <c r="N163" i="4"/>
  <c r="Y163" i="4"/>
  <c r="N164" i="4"/>
  <c r="Y164" i="4"/>
  <c r="N165" i="4"/>
  <c r="Y165" i="4"/>
  <c r="N166" i="4"/>
  <c r="Y166" i="4"/>
  <c r="N167" i="4"/>
  <c r="Y167" i="4"/>
  <c r="N168" i="4"/>
  <c r="Y168" i="4"/>
  <c r="N169" i="4"/>
  <c r="Y169" i="4"/>
  <c r="N170" i="4"/>
  <c r="Y170" i="4"/>
  <c r="N171" i="4"/>
  <c r="Y171" i="4"/>
  <c r="N172" i="4"/>
  <c r="Y172" i="4"/>
  <c r="N173" i="4"/>
  <c r="Y173" i="4"/>
  <c r="N174" i="4"/>
  <c r="Y174" i="4"/>
  <c r="N175" i="4"/>
  <c r="Y175" i="4"/>
  <c r="N176" i="4"/>
  <c r="Y176" i="4"/>
  <c r="N177" i="4"/>
  <c r="Y177" i="4"/>
  <c r="N178" i="4"/>
  <c r="Y178" i="4"/>
  <c r="N179" i="4"/>
  <c r="Y179" i="4"/>
  <c r="N180" i="4"/>
  <c r="Y180" i="4"/>
  <c r="N181" i="4"/>
  <c r="Y181" i="4"/>
  <c r="N182" i="4"/>
  <c r="Y182" i="4"/>
  <c r="N183" i="4"/>
  <c r="Y183" i="4"/>
  <c r="N184" i="4"/>
  <c r="Y184" i="4"/>
  <c r="N185" i="4"/>
  <c r="Y185" i="4"/>
  <c r="N186" i="4"/>
  <c r="Y186" i="4"/>
  <c r="N187" i="4"/>
  <c r="Y187" i="4"/>
  <c r="N188" i="4"/>
  <c r="Y188" i="4"/>
  <c r="N189" i="4"/>
  <c r="Y189" i="4"/>
  <c r="N190" i="4"/>
  <c r="Y190" i="4"/>
  <c r="N191" i="4"/>
  <c r="Y191" i="4"/>
  <c r="N192" i="4"/>
  <c r="Y192" i="4"/>
  <c r="N193" i="4"/>
  <c r="Y193" i="4"/>
  <c r="N194" i="4"/>
  <c r="Y194" i="4"/>
  <c r="N195" i="4"/>
  <c r="Y195" i="4"/>
  <c r="N196" i="4"/>
  <c r="Y196" i="4"/>
  <c r="N197" i="4"/>
  <c r="Y197" i="4"/>
  <c r="N198" i="4"/>
  <c r="Y198" i="4"/>
  <c r="N199" i="4"/>
  <c r="Y199" i="4"/>
  <c r="N200" i="4"/>
  <c r="Y200" i="4"/>
  <c r="N201" i="4"/>
  <c r="Y201" i="4"/>
  <c r="N202" i="4"/>
  <c r="Y202" i="4"/>
  <c r="N203" i="4"/>
  <c r="Y203" i="4"/>
  <c r="N204" i="4"/>
  <c r="Y204" i="4"/>
  <c r="N205" i="4"/>
  <c r="Y205" i="4"/>
  <c r="N206" i="4"/>
  <c r="Y206" i="4"/>
  <c r="N207" i="4"/>
  <c r="Y207" i="4"/>
  <c r="N208" i="4"/>
  <c r="Y208" i="4"/>
  <c r="N209" i="4"/>
  <c r="Y209" i="4"/>
  <c r="N210" i="4"/>
  <c r="Y210" i="4"/>
  <c r="N211" i="4"/>
  <c r="Y211" i="4"/>
  <c r="N212" i="4"/>
  <c r="Y212" i="4"/>
  <c r="N213" i="4"/>
  <c r="Y213" i="4"/>
  <c r="N214" i="4"/>
  <c r="Y214" i="4"/>
  <c r="N215" i="4"/>
  <c r="Y215" i="4"/>
  <c r="N216" i="4"/>
  <c r="Y216" i="4"/>
  <c r="N217" i="4"/>
  <c r="Y217" i="4"/>
  <c r="N218" i="4"/>
  <c r="Y218" i="4"/>
  <c r="N219" i="4"/>
  <c r="Y219" i="4"/>
  <c r="N220" i="4"/>
  <c r="Y220" i="4"/>
  <c r="N221" i="4"/>
  <c r="Y221" i="4"/>
  <c r="N222" i="4"/>
  <c r="Y222" i="4"/>
  <c r="N223" i="4"/>
  <c r="Y223" i="4"/>
  <c r="N224" i="4"/>
  <c r="Y224" i="4"/>
  <c r="N225" i="4"/>
  <c r="Y225" i="4"/>
  <c r="N226" i="4"/>
  <c r="Y226" i="4"/>
  <c r="N227" i="4"/>
  <c r="Y227" i="4"/>
  <c r="N228" i="4"/>
  <c r="Y228" i="4"/>
  <c r="N229" i="4"/>
  <c r="Y229" i="4"/>
  <c r="N230" i="4"/>
  <c r="Y230" i="4"/>
  <c r="N231" i="4"/>
  <c r="Y231" i="4"/>
  <c r="N232" i="4"/>
  <c r="Y232" i="4"/>
  <c r="N233" i="4"/>
  <c r="Y233" i="4"/>
  <c r="N234" i="4"/>
  <c r="Y234" i="4"/>
  <c r="N235" i="4"/>
  <c r="Y235" i="4"/>
  <c r="N236" i="4"/>
  <c r="Y236" i="4"/>
  <c r="N237" i="4"/>
  <c r="Y237" i="4"/>
  <c r="N238" i="4"/>
  <c r="Y238" i="4"/>
  <c r="N239" i="4"/>
  <c r="Y239" i="4"/>
  <c r="N240" i="4"/>
  <c r="Y240" i="4"/>
  <c r="N241" i="4"/>
  <c r="Y241" i="4"/>
  <c r="N242" i="4"/>
  <c r="Y242" i="4"/>
  <c r="N243" i="4"/>
  <c r="Y243" i="4"/>
  <c r="N244" i="4"/>
  <c r="Y244" i="4"/>
  <c r="N245" i="4"/>
  <c r="Y245" i="4"/>
  <c r="N246" i="4"/>
  <c r="Y246" i="4"/>
  <c r="N247" i="4"/>
  <c r="Y247" i="4"/>
  <c r="N248" i="4"/>
  <c r="Y248" i="4"/>
  <c r="N249" i="4"/>
  <c r="Y249" i="4"/>
  <c r="N250" i="4"/>
  <c r="Y250" i="4"/>
  <c r="N251" i="4"/>
  <c r="Y251" i="4"/>
  <c r="N252" i="4"/>
  <c r="Y252" i="4"/>
  <c r="N253" i="4"/>
  <c r="Y253" i="4"/>
  <c r="N254" i="4"/>
  <c r="Y254" i="4"/>
  <c r="N255" i="4"/>
  <c r="Y255" i="4"/>
  <c r="N256" i="4"/>
  <c r="Y256" i="4"/>
  <c r="N257" i="4"/>
  <c r="Y257" i="4"/>
  <c r="N258" i="4"/>
  <c r="Y258" i="4"/>
  <c r="N259" i="4"/>
  <c r="Y259" i="4"/>
  <c r="N260" i="4"/>
  <c r="Y260" i="4"/>
  <c r="N261" i="4"/>
  <c r="Y261" i="4"/>
  <c r="N262" i="4"/>
  <c r="Y262" i="4"/>
  <c r="N263" i="4"/>
  <c r="Y263" i="4"/>
  <c r="N264" i="4"/>
  <c r="Y264" i="4"/>
  <c r="N265" i="4"/>
  <c r="Y265" i="4"/>
  <c r="N266" i="4"/>
  <c r="Y266" i="4"/>
  <c r="N267" i="4"/>
  <c r="Y267" i="4"/>
  <c r="N268" i="4"/>
  <c r="Y268" i="4"/>
  <c r="N269" i="4"/>
  <c r="Y269" i="4"/>
  <c r="N270" i="4"/>
  <c r="Y270" i="4"/>
  <c r="N271" i="4"/>
  <c r="Y271" i="4"/>
  <c r="N272" i="4"/>
  <c r="Y272" i="4"/>
  <c r="N273" i="4"/>
  <c r="Y273" i="4"/>
  <c r="N274" i="4"/>
  <c r="Y274" i="4"/>
  <c r="N275" i="4"/>
  <c r="Y275" i="4"/>
  <c r="N276" i="4"/>
  <c r="Y276" i="4"/>
  <c r="N277" i="4"/>
  <c r="Y277" i="4"/>
  <c r="N278" i="4"/>
  <c r="Y278" i="4"/>
  <c r="N279" i="4"/>
  <c r="Y279" i="4"/>
  <c r="N280" i="4"/>
  <c r="Y280" i="4"/>
  <c r="N281" i="4"/>
  <c r="Y281" i="4"/>
  <c r="N282" i="4"/>
  <c r="Y282" i="4"/>
  <c r="N283" i="4"/>
  <c r="Y283" i="4"/>
  <c r="N284" i="4"/>
  <c r="Y284" i="4"/>
  <c r="N285" i="4"/>
  <c r="Y285" i="4"/>
  <c r="N286" i="4"/>
  <c r="Y286" i="4"/>
  <c r="N287" i="4"/>
  <c r="Y287" i="4"/>
  <c r="N288" i="4"/>
  <c r="Y288" i="4"/>
  <c r="N289" i="4"/>
  <c r="Y289" i="4"/>
  <c r="N290" i="4"/>
  <c r="Y290" i="4"/>
  <c r="N291" i="4"/>
  <c r="Y291" i="4"/>
  <c r="N292" i="4"/>
  <c r="Y292" i="4"/>
  <c r="N293" i="4"/>
  <c r="Y293" i="4"/>
  <c r="N294" i="4"/>
  <c r="Y294" i="4"/>
  <c r="N295" i="4"/>
  <c r="Y295" i="4"/>
  <c r="N296" i="4"/>
  <c r="Y296" i="4"/>
  <c r="N297" i="4"/>
  <c r="Y297" i="4"/>
  <c r="N298" i="4"/>
  <c r="Y298" i="4"/>
  <c r="N299" i="4"/>
  <c r="Y299" i="4"/>
  <c r="N300" i="4"/>
  <c r="Y300" i="4"/>
  <c r="N301" i="4"/>
  <c r="Y301" i="4"/>
  <c r="N302" i="4"/>
  <c r="Y302" i="4"/>
  <c r="N303" i="4"/>
  <c r="Y303" i="4"/>
  <c r="N304" i="4"/>
  <c r="Y304" i="4"/>
  <c r="N305" i="4"/>
  <c r="Y305" i="4"/>
  <c r="N306" i="4"/>
  <c r="Y306" i="4"/>
  <c r="N307" i="4"/>
  <c r="Y307" i="4"/>
  <c r="N308" i="4"/>
  <c r="Y308" i="4"/>
  <c r="N309" i="4"/>
  <c r="Y309" i="4"/>
  <c r="N310" i="4"/>
  <c r="Y310" i="4"/>
  <c r="N311" i="4"/>
  <c r="Y311" i="4"/>
  <c r="N312" i="4"/>
  <c r="Y312" i="4"/>
  <c r="N313" i="4"/>
  <c r="Y313" i="4"/>
  <c r="N314" i="4"/>
  <c r="Y314" i="4"/>
  <c r="N315" i="4"/>
  <c r="Y315" i="4"/>
  <c r="N316" i="4"/>
  <c r="Y316" i="4"/>
  <c r="N317" i="4"/>
  <c r="Y317" i="4"/>
  <c r="N318" i="4"/>
  <c r="Y318" i="4"/>
  <c r="N319" i="4"/>
  <c r="Y319" i="4"/>
  <c r="N320" i="4"/>
  <c r="Y320" i="4"/>
  <c r="N321" i="4"/>
  <c r="Y321" i="4"/>
  <c r="N322" i="4"/>
  <c r="Y322" i="4"/>
  <c r="N323" i="4"/>
  <c r="Y323" i="4"/>
  <c r="N324" i="4"/>
  <c r="Y324" i="4"/>
  <c r="N325" i="4"/>
  <c r="Y325" i="4"/>
  <c r="N326" i="4"/>
  <c r="Y326" i="4"/>
  <c r="N327" i="4"/>
  <c r="Y327" i="4"/>
  <c r="N328" i="4"/>
  <c r="Y328" i="4"/>
  <c r="N329" i="4"/>
  <c r="Y329" i="4"/>
  <c r="N330" i="4"/>
  <c r="Y330" i="4"/>
  <c r="N331" i="4"/>
  <c r="Y331" i="4"/>
  <c r="N332" i="4"/>
  <c r="Y332" i="4"/>
  <c r="N333" i="4"/>
  <c r="Y333" i="4"/>
  <c r="N334" i="4"/>
  <c r="Y334" i="4"/>
  <c r="N335" i="4"/>
  <c r="Y335" i="4"/>
  <c r="N336" i="4"/>
  <c r="Y336" i="4"/>
  <c r="N337" i="4"/>
  <c r="Y337" i="4"/>
  <c r="N338" i="4"/>
  <c r="Y338" i="4"/>
  <c r="N339" i="4"/>
  <c r="Y339" i="4"/>
  <c r="N340" i="4"/>
  <c r="Y340" i="4"/>
  <c r="N341" i="4"/>
  <c r="Y341" i="4"/>
  <c r="N342" i="4"/>
  <c r="Y342" i="4"/>
  <c r="N343" i="4"/>
  <c r="Y343" i="4"/>
  <c r="N344" i="4"/>
  <c r="Y344" i="4"/>
  <c r="N345" i="4"/>
  <c r="Y345" i="4"/>
  <c r="N346" i="4"/>
  <c r="Y346" i="4"/>
  <c r="N347" i="4"/>
  <c r="Y347" i="4"/>
  <c r="N348" i="4"/>
  <c r="Y348" i="4"/>
  <c r="N349" i="4"/>
  <c r="Y349" i="4"/>
  <c r="N350" i="4"/>
  <c r="Y350" i="4"/>
  <c r="N351" i="4"/>
  <c r="Y351" i="4"/>
  <c r="N352" i="4"/>
  <c r="Y352" i="4"/>
  <c r="N353" i="4"/>
  <c r="Y353" i="4"/>
  <c r="N354" i="4"/>
  <c r="Y354" i="4"/>
  <c r="N355" i="4"/>
  <c r="Y355" i="4"/>
  <c r="N356" i="4"/>
  <c r="Y356" i="4"/>
  <c r="N357" i="4"/>
  <c r="Y357" i="4"/>
  <c r="N358" i="4"/>
  <c r="Y358" i="4"/>
  <c r="N359" i="4"/>
  <c r="Y359" i="4"/>
  <c r="N360" i="4"/>
  <c r="Y360" i="4"/>
  <c r="N361" i="4"/>
  <c r="Y361" i="4"/>
  <c r="N362" i="4"/>
  <c r="Y362" i="4"/>
  <c r="N363" i="4"/>
  <c r="Y363" i="4"/>
  <c r="N364" i="4"/>
  <c r="Y364" i="4"/>
  <c r="N365" i="4"/>
  <c r="Y365" i="4"/>
  <c r="N366" i="4"/>
  <c r="Y366" i="4"/>
  <c r="N367" i="4"/>
  <c r="Y367" i="4"/>
  <c r="N368" i="4"/>
  <c r="Y368" i="4"/>
  <c r="N369" i="4"/>
  <c r="Y369" i="4"/>
  <c r="N370" i="4"/>
  <c r="Y370" i="4"/>
  <c r="N371" i="4"/>
  <c r="Y371" i="4"/>
  <c r="N372" i="4"/>
  <c r="Y372" i="4"/>
  <c r="N373" i="4"/>
  <c r="Y373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8" i="4"/>
  <c r="AF9" i="4"/>
  <c r="R2" i="4"/>
  <c r="R8" i="4"/>
  <c r="R9" i="4"/>
  <c r="AA9" i="4"/>
  <c r="R10" i="4"/>
  <c r="AA10" i="4"/>
  <c r="R11" i="4"/>
  <c r="AA11" i="4"/>
  <c r="R12" i="4"/>
  <c r="AA12" i="4"/>
  <c r="R13" i="4"/>
  <c r="AA13" i="4"/>
  <c r="R14" i="4"/>
  <c r="AA14" i="4"/>
  <c r="R15" i="4"/>
  <c r="AA15" i="4"/>
  <c r="R16" i="4"/>
  <c r="AA16" i="4"/>
  <c r="R17" i="4"/>
  <c r="AA17" i="4"/>
  <c r="R18" i="4"/>
  <c r="AA18" i="4"/>
  <c r="R19" i="4"/>
  <c r="AA19" i="4"/>
  <c r="R20" i="4"/>
  <c r="AA20" i="4"/>
  <c r="R21" i="4"/>
  <c r="AA21" i="4"/>
  <c r="R22" i="4"/>
  <c r="AA22" i="4"/>
  <c r="R23" i="4"/>
  <c r="AA23" i="4"/>
  <c r="R24" i="4"/>
  <c r="AA24" i="4"/>
  <c r="R25" i="4"/>
  <c r="AA25" i="4"/>
  <c r="R26" i="4"/>
  <c r="AA26" i="4"/>
  <c r="R27" i="4"/>
  <c r="AA27" i="4"/>
  <c r="R28" i="4"/>
  <c r="AA28" i="4"/>
  <c r="R29" i="4"/>
  <c r="AA29" i="4"/>
  <c r="R30" i="4"/>
  <c r="AA30" i="4"/>
  <c r="R31" i="4"/>
  <c r="AA31" i="4"/>
  <c r="R32" i="4"/>
  <c r="AA32" i="4"/>
  <c r="R33" i="4"/>
  <c r="AA33" i="4"/>
  <c r="R34" i="4"/>
  <c r="AA34" i="4"/>
  <c r="R35" i="4"/>
  <c r="AA35" i="4"/>
  <c r="R36" i="4"/>
  <c r="AA36" i="4"/>
  <c r="R37" i="4"/>
  <c r="AA37" i="4"/>
  <c r="R38" i="4"/>
  <c r="AA38" i="4"/>
  <c r="R39" i="4"/>
  <c r="AA39" i="4"/>
  <c r="R40" i="4"/>
  <c r="AA40" i="4"/>
  <c r="R41" i="4"/>
  <c r="AA41" i="4"/>
  <c r="R42" i="4"/>
  <c r="AA42" i="4"/>
  <c r="R43" i="4"/>
  <c r="AA43" i="4"/>
  <c r="R44" i="4"/>
  <c r="AA44" i="4"/>
  <c r="R45" i="4"/>
  <c r="AA45" i="4"/>
  <c r="R46" i="4"/>
  <c r="AA46" i="4"/>
  <c r="R47" i="4"/>
  <c r="AA47" i="4"/>
  <c r="R48" i="4"/>
  <c r="AA48" i="4"/>
  <c r="R49" i="4"/>
  <c r="AA49" i="4"/>
  <c r="R50" i="4"/>
  <c r="AA50" i="4"/>
  <c r="R51" i="4"/>
  <c r="AA51" i="4"/>
  <c r="R52" i="4"/>
  <c r="AA52" i="4"/>
  <c r="R53" i="4"/>
  <c r="AA53" i="4"/>
  <c r="R54" i="4"/>
  <c r="AA54" i="4"/>
  <c r="R55" i="4"/>
  <c r="AA55" i="4"/>
  <c r="R56" i="4"/>
  <c r="AA56" i="4"/>
  <c r="R57" i="4"/>
  <c r="AA57" i="4"/>
  <c r="R58" i="4"/>
  <c r="AA58" i="4"/>
  <c r="R59" i="4"/>
  <c r="AA59" i="4"/>
  <c r="R60" i="4"/>
  <c r="AA60" i="4"/>
  <c r="R61" i="4"/>
  <c r="AA61" i="4"/>
  <c r="R62" i="4"/>
  <c r="AA62" i="4"/>
  <c r="R63" i="4"/>
  <c r="AA63" i="4"/>
  <c r="R64" i="4"/>
  <c r="AA64" i="4"/>
  <c r="R65" i="4"/>
  <c r="AA65" i="4"/>
  <c r="R66" i="4"/>
  <c r="AA66" i="4"/>
  <c r="R67" i="4"/>
  <c r="AA67" i="4"/>
  <c r="R68" i="4"/>
  <c r="AA68" i="4"/>
  <c r="R69" i="4"/>
  <c r="AA69" i="4"/>
  <c r="R70" i="4"/>
  <c r="AA70" i="4"/>
  <c r="R71" i="4"/>
  <c r="AA71" i="4"/>
  <c r="R72" i="4"/>
  <c r="AA72" i="4"/>
  <c r="R73" i="4"/>
  <c r="AA73" i="4"/>
  <c r="R74" i="4"/>
  <c r="AA74" i="4"/>
  <c r="R75" i="4"/>
  <c r="AA75" i="4"/>
  <c r="R76" i="4"/>
  <c r="AA76" i="4"/>
  <c r="R77" i="4"/>
  <c r="AA77" i="4"/>
  <c r="R78" i="4"/>
  <c r="AA78" i="4"/>
  <c r="R79" i="4"/>
  <c r="AA79" i="4"/>
  <c r="R80" i="4"/>
  <c r="AA80" i="4"/>
  <c r="R81" i="4"/>
  <c r="AA81" i="4"/>
  <c r="R82" i="4"/>
  <c r="AA82" i="4"/>
  <c r="R83" i="4"/>
  <c r="AA83" i="4"/>
  <c r="R84" i="4"/>
  <c r="AA84" i="4"/>
  <c r="R85" i="4"/>
  <c r="AA85" i="4"/>
  <c r="R86" i="4"/>
  <c r="AA86" i="4"/>
  <c r="R87" i="4"/>
  <c r="AA87" i="4"/>
  <c r="R88" i="4"/>
  <c r="AA88" i="4"/>
  <c r="R89" i="4"/>
  <c r="AA89" i="4"/>
  <c r="R90" i="4"/>
  <c r="AA90" i="4"/>
  <c r="R91" i="4"/>
  <c r="AA91" i="4"/>
  <c r="R92" i="4"/>
  <c r="AA92" i="4"/>
  <c r="R93" i="4"/>
  <c r="AA93" i="4"/>
  <c r="R94" i="4"/>
  <c r="AA94" i="4"/>
  <c r="R95" i="4"/>
  <c r="AA95" i="4"/>
  <c r="R96" i="4"/>
  <c r="AA96" i="4"/>
  <c r="R97" i="4"/>
  <c r="AA97" i="4"/>
  <c r="R98" i="4"/>
  <c r="AA98" i="4"/>
  <c r="R99" i="4"/>
  <c r="AA99" i="4"/>
  <c r="R100" i="4"/>
  <c r="AA100" i="4"/>
  <c r="R101" i="4"/>
  <c r="AA101" i="4"/>
  <c r="R102" i="4"/>
  <c r="AA102" i="4"/>
  <c r="R103" i="4"/>
  <c r="AA103" i="4"/>
  <c r="R104" i="4"/>
  <c r="AA104" i="4"/>
  <c r="R105" i="4"/>
  <c r="AA105" i="4"/>
  <c r="R106" i="4"/>
  <c r="AA106" i="4"/>
  <c r="R107" i="4"/>
  <c r="AA107" i="4"/>
  <c r="R108" i="4"/>
  <c r="AA108" i="4"/>
  <c r="R109" i="4"/>
  <c r="AA109" i="4"/>
  <c r="R110" i="4"/>
  <c r="AA110" i="4"/>
  <c r="R111" i="4"/>
  <c r="AA111" i="4"/>
  <c r="R112" i="4"/>
  <c r="AA112" i="4"/>
  <c r="R113" i="4"/>
  <c r="AA113" i="4"/>
  <c r="R114" i="4"/>
  <c r="AA114" i="4"/>
  <c r="R115" i="4"/>
  <c r="AA115" i="4"/>
  <c r="R116" i="4"/>
  <c r="AA116" i="4"/>
  <c r="R117" i="4"/>
  <c r="AA117" i="4"/>
  <c r="R118" i="4"/>
  <c r="AA118" i="4"/>
  <c r="R119" i="4"/>
  <c r="AA119" i="4"/>
  <c r="R120" i="4"/>
  <c r="AA120" i="4"/>
  <c r="R121" i="4"/>
  <c r="AA121" i="4"/>
  <c r="R122" i="4"/>
  <c r="AA122" i="4"/>
  <c r="R123" i="4"/>
  <c r="AA123" i="4"/>
  <c r="R124" i="4"/>
  <c r="AA124" i="4"/>
  <c r="R125" i="4"/>
  <c r="AA125" i="4"/>
  <c r="R126" i="4"/>
  <c r="AA126" i="4"/>
  <c r="R127" i="4"/>
  <c r="AA127" i="4"/>
  <c r="R128" i="4"/>
  <c r="AA128" i="4"/>
  <c r="R129" i="4"/>
  <c r="AA129" i="4"/>
  <c r="R130" i="4"/>
  <c r="AA130" i="4"/>
  <c r="R131" i="4"/>
  <c r="AA131" i="4"/>
  <c r="R132" i="4"/>
  <c r="AA132" i="4"/>
  <c r="R133" i="4"/>
  <c r="AA133" i="4"/>
  <c r="R134" i="4"/>
  <c r="AA134" i="4"/>
  <c r="R135" i="4"/>
  <c r="AA135" i="4"/>
  <c r="R136" i="4"/>
  <c r="AA136" i="4"/>
  <c r="R137" i="4"/>
  <c r="AA137" i="4"/>
  <c r="R138" i="4"/>
  <c r="AA138" i="4"/>
  <c r="R139" i="4"/>
  <c r="AA139" i="4"/>
  <c r="R140" i="4"/>
  <c r="AA140" i="4"/>
  <c r="R141" i="4"/>
  <c r="AA141" i="4"/>
  <c r="R142" i="4"/>
  <c r="AA142" i="4"/>
  <c r="R143" i="4"/>
  <c r="AA143" i="4"/>
  <c r="R144" i="4"/>
  <c r="AA144" i="4"/>
  <c r="R145" i="4"/>
  <c r="AA145" i="4"/>
  <c r="R146" i="4"/>
  <c r="AA146" i="4"/>
  <c r="R147" i="4"/>
  <c r="AA147" i="4"/>
  <c r="R148" i="4"/>
  <c r="AA148" i="4"/>
  <c r="R149" i="4"/>
  <c r="AA149" i="4"/>
  <c r="R150" i="4"/>
  <c r="AA150" i="4"/>
  <c r="R151" i="4"/>
  <c r="AA151" i="4"/>
  <c r="R152" i="4"/>
  <c r="AA152" i="4"/>
  <c r="R153" i="4"/>
  <c r="AA153" i="4"/>
  <c r="R154" i="4"/>
  <c r="AA154" i="4"/>
  <c r="R155" i="4"/>
  <c r="AA155" i="4"/>
  <c r="R156" i="4"/>
  <c r="AA156" i="4"/>
  <c r="R157" i="4"/>
  <c r="AA157" i="4"/>
  <c r="R158" i="4"/>
  <c r="AA158" i="4"/>
  <c r="R159" i="4"/>
  <c r="AA159" i="4"/>
  <c r="R160" i="4"/>
  <c r="AA160" i="4"/>
  <c r="R161" i="4"/>
  <c r="AA161" i="4"/>
  <c r="R162" i="4"/>
  <c r="AA162" i="4"/>
  <c r="R163" i="4"/>
  <c r="AA163" i="4"/>
  <c r="R164" i="4"/>
  <c r="AA164" i="4"/>
  <c r="R165" i="4"/>
  <c r="AA165" i="4"/>
  <c r="R166" i="4"/>
  <c r="AA166" i="4"/>
  <c r="R167" i="4"/>
  <c r="AA167" i="4"/>
  <c r="R168" i="4"/>
  <c r="AA168" i="4"/>
  <c r="R169" i="4"/>
  <c r="AA169" i="4"/>
  <c r="R170" i="4"/>
  <c r="AA170" i="4"/>
  <c r="R171" i="4"/>
  <c r="AA171" i="4"/>
  <c r="R172" i="4"/>
  <c r="AA172" i="4"/>
  <c r="R173" i="4"/>
  <c r="AA173" i="4"/>
  <c r="R174" i="4"/>
  <c r="AA174" i="4"/>
  <c r="R175" i="4"/>
  <c r="AA175" i="4"/>
  <c r="R176" i="4"/>
  <c r="AA176" i="4"/>
  <c r="R177" i="4"/>
  <c r="AA177" i="4"/>
  <c r="R178" i="4"/>
  <c r="AA178" i="4"/>
  <c r="R179" i="4"/>
  <c r="AA179" i="4"/>
  <c r="R180" i="4"/>
  <c r="AA180" i="4"/>
  <c r="R181" i="4"/>
  <c r="AA181" i="4"/>
  <c r="R182" i="4"/>
  <c r="AA182" i="4"/>
  <c r="R183" i="4"/>
  <c r="AA183" i="4"/>
  <c r="R184" i="4"/>
  <c r="AA184" i="4"/>
  <c r="R185" i="4"/>
  <c r="AA185" i="4"/>
  <c r="R186" i="4"/>
  <c r="AA186" i="4"/>
  <c r="R187" i="4"/>
  <c r="AA187" i="4"/>
  <c r="R188" i="4"/>
  <c r="AA188" i="4"/>
  <c r="R189" i="4"/>
  <c r="AA189" i="4"/>
  <c r="R190" i="4"/>
  <c r="AA190" i="4"/>
  <c r="R191" i="4"/>
  <c r="AA191" i="4"/>
  <c r="R192" i="4"/>
  <c r="AA192" i="4"/>
  <c r="R193" i="4"/>
  <c r="AA193" i="4"/>
  <c r="R194" i="4"/>
  <c r="AA194" i="4"/>
  <c r="R195" i="4"/>
  <c r="AA195" i="4"/>
  <c r="R196" i="4"/>
  <c r="AA196" i="4"/>
  <c r="R197" i="4"/>
  <c r="AA197" i="4"/>
  <c r="R198" i="4"/>
  <c r="AA198" i="4"/>
  <c r="R199" i="4"/>
  <c r="AA199" i="4"/>
  <c r="R200" i="4"/>
  <c r="AA200" i="4"/>
  <c r="R201" i="4"/>
  <c r="AA201" i="4"/>
  <c r="R202" i="4"/>
  <c r="AA202" i="4"/>
  <c r="R203" i="4"/>
  <c r="AA203" i="4"/>
  <c r="R204" i="4"/>
  <c r="AA204" i="4"/>
  <c r="R205" i="4"/>
  <c r="AA205" i="4"/>
  <c r="R206" i="4"/>
  <c r="AA206" i="4"/>
  <c r="R207" i="4"/>
  <c r="AA207" i="4"/>
  <c r="R208" i="4"/>
  <c r="AA208" i="4"/>
  <c r="R209" i="4"/>
  <c r="AA209" i="4"/>
  <c r="R210" i="4"/>
  <c r="AA210" i="4"/>
  <c r="R211" i="4"/>
  <c r="AA211" i="4"/>
  <c r="R212" i="4"/>
  <c r="AA212" i="4"/>
  <c r="R213" i="4"/>
  <c r="AA213" i="4"/>
  <c r="R214" i="4"/>
  <c r="AA214" i="4"/>
  <c r="R215" i="4"/>
  <c r="AA215" i="4"/>
  <c r="R216" i="4"/>
  <c r="AA216" i="4"/>
  <c r="R217" i="4"/>
  <c r="AA217" i="4"/>
  <c r="R218" i="4"/>
  <c r="AA218" i="4"/>
  <c r="R219" i="4"/>
  <c r="AA219" i="4"/>
  <c r="R220" i="4"/>
  <c r="AA220" i="4"/>
  <c r="R221" i="4"/>
  <c r="AA221" i="4"/>
  <c r="R222" i="4"/>
  <c r="AA222" i="4"/>
  <c r="R223" i="4"/>
  <c r="AA223" i="4"/>
  <c r="R224" i="4"/>
  <c r="AA224" i="4"/>
  <c r="R225" i="4"/>
  <c r="AA225" i="4"/>
  <c r="R226" i="4"/>
  <c r="AA226" i="4"/>
  <c r="R227" i="4"/>
  <c r="AA227" i="4"/>
  <c r="R228" i="4"/>
  <c r="AA228" i="4"/>
  <c r="R229" i="4"/>
  <c r="AA229" i="4"/>
  <c r="R230" i="4"/>
  <c r="AA230" i="4"/>
  <c r="R231" i="4"/>
  <c r="AA231" i="4"/>
  <c r="R232" i="4"/>
  <c r="AA232" i="4"/>
  <c r="R233" i="4"/>
  <c r="AA233" i="4"/>
  <c r="R234" i="4"/>
  <c r="AA234" i="4"/>
  <c r="R235" i="4"/>
  <c r="AA235" i="4"/>
  <c r="R236" i="4"/>
  <c r="AA236" i="4"/>
  <c r="R237" i="4"/>
  <c r="AA237" i="4"/>
  <c r="R238" i="4"/>
  <c r="AA238" i="4"/>
  <c r="R239" i="4"/>
  <c r="AA239" i="4"/>
  <c r="R240" i="4"/>
  <c r="AA240" i="4"/>
  <c r="R241" i="4"/>
  <c r="AA241" i="4"/>
  <c r="R242" i="4"/>
  <c r="AA242" i="4"/>
  <c r="R243" i="4"/>
  <c r="AA243" i="4"/>
  <c r="R244" i="4"/>
  <c r="AA244" i="4"/>
  <c r="R245" i="4"/>
  <c r="AA245" i="4"/>
  <c r="R246" i="4"/>
  <c r="AA246" i="4"/>
  <c r="R247" i="4"/>
  <c r="AA247" i="4"/>
  <c r="R248" i="4"/>
  <c r="AA248" i="4"/>
  <c r="R249" i="4"/>
  <c r="AA249" i="4"/>
  <c r="R250" i="4"/>
  <c r="AA250" i="4"/>
  <c r="R251" i="4"/>
  <c r="AA251" i="4"/>
  <c r="R252" i="4"/>
  <c r="AA252" i="4"/>
  <c r="R253" i="4"/>
  <c r="AA253" i="4"/>
  <c r="R254" i="4"/>
  <c r="AA254" i="4"/>
  <c r="R255" i="4"/>
  <c r="AA255" i="4"/>
  <c r="R256" i="4"/>
  <c r="AA256" i="4"/>
  <c r="R257" i="4"/>
  <c r="AA257" i="4"/>
  <c r="R258" i="4"/>
  <c r="AA258" i="4"/>
  <c r="R259" i="4"/>
  <c r="AA259" i="4"/>
  <c r="R260" i="4"/>
  <c r="AA260" i="4"/>
  <c r="R261" i="4"/>
  <c r="AA261" i="4"/>
  <c r="R262" i="4"/>
  <c r="AA262" i="4"/>
  <c r="R263" i="4"/>
  <c r="AA263" i="4"/>
  <c r="R264" i="4"/>
  <c r="AA264" i="4"/>
  <c r="R265" i="4"/>
  <c r="AA265" i="4"/>
  <c r="R266" i="4"/>
  <c r="AA266" i="4"/>
  <c r="R267" i="4"/>
  <c r="AA267" i="4"/>
  <c r="R268" i="4"/>
  <c r="AA268" i="4"/>
  <c r="R269" i="4"/>
  <c r="AA269" i="4"/>
  <c r="R270" i="4"/>
  <c r="AA270" i="4"/>
  <c r="R271" i="4"/>
  <c r="AA271" i="4"/>
  <c r="R272" i="4"/>
  <c r="AA272" i="4"/>
  <c r="R273" i="4"/>
  <c r="AA273" i="4"/>
  <c r="R274" i="4"/>
  <c r="AA274" i="4"/>
  <c r="R275" i="4"/>
  <c r="AA275" i="4"/>
  <c r="R276" i="4"/>
  <c r="AA276" i="4"/>
  <c r="R277" i="4"/>
  <c r="AA277" i="4"/>
  <c r="R278" i="4"/>
  <c r="AA278" i="4"/>
  <c r="R279" i="4"/>
  <c r="AA279" i="4"/>
  <c r="R280" i="4"/>
  <c r="AA280" i="4"/>
  <c r="R281" i="4"/>
  <c r="AA281" i="4"/>
  <c r="R282" i="4"/>
  <c r="AA282" i="4"/>
  <c r="R283" i="4"/>
  <c r="AA283" i="4"/>
  <c r="R284" i="4"/>
  <c r="AA284" i="4"/>
  <c r="R285" i="4"/>
  <c r="AA285" i="4"/>
  <c r="R286" i="4"/>
  <c r="AA286" i="4"/>
  <c r="R287" i="4"/>
  <c r="AA287" i="4"/>
  <c r="R288" i="4"/>
  <c r="AA288" i="4"/>
  <c r="R289" i="4"/>
  <c r="AA289" i="4"/>
  <c r="R290" i="4"/>
  <c r="AA290" i="4"/>
  <c r="R291" i="4"/>
  <c r="AA291" i="4"/>
  <c r="R292" i="4"/>
  <c r="AA292" i="4"/>
  <c r="R293" i="4"/>
  <c r="AA293" i="4"/>
  <c r="R294" i="4"/>
  <c r="AA294" i="4"/>
  <c r="R295" i="4"/>
  <c r="AA295" i="4"/>
  <c r="R296" i="4"/>
  <c r="AA296" i="4"/>
  <c r="R297" i="4"/>
  <c r="AA297" i="4"/>
  <c r="R298" i="4"/>
  <c r="AA298" i="4"/>
  <c r="R299" i="4"/>
  <c r="AA299" i="4"/>
  <c r="R300" i="4"/>
  <c r="AA300" i="4"/>
  <c r="R301" i="4"/>
  <c r="AA301" i="4"/>
  <c r="R302" i="4"/>
  <c r="AA302" i="4"/>
  <c r="R303" i="4"/>
  <c r="AA303" i="4"/>
  <c r="R304" i="4"/>
  <c r="AA304" i="4"/>
  <c r="R305" i="4"/>
  <c r="AA305" i="4"/>
  <c r="R306" i="4"/>
  <c r="AA306" i="4"/>
  <c r="R307" i="4"/>
  <c r="AA307" i="4"/>
  <c r="R308" i="4"/>
  <c r="AA308" i="4"/>
  <c r="R309" i="4"/>
  <c r="AA309" i="4"/>
  <c r="R310" i="4"/>
  <c r="AA310" i="4"/>
  <c r="R311" i="4"/>
  <c r="AA311" i="4"/>
  <c r="R312" i="4"/>
  <c r="AA312" i="4"/>
  <c r="R313" i="4"/>
  <c r="AA313" i="4"/>
  <c r="R314" i="4"/>
  <c r="AA314" i="4"/>
  <c r="R315" i="4"/>
  <c r="AA315" i="4"/>
  <c r="R316" i="4"/>
  <c r="AA316" i="4"/>
  <c r="R317" i="4"/>
  <c r="AA317" i="4"/>
  <c r="R318" i="4"/>
  <c r="AA318" i="4"/>
  <c r="R319" i="4"/>
  <c r="AA319" i="4"/>
  <c r="R320" i="4"/>
  <c r="AA320" i="4"/>
  <c r="R321" i="4"/>
  <c r="AA321" i="4"/>
  <c r="R322" i="4"/>
  <c r="AA322" i="4"/>
  <c r="R323" i="4"/>
  <c r="AA323" i="4"/>
  <c r="R324" i="4"/>
  <c r="AA324" i="4"/>
  <c r="R325" i="4"/>
  <c r="AA325" i="4"/>
  <c r="R326" i="4"/>
  <c r="AA326" i="4"/>
  <c r="R327" i="4"/>
  <c r="AA327" i="4"/>
  <c r="R328" i="4"/>
  <c r="AA328" i="4"/>
  <c r="R329" i="4"/>
  <c r="AA329" i="4"/>
  <c r="R330" i="4"/>
  <c r="AA330" i="4"/>
  <c r="R331" i="4"/>
  <c r="AA331" i="4"/>
  <c r="R332" i="4"/>
  <c r="AA332" i="4"/>
  <c r="R333" i="4"/>
  <c r="AA333" i="4"/>
  <c r="R334" i="4"/>
  <c r="AA334" i="4"/>
  <c r="R335" i="4"/>
  <c r="AA335" i="4"/>
  <c r="R336" i="4"/>
  <c r="AA336" i="4"/>
  <c r="R337" i="4"/>
  <c r="AA337" i="4"/>
  <c r="R338" i="4"/>
  <c r="AA338" i="4"/>
  <c r="R339" i="4"/>
  <c r="AA339" i="4"/>
  <c r="R340" i="4"/>
  <c r="AA340" i="4"/>
  <c r="R341" i="4"/>
  <c r="AA341" i="4"/>
  <c r="R342" i="4"/>
  <c r="AA342" i="4"/>
  <c r="R343" i="4"/>
  <c r="AA343" i="4"/>
  <c r="R344" i="4"/>
  <c r="AA344" i="4"/>
  <c r="R345" i="4"/>
  <c r="AA345" i="4"/>
  <c r="R346" i="4"/>
  <c r="AA346" i="4"/>
  <c r="R347" i="4"/>
  <c r="AA347" i="4"/>
  <c r="R348" i="4"/>
  <c r="AA348" i="4"/>
  <c r="R349" i="4"/>
  <c r="AA349" i="4"/>
  <c r="R350" i="4"/>
  <c r="AA350" i="4"/>
  <c r="R351" i="4"/>
  <c r="AA351" i="4"/>
  <c r="R352" i="4"/>
  <c r="AA352" i="4"/>
  <c r="R353" i="4"/>
  <c r="AA353" i="4"/>
  <c r="R354" i="4"/>
  <c r="AA354" i="4"/>
  <c r="R355" i="4"/>
  <c r="AA355" i="4"/>
  <c r="R356" i="4"/>
  <c r="AA356" i="4"/>
  <c r="R357" i="4"/>
  <c r="AA357" i="4"/>
  <c r="R358" i="4"/>
  <c r="AA358" i="4"/>
  <c r="R359" i="4"/>
  <c r="AA359" i="4"/>
  <c r="R360" i="4"/>
  <c r="AA360" i="4"/>
  <c r="R361" i="4"/>
  <c r="AA361" i="4"/>
  <c r="R362" i="4"/>
  <c r="AA362" i="4"/>
  <c r="R363" i="4"/>
  <c r="AA363" i="4"/>
  <c r="R364" i="4"/>
  <c r="AA364" i="4"/>
  <c r="R365" i="4"/>
  <c r="AA365" i="4"/>
  <c r="R366" i="4"/>
  <c r="AA366" i="4"/>
  <c r="R367" i="4"/>
  <c r="AA367" i="4"/>
  <c r="R368" i="4"/>
  <c r="AA368" i="4"/>
  <c r="R369" i="4"/>
  <c r="AA369" i="4"/>
  <c r="R370" i="4"/>
  <c r="AA370" i="4"/>
  <c r="R371" i="4"/>
  <c r="AA371" i="4"/>
  <c r="R372" i="4"/>
  <c r="AA372" i="4"/>
  <c r="R373" i="4"/>
  <c r="AA373" i="4"/>
  <c r="AA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8" i="4"/>
  <c r="AE10" i="4"/>
  <c r="D10" i="9"/>
  <c r="D23" i="9"/>
  <c r="F5" i="8"/>
  <c r="F6" i="8"/>
  <c r="F7" i="8"/>
  <c r="AE39" i="4"/>
  <c r="AE40" i="4"/>
  <c r="AE41" i="4"/>
  <c r="AE42" i="4"/>
  <c r="AE8" i="4"/>
  <c r="AE9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F9" i="8"/>
  <c r="AF39" i="4"/>
  <c r="AF40" i="4"/>
  <c r="AF41" i="4"/>
  <c r="AF42" i="4"/>
  <c r="AF8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F10" i="8"/>
  <c r="AG39" i="4"/>
  <c r="AG40" i="4"/>
  <c r="AG41" i="4"/>
  <c r="AG42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F11" i="8"/>
  <c r="AH39" i="4"/>
  <c r="AH40" i="4"/>
  <c r="AH41" i="4"/>
  <c r="AH42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F12" i="8"/>
  <c r="AI39" i="4"/>
  <c r="AI40" i="4"/>
  <c r="AI41" i="4"/>
  <c r="AI42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F13" i="8"/>
  <c r="AJ39" i="4"/>
  <c r="AJ40" i="4"/>
  <c r="AJ41" i="4"/>
  <c r="AJ42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F14" i="8"/>
  <c r="AK39" i="4"/>
  <c r="AK40" i="4"/>
  <c r="AK41" i="4"/>
  <c r="AK42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F15" i="8"/>
  <c r="AL39" i="4"/>
  <c r="AL40" i="4"/>
  <c r="AL41" i="4"/>
  <c r="AL42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F16" i="8"/>
  <c r="F18" i="8"/>
  <c r="F20" i="8"/>
  <c r="E5" i="8"/>
  <c r="H6" i="8"/>
  <c r="G15" i="8"/>
  <c r="G9" i="8"/>
  <c r="G10" i="8"/>
  <c r="G11" i="8"/>
  <c r="G12" i="8"/>
  <c r="G13" i="8"/>
  <c r="G14" i="8"/>
  <c r="G16" i="8"/>
  <c r="G18" i="8"/>
  <c r="G5" i="8"/>
  <c r="G6" i="8"/>
  <c r="G7" i="8"/>
  <c r="G20" i="8"/>
  <c r="H5" i="8"/>
  <c r="H7" i="8"/>
  <c r="H9" i="8"/>
  <c r="H10" i="8"/>
  <c r="H11" i="8"/>
  <c r="H12" i="8"/>
  <c r="H13" i="8"/>
  <c r="H14" i="8"/>
  <c r="H15" i="8"/>
  <c r="H16" i="8"/>
  <c r="H18" i="8"/>
  <c r="H20" i="8"/>
  <c r="I5" i="8"/>
  <c r="I6" i="8"/>
  <c r="I7" i="8"/>
  <c r="I9" i="8"/>
  <c r="I10" i="8"/>
  <c r="I11" i="8"/>
  <c r="I12" i="8"/>
  <c r="I13" i="8"/>
  <c r="I14" i="8"/>
  <c r="I15" i="8"/>
  <c r="I16" i="8"/>
  <c r="I18" i="8"/>
  <c r="I20" i="8"/>
  <c r="J5" i="8"/>
  <c r="J6" i="8"/>
  <c r="J7" i="8"/>
  <c r="J9" i="8"/>
  <c r="J10" i="8"/>
  <c r="J11" i="8"/>
  <c r="J12" i="8"/>
  <c r="J13" i="8"/>
  <c r="J14" i="8"/>
  <c r="J15" i="8"/>
  <c r="J16" i="8"/>
  <c r="J18" i="8"/>
  <c r="J20" i="8"/>
  <c r="K5" i="8"/>
  <c r="K6" i="8"/>
  <c r="K7" i="8"/>
  <c r="K9" i="8"/>
  <c r="K10" i="8"/>
  <c r="K11" i="8"/>
  <c r="K12" i="8"/>
  <c r="K13" i="8"/>
  <c r="K14" i="8"/>
  <c r="K15" i="8"/>
  <c r="K16" i="8"/>
  <c r="K18" i="8"/>
  <c r="K20" i="8"/>
  <c r="L5" i="8"/>
  <c r="L6" i="8"/>
  <c r="L7" i="8"/>
  <c r="L9" i="8"/>
  <c r="L10" i="8"/>
  <c r="L11" i="8"/>
  <c r="L12" i="8"/>
  <c r="L13" i="8"/>
  <c r="L14" i="8"/>
  <c r="L15" i="8"/>
  <c r="L16" i="8"/>
  <c r="L18" i="8"/>
  <c r="L20" i="8"/>
  <c r="M5" i="8"/>
  <c r="M6" i="8"/>
  <c r="M7" i="8"/>
  <c r="M9" i="8"/>
  <c r="M10" i="8"/>
  <c r="M11" i="8"/>
  <c r="M12" i="8"/>
  <c r="M13" i="8"/>
  <c r="M14" i="8"/>
  <c r="M15" i="8"/>
  <c r="M16" i="8"/>
  <c r="M18" i="8"/>
  <c r="M20" i="8"/>
  <c r="N5" i="8"/>
  <c r="N6" i="8"/>
  <c r="N7" i="8"/>
  <c r="N9" i="8"/>
  <c r="N10" i="8"/>
  <c r="N11" i="8"/>
  <c r="N12" i="8"/>
  <c r="N13" i="8"/>
  <c r="N14" i="8"/>
  <c r="N15" i="8"/>
  <c r="N16" i="8"/>
  <c r="N18" i="8"/>
  <c r="N20" i="8"/>
  <c r="O5" i="8"/>
  <c r="O6" i="8"/>
  <c r="O7" i="8"/>
  <c r="O9" i="8"/>
  <c r="O10" i="8"/>
  <c r="O11" i="8"/>
  <c r="O12" i="8"/>
  <c r="O13" i="8"/>
  <c r="O14" i="8"/>
  <c r="O15" i="8"/>
  <c r="O16" i="8"/>
  <c r="O18" i="8"/>
  <c r="O20" i="8"/>
  <c r="P5" i="8"/>
  <c r="P6" i="8"/>
  <c r="P7" i="8"/>
  <c r="P9" i="8"/>
  <c r="P10" i="8"/>
  <c r="P11" i="8"/>
  <c r="P12" i="8"/>
  <c r="P13" i="8"/>
  <c r="P14" i="8"/>
  <c r="P15" i="8"/>
  <c r="P16" i="8"/>
  <c r="P18" i="8"/>
  <c r="P20" i="8"/>
  <c r="E15" i="8"/>
  <c r="Q15" i="8"/>
  <c r="E9" i="8"/>
  <c r="Q9" i="8"/>
  <c r="E10" i="8"/>
  <c r="Q10" i="8"/>
  <c r="E11" i="8"/>
  <c r="Q11" i="8"/>
  <c r="E12" i="8"/>
  <c r="Q12" i="8"/>
  <c r="E13" i="8"/>
  <c r="Q13" i="8"/>
  <c r="E14" i="8"/>
  <c r="Q14" i="8"/>
  <c r="E16" i="8"/>
  <c r="Q16" i="8"/>
  <c r="Q18" i="8"/>
  <c r="E6" i="8"/>
  <c r="E7" i="8"/>
  <c r="Q7" i="8"/>
  <c r="Q20" i="8"/>
  <c r="E18" i="8"/>
  <c r="E20" i="8"/>
  <c r="Q6" i="8"/>
  <c r="Q5" i="8"/>
  <c r="O8" i="4"/>
  <c r="AM10" i="4"/>
  <c r="O10" i="4"/>
  <c r="AN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N9" i="4"/>
  <c r="O11" i="4"/>
  <c r="AN11" i="4"/>
  <c r="O12" i="4"/>
  <c r="AN12" i="4"/>
  <c r="O13" i="4"/>
  <c r="AN13" i="4"/>
  <c r="O14" i="4"/>
  <c r="AN14" i="4"/>
  <c r="O15" i="4"/>
  <c r="AN15" i="4"/>
  <c r="O16" i="4"/>
  <c r="AN16" i="4"/>
  <c r="O17" i="4"/>
  <c r="AN17" i="4"/>
  <c r="O18" i="4"/>
  <c r="AN18" i="4"/>
  <c r="O19" i="4"/>
  <c r="AN19" i="4"/>
  <c r="O20" i="4"/>
  <c r="AN20" i="4"/>
  <c r="O21" i="4"/>
  <c r="AN21" i="4"/>
  <c r="O22" i="4"/>
  <c r="AN22" i="4"/>
  <c r="O23" i="4"/>
  <c r="AN23" i="4"/>
  <c r="O24" i="4"/>
  <c r="AN24" i="4"/>
  <c r="O25" i="4"/>
  <c r="AN25" i="4"/>
  <c r="O26" i="4"/>
  <c r="AN26" i="4"/>
  <c r="O27" i="4"/>
  <c r="AN27" i="4"/>
  <c r="O28" i="4"/>
  <c r="AN28" i="4"/>
  <c r="O29" i="4"/>
  <c r="AN29" i="4"/>
  <c r="O30" i="4"/>
  <c r="AN30" i="4"/>
  <c r="O31" i="4"/>
  <c r="AN31" i="4"/>
  <c r="O32" i="4"/>
  <c r="AN32" i="4"/>
  <c r="O33" i="4"/>
  <c r="AN33" i="4"/>
  <c r="O34" i="4"/>
  <c r="AN34" i="4"/>
  <c r="O35" i="4"/>
  <c r="AN35" i="4"/>
  <c r="O36" i="4"/>
  <c r="AN36" i="4"/>
  <c r="O37" i="4"/>
  <c r="AN37" i="4"/>
  <c r="O38" i="4"/>
  <c r="AN38" i="4"/>
  <c r="O39" i="4"/>
  <c r="AN39" i="4"/>
  <c r="O40" i="4"/>
  <c r="AN40" i="4"/>
  <c r="O41" i="4"/>
  <c r="AN41" i="4"/>
  <c r="O42" i="4"/>
  <c r="AN42" i="4"/>
  <c r="O43" i="4"/>
  <c r="AN43" i="4"/>
  <c r="O44" i="4"/>
  <c r="AN44" i="4"/>
  <c r="O45" i="4"/>
  <c r="AN45" i="4"/>
  <c r="O46" i="4"/>
  <c r="AN46" i="4"/>
  <c r="O47" i="4"/>
  <c r="AN47" i="4"/>
  <c r="O48" i="4"/>
  <c r="AN48" i="4"/>
  <c r="O49" i="4"/>
  <c r="AN49" i="4"/>
  <c r="O50" i="4"/>
  <c r="AN50" i="4"/>
  <c r="O51" i="4"/>
  <c r="AN51" i="4"/>
  <c r="O52" i="4"/>
  <c r="AN52" i="4"/>
  <c r="O53" i="4"/>
  <c r="AN53" i="4"/>
  <c r="O54" i="4"/>
  <c r="AN54" i="4"/>
  <c r="O55" i="4"/>
  <c r="AN55" i="4"/>
  <c r="O56" i="4"/>
  <c r="AN56" i="4"/>
  <c r="O57" i="4"/>
  <c r="AN57" i="4"/>
  <c r="O58" i="4"/>
  <c r="AN58" i="4"/>
  <c r="O59" i="4"/>
  <c r="AN59" i="4"/>
  <c r="O60" i="4"/>
  <c r="AN60" i="4"/>
  <c r="O61" i="4"/>
  <c r="AN61" i="4"/>
  <c r="O62" i="4"/>
  <c r="AN62" i="4"/>
  <c r="O63" i="4"/>
  <c r="AN63" i="4"/>
  <c r="O64" i="4"/>
  <c r="AN64" i="4"/>
  <c r="O65" i="4"/>
  <c r="AN65" i="4"/>
  <c r="O66" i="4"/>
  <c r="AN66" i="4"/>
  <c r="O67" i="4"/>
  <c r="AN67" i="4"/>
  <c r="O68" i="4"/>
  <c r="AN68" i="4"/>
  <c r="O69" i="4"/>
  <c r="AN69" i="4"/>
  <c r="O70" i="4"/>
  <c r="AN70" i="4"/>
  <c r="O71" i="4"/>
  <c r="AN71" i="4"/>
  <c r="O72" i="4"/>
  <c r="AN72" i="4"/>
  <c r="O73" i="4"/>
  <c r="AN73" i="4"/>
  <c r="O74" i="4"/>
  <c r="AN74" i="4"/>
  <c r="O75" i="4"/>
  <c r="AN75" i="4"/>
  <c r="O76" i="4"/>
  <c r="AN76" i="4"/>
  <c r="O77" i="4"/>
  <c r="AN77" i="4"/>
  <c r="O78" i="4"/>
  <c r="AN78" i="4"/>
  <c r="O79" i="4"/>
  <c r="AN79" i="4"/>
  <c r="O80" i="4"/>
  <c r="AN80" i="4"/>
  <c r="O81" i="4"/>
  <c r="AN81" i="4"/>
  <c r="O82" i="4"/>
  <c r="AN82" i="4"/>
  <c r="O83" i="4"/>
  <c r="AN83" i="4"/>
  <c r="O84" i="4"/>
  <c r="AN84" i="4"/>
  <c r="O85" i="4"/>
  <c r="AN85" i="4"/>
  <c r="O86" i="4"/>
  <c r="AN86" i="4"/>
  <c r="O87" i="4"/>
  <c r="AN87" i="4"/>
  <c r="O88" i="4"/>
  <c r="AN88" i="4"/>
  <c r="O89" i="4"/>
  <c r="AN89" i="4"/>
  <c r="O90" i="4"/>
  <c r="AN90" i="4"/>
  <c r="O91" i="4"/>
  <c r="AN91" i="4"/>
  <c r="O92" i="4"/>
  <c r="AN92" i="4"/>
  <c r="O93" i="4"/>
  <c r="AN93" i="4"/>
  <c r="O94" i="4"/>
  <c r="AN94" i="4"/>
  <c r="O95" i="4"/>
  <c r="AN95" i="4"/>
  <c r="O96" i="4"/>
  <c r="AN96" i="4"/>
  <c r="O97" i="4"/>
  <c r="AN97" i="4"/>
  <c r="O98" i="4"/>
  <c r="AN98" i="4"/>
  <c r="O99" i="4"/>
  <c r="AN99" i="4"/>
  <c r="O100" i="4"/>
  <c r="AN100" i="4"/>
  <c r="O101" i="4"/>
  <c r="AN101" i="4"/>
  <c r="O102" i="4"/>
  <c r="AN102" i="4"/>
  <c r="O103" i="4"/>
  <c r="AN103" i="4"/>
  <c r="O104" i="4"/>
  <c r="AN104" i="4"/>
  <c r="O105" i="4"/>
  <c r="AN105" i="4"/>
  <c r="O106" i="4"/>
  <c r="AN106" i="4"/>
  <c r="O107" i="4"/>
  <c r="AN107" i="4"/>
  <c r="O108" i="4"/>
  <c r="AN108" i="4"/>
  <c r="O109" i="4"/>
  <c r="AN109" i="4"/>
  <c r="O110" i="4"/>
  <c r="AN110" i="4"/>
  <c r="O111" i="4"/>
  <c r="AN111" i="4"/>
  <c r="O112" i="4"/>
  <c r="AN112" i="4"/>
  <c r="O113" i="4"/>
  <c r="AN113" i="4"/>
  <c r="O114" i="4"/>
  <c r="AN114" i="4"/>
  <c r="O115" i="4"/>
  <c r="AN115" i="4"/>
  <c r="O116" i="4"/>
  <c r="AN116" i="4"/>
  <c r="O117" i="4"/>
  <c r="AN117" i="4"/>
  <c r="O118" i="4"/>
  <c r="AN118" i="4"/>
  <c r="O119" i="4"/>
  <c r="AN119" i="4"/>
  <c r="O120" i="4"/>
  <c r="AN120" i="4"/>
  <c r="O121" i="4"/>
  <c r="AN121" i="4"/>
  <c r="O122" i="4"/>
  <c r="AN122" i="4"/>
  <c r="O123" i="4"/>
  <c r="AN123" i="4"/>
  <c r="O124" i="4"/>
  <c r="AN124" i="4"/>
  <c r="O125" i="4"/>
  <c r="AN125" i="4"/>
  <c r="O126" i="4"/>
  <c r="AN126" i="4"/>
  <c r="O127" i="4"/>
  <c r="AN127" i="4"/>
  <c r="O128" i="4"/>
  <c r="AN128" i="4"/>
  <c r="O129" i="4"/>
  <c r="AN129" i="4"/>
  <c r="O130" i="4"/>
  <c r="AN130" i="4"/>
  <c r="O131" i="4"/>
  <c r="AN131" i="4"/>
  <c r="O132" i="4"/>
  <c r="AN132" i="4"/>
  <c r="O133" i="4"/>
  <c r="AN133" i="4"/>
  <c r="O134" i="4"/>
  <c r="AN134" i="4"/>
  <c r="O135" i="4"/>
  <c r="AN135" i="4"/>
  <c r="O136" i="4"/>
  <c r="AN136" i="4"/>
  <c r="O137" i="4"/>
  <c r="AN137" i="4"/>
  <c r="O138" i="4"/>
  <c r="AN138" i="4"/>
  <c r="O139" i="4"/>
  <c r="AN139" i="4"/>
  <c r="O140" i="4"/>
  <c r="AN140" i="4"/>
  <c r="O141" i="4"/>
  <c r="AN141" i="4"/>
  <c r="O142" i="4"/>
  <c r="AN142" i="4"/>
  <c r="O143" i="4"/>
  <c r="AN143" i="4"/>
  <c r="O144" i="4"/>
  <c r="AN144" i="4"/>
  <c r="O145" i="4"/>
  <c r="AN145" i="4"/>
  <c r="O146" i="4"/>
  <c r="AN146" i="4"/>
  <c r="O147" i="4"/>
  <c r="AN147" i="4"/>
  <c r="O148" i="4"/>
  <c r="AN148" i="4"/>
  <c r="O149" i="4"/>
  <c r="AN149" i="4"/>
  <c r="O150" i="4"/>
  <c r="AN150" i="4"/>
  <c r="O151" i="4"/>
  <c r="AN151" i="4"/>
  <c r="O152" i="4"/>
  <c r="AN152" i="4"/>
  <c r="O153" i="4"/>
  <c r="AN153" i="4"/>
  <c r="O154" i="4"/>
  <c r="AN154" i="4"/>
  <c r="O155" i="4"/>
  <c r="AN155" i="4"/>
  <c r="O156" i="4"/>
  <c r="AN156" i="4"/>
  <c r="O157" i="4"/>
  <c r="AN157" i="4"/>
  <c r="O158" i="4"/>
  <c r="AN158" i="4"/>
  <c r="O159" i="4"/>
  <c r="AN159" i="4"/>
  <c r="O160" i="4"/>
  <c r="AN160" i="4"/>
  <c r="O161" i="4"/>
  <c r="AN161" i="4"/>
  <c r="O162" i="4"/>
  <c r="AN162" i="4"/>
  <c r="O163" i="4"/>
  <c r="AN163" i="4"/>
  <c r="O164" i="4"/>
  <c r="AN164" i="4"/>
  <c r="O165" i="4"/>
  <c r="AN165" i="4"/>
  <c r="O166" i="4"/>
  <c r="AN166" i="4"/>
  <c r="O167" i="4"/>
  <c r="AN167" i="4"/>
  <c r="O168" i="4"/>
  <c r="AN168" i="4"/>
  <c r="O169" i="4"/>
  <c r="AN169" i="4"/>
  <c r="O170" i="4"/>
  <c r="AN170" i="4"/>
  <c r="O171" i="4"/>
  <c r="AN171" i="4"/>
  <c r="O172" i="4"/>
  <c r="AN172" i="4"/>
  <c r="O173" i="4"/>
  <c r="AN173" i="4"/>
  <c r="O174" i="4"/>
  <c r="AN174" i="4"/>
  <c r="O175" i="4"/>
  <c r="AN175" i="4"/>
  <c r="O176" i="4"/>
  <c r="AN176" i="4"/>
  <c r="O177" i="4"/>
  <c r="AN177" i="4"/>
  <c r="O178" i="4"/>
  <c r="AN178" i="4"/>
  <c r="O179" i="4"/>
  <c r="AN179" i="4"/>
  <c r="O180" i="4"/>
  <c r="AN180" i="4"/>
  <c r="O181" i="4"/>
  <c r="AN181" i="4"/>
  <c r="O182" i="4"/>
  <c r="AN182" i="4"/>
  <c r="O183" i="4"/>
  <c r="AN183" i="4"/>
  <c r="O184" i="4"/>
  <c r="AN184" i="4"/>
  <c r="O185" i="4"/>
  <c r="AN185" i="4"/>
  <c r="O186" i="4"/>
  <c r="AN186" i="4"/>
  <c r="O187" i="4"/>
  <c r="AN187" i="4"/>
  <c r="O188" i="4"/>
  <c r="AN188" i="4"/>
  <c r="O189" i="4"/>
  <c r="AN189" i="4"/>
  <c r="O190" i="4"/>
  <c r="AN190" i="4"/>
  <c r="O191" i="4"/>
  <c r="AN191" i="4"/>
  <c r="O192" i="4"/>
  <c r="AN192" i="4"/>
  <c r="O193" i="4"/>
  <c r="AN193" i="4"/>
  <c r="O194" i="4"/>
  <c r="AN194" i="4"/>
  <c r="O195" i="4"/>
  <c r="AN195" i="4"/>
  <c r="O196" i="4"/>
  <c r="AN196" i="4"/>
  <c r="O197" i="4"/>
  <c r="AN197" i="4"/>
  <c r="O198" i="4"/>
  <c r="AN198" i="4"/>
  <c r="O199" i="4"/>
  <c r="AN199" i="4"/>
  <c r="O200" i="4"/>
  <c r="AN200" i="4"/>
  <c r="O201" i="4"/>
  <c r="AN201" i="4"/>
  <c r="O202" i="4"/>
  <c r="AN202" i="4"/>
  <c r="O203" i="4"/>
  <c r="AN203" i="4"/>
  <c r="O204" i="4"/>
  <c r="AN204" i="4"/>
  <c r="O205" i="4"/>
  <c r="AN205" i="4"/>
  <c r="O206" i="4"/>
  <c r="AN206" i="4"/>
  <c r="O207" i="4"/>
  <c r="AN207" i="4"/>
  <c r="O208" i="4"/>
  <c r="AN208" i="4"/>
  <c r="O209" i="4"/>
  <c r="AN209" i="4"/>
  <c r="O210" i="4"/>
  <c r="AN210" i="4"/>
  <c r="O211" i="4"/>
  <c r="AN211" i="4"/>
  <c r="O212" i="4"/>
  <c r="AN212" i="4"/>
  <c r="O213" i="4"/>
  <c r="AN213" i="4"/>
  <c r="O214" i="4"/>
  <c r="AN214" i="4"/>
  <c r="O215" i="4"/>
  <c r="AN215" i="4"/>
  <c r="O216" i="4"/>
  <c r="AN216" i="4"/>
  <c r="O217" i="4"/>
  <c r="AN217" i="4"/>
  <c r="O218" i="4"/>
  <c r="AN218" i="4"/>
  <c r="O219" i="4"/>
  <c r="AN219" i="4"/>
  <c r="O220" i="4"/>
  <c r="AN220" i="4"/>
  <c r="O221" i="4"/>
  <c r="AN221" i="4"/>
  <c r="O222" i="4"/>
  <c r="AN222" i="4"/>
  <c r="O223" i="4"/>
  <c r="AN223" i="4"/>
  <c r="O224" i="4"/>
  <c r="AN224" i="4"/>
  <c r="O225" i="4"/>
  <c r="AN225" i="4"/>
  <c r="O226" i="4"/>
  <c r="AN226" i="4"/>
  <c r="O227" i="4"/>
  <c r="AN227" i="4"/>
  <c r="O228" i="4"/>
  <c r="AN228" i="4"/>
  <c r="O229" i="4"/>
  <c r="AN229" i="4"/>
  <c r="O230" i="4"/>
  <c r="AN230" i="4"/>
  <c r="O231" i="4"/>
  <c r="AN231" i="4"/>
  <c r="O232" i="4"/>
  <c r="AN232" i="4"/>
  <c r="O233" i="4"/>
  <c r="AN233" i="4"/>
  <c r="O234" i="4"/>
  <c r="AN234" i="4"/>
  <c r="O235" i="4"/>
  <c r="AN235" i="4"/>
  <c r="O236" i="4"/>
  <c r="AN236" i="4"/>
  <c r="O237" i="4"/>
  <c r="AN237" i="4"/>
  <c r="O238" i="4"/>
  <c r="AN238" i="4"/>
  <c r="O239" i="4"/>
  <c r="AN239" i="4"/>
  <c r="O240" i="4"/>
  <c r="AN240" i="4"/>
  <c r="O241" i="4"/>
  <c r="AN241" i="4"/>
  <c r="O242" i="4"/>
  <c r="AN242" i="4"/>
  <c r="O243" i="4"/>
  <c r="AN243" i="4"/>
  <c r="O244" i="4"/>
  <c r="AN244" i="4"/>
  <c r="O245" i="4"/>
  <c r="AN245" i="4"/>
  <c r="O246" i="4"/>
  <c r="AN246" i="4"/>
  <c r="O247" i="4"/>
  <c r="AN247" i="4"/>
  <c r="O248" i="4"/>
  <c r="AN248" i="4"/>
  <c r="O249" i="4"/>
  <c r="AN249" i="4"/>
  <c r="O250" i="4"/>
  <c r="AN250" i="4"/>
  <c r="O251" i="4"/>
  <c r="AN251" i="4"/>
  <c r="O252" i="4"/>
  <c r="AN252" i="4"/>
  <c r="O253" i="4"/>
  <c r="AN253" i="4"/>
  <c r="O254" i="4"/>
  <c r="AN254" i="4"/>
  <c r="O255" i="4"/>
  <c r="AN255" i="4"/>
  <c r="O256" i="4"/>
  <c r="AN256" i="4"/>
  <c r="O257" i="4"/>
  <c r="AN257" i="4"/>
  <c r="O258" i="4"/>
  <c r="AN258" i="4"/>
  <c r="O259" i="4"/>
  <c r="AN259" i="4"/>
  <c r="O260" i="4"/>
  <c r="AN260" i="4"/>
  <c r="O261" i="4"/>
  <c r="AN261" i="4"/>
  <c r="O262" i="4"/>
  <c r="AN262" i="4"/>
  <c r="O263" i="4"/>
  <c r="AN263" i="4"/>
  <c r="O264" i="4"/>
  <c r="AN264" i="4"/>
  <c r="O265" i="4"/>
  <c r="AN265" i="4"/>
  <c r="O266" i="4"/>
  <c r="AN266" i="4"/>
  <c r="O267" i="4"/>
  <c r="AN267" i="4"/>
  <c r="O268" i="4"/>
  <c r="AN268" i="4"/>
  <c r="O269" i="4"/>
  <c r="AN269" i="4"/>
  <c r="O270" i="4"/>
  <c r="AN270" i="4"/>
  <c r="O271" i="4"/>
  <c r="AN271" i="4"/>
  <c r="O272" i="4"/>
  <c r="AN272" i="4"/>
  <c r="O273" i="4"/>
  <c r="AN273" i="4"/>
  <c r="O274" i="4"/>
  <c r="AN274" i="4"/>
  <c r="O275" i="4"/>
  <c r="AN275" i="4"/>
  <c r="O276" i="4"/>
  <c r="AN276" i="4"/>
  <c r="O277" i="4"/>
  <c r="AN277" i="4"/>
  <c r="O278" i="4"/>
  <c r="AN278" i="4"/>
  <c r="O279" i="4"/>
  <c r="AN279" i="4"/>
  <c r="O280" i="4"/>
  <c r="AN280" i="4"/>
  <c r="O281" i="4"/>
  <c r="AN281" i="4"/>
  <c r="O282" i="4"/>
  <c r="AN282" i="4"/>
  <c r="O283" i="4"/>
  <c r="AN283" i="4"/>
  <c r="O284" i="4"/>
  <c r="AN284" i="4"/>
  <c r="O285" i="4"/>
  <c r="AN285" i="4"/>
  <c r="O286" i="4"/>
  <c r="AN286" i="4"/>
  <c r="O287" i="4"/>
  <c r="AN287" i="4"/>
  <c r="O288" i="4"/>
  <c r="AN288" i="4"/>
  <c r="O289" i="4"/>
  <c r="AN289" i="4"/>
  <c r="O290" i="4"/>
  <c r="AN290" i="4"/>
  <c r="O291" i="4"/>
  <c r="AN291" i="4"/>
  <c r="O292" i="4"/>
  <c r="AN292" i="4"/>
  <c r="O293" i="4"/>
  <c r="AN293" i="4"/>
  <c r="O294" i="4"/>
  <c r="AN294" i="4"/>
  <c r="O295" i="4"/>
  <c r="AN295" i="4"/>
  <c r="O296" i="4"/>
  <c r="AN296" i="4"/>
  <c r="O297" i="4"/>
  <c r="AN297" i="4"/>
  <c r="O298" i="4"/>
  <c r="AN298" i="4"/>
  <c r="O299" i="4"/>
  <c r="AN299" i="4"/>
  <c r="O300" i="4"/>
  <c r="AN300" i="4"/>
  <c r="O301" i="4"/>
  <c r="AN301" i="4"/>
  <c r="O302" i="4"/>
  <c r="AN302" i="4"/>
  <c r="O303" i="4"/>
  <c r="AN303" i="4"/>
  <c r="O304" i="4"/>
  <c r="AN304" i="4"/>
  <c r="O305" i="4"/>
  <c r="AN305" i="4"/>
  <c r="O306" i="4"/>
  <c r="AN306" i="4"/>
  <c r="O307" i="4"/>
  <c r="AN307" i="4"/>
  <c r="O308" i="4"/>
  <c r="AN308" i="4"/>
  <c r="O309" i="4"/>
  <c r="AN309" i="4"/>
  <c r="O310" i="4"/>
  <c r="AN310" i="4"/>
  <c r="O311" i="4"/>
  <c r="AN311" i="4"/>
  <c r="O312" i="4"/>
  <c r="AN312" i="4"/>
  <c r="O313" i="4"/>
  <c r="AN313" i="4"/>
  <c r="O314" i="4"/>
  <c r="AN314" i="4"/>
  <c r="O315" i="4"/>
  <c r="AN315" i="4"/>
  <c r="O316" i="4"/>
  <c r="AN316" i="4"/>
  <c r="O317" i="4"/>
  <c r="AN317" i="4"/>
  <c r="O318" i="4"/>
  <c r="AN318" i="4"/>
  <c r="O319" i="4"/>
  <c r="AN319" i="4"/>
  <c r="O320" i="4"/>
  <c r="AN320" i="4"/>
  <c r="O321" i="4"/>
  <c r="AN321" i="4"/>
  <c r="O322" i="4"/>
  <c r="AN322" i="4"/>
  <c r="O323" i="4"/>
  <c r="AN323" i="4"/>
  <c r="O324" i="4"/>
  <c r="AN324" i="4"/>
  <c r="O325" i="4"/>
  <c r="AN325" i="4"/>
  <c r="O326" i="4"/>
  <c r="AN326" i="4"/>
  <c r="O327" i="4"/>
  <c r="AN327" i="4"/>
  <c r="O328" i="4"/>
  <c r="AN328" i="4"/>
  <c r="O329" i="4"/>
  <c r="AN329" i="4"/>
  <c r="O330" i="4"/>
  <c r="AN330" i="4"/>
  <c r="O331" i="4"/>
  <c r="AN331" i="4"/>
  <c r="O332" i="4"/>
  <c r="AN332" i="4"/>
  <c r="O333" i="4"/>
  <c r="AN333" i="4"/>
  <c r="O334" i="4"/>
  <c r="AN334" i="4"/>
  <c r="O335" i="4"/>
  <c r="AN335" i="4"/>
  <c r="O336" i="4"/>
  <c r="AN336" i="4"/>
  <c r="O337" i="4"/>
  <c r="AN337" i="4"/>
  <c r="O338" i="4"/>
  <c r="AN338" i="4"/>
  <c r="O339" i="4"/>
  <c r="AN339" i="4"/>
  <c r="O340" i="4"/>
  <c r="AN340" i="4"/>
  <c r="O341" i="4"/>
  <c r="AN341" i="4"/>
  <c r="O342" i="4"/>
  <c r="AN342" i="4"/>
  <c r="O343" i="4"/>
  <c r="AN343" i="4"/>
  <c r="O344" i="4"/>
  <c r="AN344" i="4"/>
  <c r="O345" i="4"/>
  <c r="AN345" i="4"/>
  <c r="O346" i="4"/>
  <c r="AN346" i="4"/>
  <c r="O347" i="4"/>
  <c r="AN347" i="4"/>
  <c r="O348" i="4"/>
  <c r="AN348" i="4"/>
  <c r="O349" i="4"/>
  <c r="AN349" i="4"/>
  <c r="O350" i="4"/>
  <c r="AN350" i="4"/>
  <c r="O351" i="4"/>
  <c r="AN351" i="4"/>
  <c r="O352" i="4"/>
  <c r="AN352" i="4"/>
  <c r="O353" i="4"/>
  <c r="AN353" i="4"/>
  <c r="O354" i="4"/>
  <c r="AN354" i="4"/>
  <c r="O355" i="4"/>
  <c r="AN355" i="4"/>
  <c r="O356" i="4"/>
  <c r="AN356" i="4"/>
  <c r="O357" i="4"/>
  <c r="AN357" i="4"/>
  <c r="O358" i="4"/>
  <c r="AN358" i="4"/>
  <c r="O359" i="4"/>
  <c r="AN359" i="4"/>
  <c r="O360" i="4"/>
  <c r="AN360" i="4"/>
  <c r="O361" i="4"/>
  <c r="AN361" i="4"/>
  <c r="O362" i="4"/>
  <c r="AN362" i="4"/>
  <c r="O363" i="4"/>
  <c r="AN363" i="4"/>
  <c r="O364" i="4"/>
  <c r="AN364" i="4"/>
  <c r="O365" i="4"/>
  <c r="AN365" i="4"/>
  <c r="O366" i="4"/>
  <c r="AN366" i="4"/>
  <c r="O367" i="4"/>
  <c r="AN367" i="4"/>
  <c r="O368" i="4"/>
  <c r="AN368" i="4"/>
  <c r="O369" i="4"/>
  <c r="AN369" i="4"/>
  <c r="O370" i="4"/>
  <c r="AN370" i="4"/>
  <c r="O371" i="4"/>
  <c r="AN371" i="4"/>
  <c r="O372" i="4"/>
  <c r="AN372" i="4"/>
  <c r="O373" i="4"/>
  <c r="AN373" i="4"/>
  <c r="H19" i="5"/>
  <c r="H18" i="5"/>
  <c r="H6" i="5"/>
  <c r="X216" i="10"/>
  <c r="X220" i="10"/>
  <c r="P125" i="10"/>
  <c r="P53" i="10"/>
  <c r="Z132" i="10"/>
  <c r="Z340" i="10"/>
  <c r="O120" i="10"/>
  <c r="Z131" i="10"/>
  <c r="O277" i="10"/>
  <c r="U312" i="10"/>
  <c r="AE332" i="10"/>
  <c r="Z139" i="10"/>
  <c r="Z200" i="10"/>
  <c r="O310" i="10"/>
  <c r="AE368" i="10"/>
  <c r="AB20" i="10"/>
  <c r="AE29" i="10"/>
  <c r="O53" i="10"/>
  <c r="O125" i="10"/>
  <c r="Z125" i="10"/>
  <c r="U132" i="10"/>
  <c r="AE166" i="10"/>
  <c r="AE216" i="10"/>
  <c r="O246" i="10"/>
  <c r="Z246" i="10"/>
  <c r="U278" i="10"/>
  <c r="O294" i="10"/>
  <c r="Z294" i="10"/>
  <c r="AE365" i="10"/>
  <c r="O166" i="10"/>
  <c r="O216" i="10"/>
  <c r="P216" i="10"/>
  <c r="AE220" i="10"/>
  <c r="O288" i="10"/>
  <c r="P288" i="10"/>
  <c r="O309" i="10"/>
  <c r="Z225" i="10"/>
  <c r="X343" i="10"/>
  <c r="AE11" i="10"/>
  <c r="U11" i="10"/>
  <c r="AE28" i="10"/>
  <c r="U28" i="10"/>
  <c r="O28" i="10"/>
  <c r="AE179" i="10"/>
  <c r="O179" i="10"/>
  <c r="X323" i="10"/>
  <c r="AE9" i="10"/>
  <c r="U9" i="10"/>
  <c r="O9" i="10"/>
  <c r="Z9" i="10"/>
  <c r="O11" i="10"/>
  <c r="P11" i="10"/>
  <c r="AN36" i="10"/>
  <c r="AE37" i="10"/>
  <c r="U37" i="10"/>
  <c r="P37" i="10"/>
  <c r="AO37" i="10"/>
  <c r="O37" i="10"/>
  <c r="Z37" i="10"/>
  <c r="AE170" i="10"/>
  <c r="O170" i="10"/>
  <c r="P170" i="10"/>
  <c r="U170" i="10"/>
  <c r="X184" i="10"/>
  <c r="AE208" i="10"/>
  <c r="O208" i="10"/>
  <c r="U208" i="10"/>
  <c r="X208" i="10"/>
  <c r="AE229" i="10"/>
  <c r="O229" i="10"/>
  <c r="U229" i="10"/>
  <c r="X17" i="10"/>
  <c r="AE22" i="10"/>
  <c r="U22" i="10"/>
  <c r="X22" i="10"/>
  <c r="AN26" i="10"/>
  <c r="AE27" i="10"/>
  <c r="U27" i="10"/>
  <c r="AN63" i="10"/>
  <c r="U135" i="10"/>
  <c r="AE135" i="10"/>
  <c r="O135" i="10"/>
  <c r="O315" i="10"/>
  <c r="U315" i="10"/>
  <c r="AE315" i="10"/>
  <c r="AE8" i="10"/>
  <c r="U8" i="10"/>
  <c r="O22" i="10"/>
  <c r="AE25" i="10"/>
  <c r="U25" i="10"/>
  <c r="O25" i="10"/>
  <c r="P25" i="10"/>
  <c r="O27" i="10"/>
  <c r="AE33" i="10"/>
  <c r="U33" i="10"/>
  <c r="U138" i="10"/>
  <c r="AE138" i="10"/>
  <c r="AE212" i="10"/>
  <c r="O212" i="10"/>
  <c r="P212" i="10"/>
  <c r="U212" i="10"/>
  <c r="X212" i="10"/>
  <c r="U235" i="10"/>
  <c r="AE235" i="10"/>
  <c r="AE15" i="10"/>
  <c r="U15" i="10"/>
  <c r="O15" i="10"/>
  <c r="P15" i="10"/>
  <c r="Z33" i="10"/>
  <c r="X166" i="10"/>
  <c r="AE227" i="10"/>
  <c r="U227" i="10"/>
  <c r="O227" i="10"/>
  <c r="Z227" i="10"/>
  <c r="U280" i="10"/>
  <c r="O280" i="10"/>
  <c r="P280" i="10"/>
  <c r="AO280" i="10"/>
  <c r="AE280" i="10"/>
  <c r="O292" i="10"/>
  <c r="U292" i="10"/>
  <c r="P292" i="10"/>
  <c r="U244" i="10"/>
  <c r="O244" i="10"/>
  <c r="Z244" i="10"/>
  <c r="AE244" i="10"/>
  <c r="O262" i="10"/>
  <c r="P262" i="10"/>
  <c r="U262" i="10"/>
  <c r="AE262" i="10"/>
  <c r="AE10" i="10"/>
  <c r="O10" i="10"/>
  <c r="U10" i="10"/>
  <c r="AE21" i="10"/>
  <c r="U21" i="10"/>
  <c r="AE24" i="10"/>
  <c r="U24" i="10"/>
  <c r="AN45" i="10"/>
  <c r="O57" i="10"/>
  <c r="P57" i="10"/>
  <c r="AO57" i="10"/>
  <c r="AN115" i="10"/>
  <c r="U127" i="10"/>
  <c r="O127" i="10"/>
  <c r="AE127" i="10"/>
  <c r="S110" i="10"/>
  <c r="AB110" i="10"/>
  <c r="S76" i="10"/>
  <c r="AB76" i="10"/>
  <c r="S69" i="10"/>
  <c r="AB69" i="10"/>
  <c r="S63" i="10"/>
  <c r="AB63" i="10"/>
  <c r="S84" i="10"/>
  <c r="AB84" i="10"/>
  <c r="S47" i="10"/>
  <c r="AB47" i="10"/>
  <c r="S34" i="10"/>
  <c r="AB34" i="10"/>
  <c r="S29" i="10"/>
  <c r="AB29" i="10"/>
  <c r="S19" i="10"/>
  <c r="AB19" i="10"/>
  <c r="S16" i="10"/>
  <c r="AB16" i="10"/>
  <c r="S13" i="10"/>
  <c r="AB13" i="10"/>
  <c r="S24" i="10"/>
  <c r="AB24" i="10"/>
  <c r="S72" i="10"/>
  <c r="AB72" i="10"/>
  <c r="S65" i="10"/>
  <c r="AB65" i="10"/>
  <c r="S61" i="10"/>
  <c r="AB61" i="10"/>
  <c r="S45" i="10"/>
  <c r="AB45" i="10"/>
  <c r="S14" i="10"/>
  <c r="AB14" i="10"/>
  <c r="S33" i="10"/>
  <c r="AB33" i="10"/>
  <c r="S59" i="10"/>
  <c r="AB59" i="10"/>
  <c r="S43" i="10"/>
  <c r="AB43" i="10"/>
  <c r="S28" i="10"/>
  <c r="AB28" i="10"/>
  <c r="S25" i="10"/>
  <c r="AB25" i="10"/>
  <c r="S15" i="10"/>
  <c r="AB15" i="10"/>
  <c r="S12" i="10"/>
  <c r="AB12" i="10"/>
  <c r="S9" i="10"/>
  <c r="AB9" i="10"/>
  <c r="S55" i="10"/>
  <c r="AB55" i="10"/>
  <c r="S38" i="10"/>
  <c r="AB38" i="10"/>
  <c r="S27" i="10"/>
  <c r="AB27" i="10"/>
  <c r="S21" i="10"/>
  <c r="AB21" i="10"/>
  <c r="S11" i="10"/>
  <c r="AB11" i="10"/>
  <c r="S8" i="10"/>
  <c r="AB8" i="10"/>
  <c r="S53" i="10"/>
  <c r="AB53" i="10"/>
  <c r="S57" i="10"/>
  <c r="AB57" i="10"/>
  <c r="S40" i="10"/>
  <c r="AB40" i="10"/>
  <c r="S37" i="10"/>
  <c r="AB37" i="10"/>
  <c r="S30" i="10"/>
  <c r="AB30" i="10"/>
  <c r="S26" i="10"/>
  <c r="AB26" i="10"/>
  <c r="S10" i="10"/>
  <c r="AB10" i="10"/>
  <c r="AE12" i="10"/>
  <c r="U12" i="10"/>
  <c r="O12" i="10"/>
  <c r="S18" i="10"/>
  <c r="AB18" i="10"/>
  <c r="O21" i="10"/>
  <c r="P21" i="10"/>
  <c r="O24" i="10"/>
  <c r="P24" i="10"/>
  <c r="AN40" i="10"/>
  <c r="AE41" i="10"/>
  <c r="U41" i="10"/>
  <c r="O41" i="10"/>
  <c r="P41" i="10"/>
  <c r="AO41" i="10"/>
  <c r="AN54" i="10"/>
  <c r="P55" i="10"/>
  <c r="AO55" i="10"/>
  <c r="AN59" i="10"/>
  <c r="AN113" i="10"/>
  <c r="U114" i="10"/>
  <c r="AE114" i="10"/>
  <c r="X200" i="10"/>
  <c r="AE210" i="10"/>
  <c r="O210" i="10"/>
  <c r="AE231" i="10"/>
  <c r="U231" i="10"/>
  <c r="O231" i="10"/>
  <c r="Z231" i="10"/>
  <c r="AE26" i="10"/>
  <c r="U26" i="10"/>
  <c r="O26" i="10"/>
  <c r="P26" i="10"/>
  <c r="AO26" i="10"/>
  <c r="AN43" i="10"/>
  <c r="S68" i="10"/>
  <c r="AB68" i="10"/>
  <c r="AE181" i="10"/>
  <c r="U181" i="10"/>
  <c r="AE192" i="10"/>
  <c r="O192" i="10"/>
  <c r="X255" i="10"/>
  <c r="O257" i="10"/>
  <c r="Z257" i="10"/>
  <c r="AE257" i="10"/>
  <c r="AN310" i="10"/>
  <c r="U329" i="10"/>
  <c r="O329" i="10"/>
  <c r="AE329" i="10"/>
  <c r="U346" i="10"/>
  <c r="AE346" i="10"/>
  <c r="O124" i="10"/>
  <c r="Z124" i="10"/>
  <c r="O130" i="10"/>
  <c r="U137" i="10"/>
  <c r="O137" i="10"/>
  <c r="O174" i="10"/>
  <c r="P174" i="10"/>
  <c r="AO174" i="10"/>
  <c r="U180" i="10"/>
  <c r="U183" i="10"/>
  <c r="U192" i="10"/>
  <c r="AN194" i="10"/>
  <c r="AN197" i="10"/>
  <c r="O215" i="10"/>
  <c r="P215" i="10"/>
  <c r="AE219" i="10"/>
  <c r="O219" i="10"/>
  <c r="P219" i="10"/>
  <c r="AE221" i="10"/>
  <c r="U221" i="10"/>
  <c r="X221" i="10"/>
  <c r="P225" i="10"/>
  <c r="AO225" i="10"/>
  <c r="AE252" i="10"/>
  <c r="U252" i="10"/>
  <c r="AE254" i="10"/>
  <c r="O254" i="10"/>
  <c r="U257" i="10"/>
  <c r="AN270" i="10"/>
  <c r="AE273" i="10"/>
  <c r="O273" i="10"/>
  <c r="U273" i="10"/>
  <c r="O284" i="10"/>
  <c r="AN289" i="10"/>
  <c r="AO289" i="10"/>
  <c r="O293" i="10"/>
  <c r="P293" i="10"/>
  <c r="AE293" i="10"/>
  <c r="U293" i="10"/>
  <c r="O305" i="10"/>
  <c r="P305" i="10"/>
  <c r="AO305" i="10"/>
  <c r="AE305" i="10"/>
  <c r="X309" i="10"/>
  <c r="O313" i="10"/>
  <c r="P313" i="10"/>
  <c r="U313" i="10"/>
  <c r="AE313" i="10"/>
  <c r="AN18" i="10"/>
  <c r="O32" i="10"/>
  <c r="P32" i="10"/>
  <c r="U38" i="10"/>
  <c r="P43" i="10"/>
  <c r="AO43" i="10"/>
  <c r="O45" i="10"/>
  <c r="P45" i="10"/>
  <c r="AO45" i="10"/>
  <c r="AN46" i="10"/>
  <c r="AN51" i="10"/>
  <c r="P59" i="10"/>
  <c r="AO59" i="10"/>
  <c r="O61" i="10"/>
  <c r="P61" i="10"/>
  <c r="AN62" i="10"/>
  <c r="AN64" i="10"/>
  <c r="AN97" i="10"/>
  <c r="AN110" i="10"/>
  <c r="U111" i="10"/>
  <c r="AE111" i="10"/>
  <c r="AN132" i="10"/>
  <c r="U134" i="10"/>
  <c r="P137" i="10"/>
  <c r="O178" i="10"/>
  <c r="Z178" i="10"/>
  <c r="AE178" i="10"/>
  <c r="O180" i="10"/>
  <c r="AN186" i="10"/>
  <c r="AE205" i="10"/>
  <c r="AE211" i="10"/>
  <c r="U211" i="10"/>
  <c r="O211" i="10"/>
  <c r="P211" i="10"/>
  <c r="AE213" i="10"/>
  <c r="O213" i="10"/>
  <c r="U219" i="10"/>
  <c r="O221" i="10"/>
  <c r="Z221" i="10"/>
  <c r="AE236" i="10"/>
  <c r="O236" i="10"/>
  <c r="P236" i="10"/>
  <c r="AO236" i="10"/>
  <c r="AE245" i="10"/>
  <c r="X246" i="10"/>
  <c r="U254" i="10"/>
  <c r="O261" i="10"/>
  <c r="O269" i="10"/>
  <c r="AE269" i="10"/>
  <c r="P273" i="10"/>
  <c r="O281" i="10"/>
  <c r="AE281" i="10"/>
  <c r="U284" i="10"/>
  <c r="U305" i="10"/>
  <c r="O319" i="10"/>
  <c r="P319" i="10"/>
  <c r="AO319" i="10"/>
  <c r="AE319" i="10"/>
  <c r="U319" i="10"/>
  <c r="U338" i="10"/>
  <c r="AE338" i="10"/>
  <c r="AE366" i="10"/>
  <c r="U366" i="10"/>
  <c r="O366" i="10"/>
  <c r="AE372" i="10"/>
  <c r="U372" i="10"/>
  <c r="AN47" i="10"/>
  <c r="U113" i="10"/>
  <c r="AE113" i="10"/>
  <c r="AN29" i="10"/>
  <c r="AN34" i="10"/>
  <c r="O40" i="10"/>
  <c r="AN49" i="10"/>
  <c r="AN60" i="10"/>
  <c r="O13" i="10"/>
  <c r="O14" i="10"/>
  <c r="O16" i="10"/>
  <c r="P16" i="10"/>
  <c r="O19" i="10"/>
  <c r="Z19" i="10"/>
  <c r="O29" i="10"/>
  <c r="P29" i="10"/>
  <c r="AO29" i="10"/>
  <c r="U30" i="10"/>
  <c r="U40" i="10"/>
  <c r="O47" i="10"/>
  <c r="P47" i="10"/>
  <c r="AO47" i="10"/>
  <c r="AN53" i="10"/>
  <c r="AO53" i="10"/>
  <c r="O63" i="10"/>
  <c r="P63" i="10"/>
  <c r="O65" i="10"/>
  <c r="P65" i="10"/>
  <c r="AO65" i="10"/>
  <c r="AN73" i="10"/>
  <c r="AN85" i="10"/>
  <c r="O111" i="10"/>
  <c r="Z111" i="10"/>
  <c r="U117" i="10"/>
  <c r="O117" i="10"/>
  <c r="X121" i="10"/>
  <c r="AN127" i="10"/>
  <c r="U128" i="10"/>
  <c r="P128" i="10"/>
  <c r="AN128" i="10"/>
  <c r="U129" i="10"/>
  <c r="AE129" i="10"/>
  <c r="O133" i="10"/>
  <c r="O134" i="10"/>
  <c r="Z134" i="10"/>
  <c r="O167" i="10"/>
  <c r="P167" i="10"/>
  <c r="U174" i="10"/>
  <c r="U178" i="10"/>
  <c r="O205" i="10"/>
  <c r="P205" i="10"/>
  <c r="AO205" i="10"/>
  <c r="AE209" i="10"/>
  <c r="U209" i="10"/>
  <c r="X209" i="10"/>
  <c r="U213" i="10"/>
  <c r="X213" i="10"/>
  <c r="U215" i="10"/>
  <c r="AE217" i="10"/>
  <c r="O217" i="10"/>
  <c r="U217" i="10"/>
  <c r="X217" i="10"/>
  <c r="U236" i="10"/>
  <c r="O239" i="10"/>
  <c r="Z239" i="10"/>
  <c r="AE239" i="10"/>
  <c r="AN244" i="10"/>
  <c r="O245" i="10"/>
  <c r="U261" i="10"/>
  <c r="U269" i="10"/>
  <c r="AE287" i="10"/>
  <c r="U287" i="10"/>
  <c r="O303" i="10"/>
  <c r="P303" i="10"/>
  <c r="AO303" i="10"/>
  <c r="AE303" i="10"/>
  <c r="O308" i="10"/>
  <c r="AE308" i="10"/>
  <c r="O321" i="10"/>
  <c r="U321" i="10"/>
  <c r="AE321" i="10"/>
  <c r="O372" i="10"/>
  <c r="AN37" i="10"/>
  <c r="AN58" i="10"/>
  <c r="AN77" i="10"/>
  <c r="AN112" i="10"/>
  <c r="AN121" i="10"/>
  <c r="U122" i="10"/>
  <c r="O122" i="10"/>
  <c r="AE122" i="10"/>
  <c r="AN123" i="10"/>
  <c r="AN129" i="10"/>
  <c r="AE223" i="10"/>
  <c r="O223" i="10"/>
  <c r="U223" i="10"/>
  <c r="AN230" i="10"/>
  <c r="AO230" i="10"/>
  <c r="AN22" i="10"/>
  <c r="AN33" i="10"/>
  <c r="AN41" i="10"/>
  <c r="AN50" i="10"/>
  <c r="AN55" i="10"/>
  <c r="AN150" i="10"/>
  <c r="Z166" i="10"/>
  <c r="AE184" i="10"/>
  <c r="O184" i="10"/>
  <c r="Z184" i="10"/>
  <c r="AE197" i="10"/>
  <c r="O197" i="10"/>
  <c r="Z197" i="10"/>
  <c r="AE202" i="10"/>
  <c r="U202" i="10"/>
  <c r="U205" i="10"/>
  <c r="X205" i="10"/>
  <c r="Z209" i="10"/>
  <c r="AE222" i="10"/>
  <c r="O222" i="10"/>
  <c r="AE224" i="10"/>
  <c r="U224" i="10"/>
  <c r="X224" i="10"/>
  <c r="O224" i="10"/>
  <c r="AE230" i="10"/>
  <c r="U230" i="10"/>
  <c r="O230" i="10"/>
  <c r="P230" i="10"/>
  <c r="P243" i="10"/>
  <c r="O243" i="10"/>
  <c r="U243" i="10"/>
  <c r="U245" i="10"/>
  <c r="AN252" i="10"/>
  <c r="AN266" i="10"/>
  <c r="U281" i="10"/>
  <c r="O301" i="10"/>
  <c r="P301" i="10"/>
  <c r="U301" i="10"/>
  <c r="AE301" i="10"/>
  <c r="O317" i="10"/>
  <c r="P317" i="10"/>
  <c r="AO317" i="10"/>
  <c r="AE317" i="10"/>
  <c r="AE364" i="10"/>
  <c r="U364" i="10"/>
  <c r="AE370" i="10"/>
  <c r="U370" i="10"/>
  <c r="X370" i="10"/>
  <c r="O307" i="10"/>
  <c r="P307" i="10"/>
  <c r="U307" i="10"/>
  <c r="O112" i="10"/>
  <c r="Z112" i="10"/>
  <c r="U14" i="10"/>
  <c r="O17" i="10"/>
  <c r="P17" i="10"/>
  <c r="O18" i="10"/>
  <c r="Z18" i="10"/>
  <c r="O20" i="10"/>
  <c r="P20" i="10"/>
  <c r="AO20" i="10"/>
  <c r="O23" i="10"/>
  <c r="AN38" i="10"/>
  <c r="AN57" i="10"/>
  <c r="AN69" i="10"/>
  <c r="O119" i="10"/>
  <c r="Z119" i="10"/>
  <c r="AN122" i="10"/>
  <c r="AE130" i="10"/>
  <c r="P132" i="10"/>
  <c r="AE137" i="10"/>
  <c r="AN146" i="10"/>
  <c r="AO146" i="10"/>
  <c r="P166" i="10"/>
  <c r="P184" i="10"/>
  <c r="AO184" i="10"/>
  <c r="AE186" i="10"/>
  <c r="P186" i="10"/>
  <c r="AE191" i="10"/>
  <c r="O191" i="10"/>
  <c r="AE200" i="10"/>
  <c r="P200" i="10"/>
  <c r="AE214" i="10"/>
  <c r="O214" i="10"/>
  <c r="Z214" i="10"/>
  <c r="AE218" i="10"/>
  <c r="O218" i="10"/>
  <c r="Z218" i="10"/>
  <c r="U222" i="10"/>
  <c r="P228" i="10"/>
  <c r="X251" i="10"/>
  <c r="U276" i="10"/>
  <c r="AE276" i="10"/>
  <c r="AE284" i="10"/>
  <c r="O285" i="10"/>
  <c r="P285" i="10"/>
  <c r="AE285" i="10"/>
  <c r="AN293" i="10"/>
  <c r="AN316" i="10"/>
  <c r="U317" i="10"/>
  <c r="U334" i="10"/>
  <c r="P334" i="10"/>
  <c r="O334" i="10"/>
  <c r="O364" i="10"/>
  <c r="O370" i="10"/>
  <c r="AN243" i="10"/>
  <c r="AN251" i="10"/>
  <c r="AN259" i="10"/>
  <c r="Z260" i="10"/>
  <c r="U263" i="10"/>
  <c r="U283" i="10"/>
  <c r="O283" i="10"/>
  <c r="P283" i="10"/>
  <c r="X286" i="10"/>
  <c r="AN294" i="10"/>
  <c r="AN298" i="10"/>
  <c r="O302" i="10"/>
  <c r="AN306" i="10"/>
  <c r="O322" i="10"/>
  <c r="AE322" i="10"/>
  <c r="AN93" i="10"/>
  <c r="AE207" i="10"/>
  <c r="U207" i="10"/>
  <c r="O207" i="10"/>
  <c r="P207" i="10"/>
  <c r="AN213" i="10"/>
  <c r="AE226" i="10"/>
  <c r="U226" i="10"/>
  <c r="O226" i="10"/>
  <c r="AE241" i="10"/>
  <c r="AN246" i="10"/>
  <c r="AN254" i="10"/>
  <c r="AN262" i="10"/>
  <c r="O263" i="10"/>
  <c r="P263" i="10"/>
  <c r="AN264" i="10"/>
  <c r="O270" i="10"/>
  <c r="U270" i="10"/>
  <c r="O279" i="10"/>
  <c r="Z279" i="10"/>
  <c r="O286" i="10"/>
  <c r="Z286" i="10"/>
  <c r="U302" i="10"/>
  <c r="AN321" i="10"/>
  <c r="U322" i="10"/>
  <c r="O332" i="10"/>
  <c r="Z332" i="10"/>
  <c r="U345" i="10"/>
  <c r="O345" i="10"/>
  <c r="AN236" i="10"/>
  <c r="P240" i="10"/>
  <c r="AN240" i="10"/>
  <c r="O241" i="10"/>
  <c r="P241" i="10"/>
  <c r="AO241" i="10"/>
  <c r="AN250" i="10"/>
  <c r="AN258" i="10"/>
  <c r="AN271" i="10"/>
  <c r="U275" i="10"/>
  <c r="P282" i="10"/>
  <c r="P286" i="10"/>
  <c r="AN290" i="10"/>
  <c r="AN295" i="10"/>
  <c r="O298" i="10"/>
  <c r="U298" i="10"/>
  <c r="AE298" i="10"/>
  <c r="U304" i="10"/>
  <c r="U314" i="10"/>
  <c r="U316" i="10"/>
  <c r="U330" i="10"/>
  <c r="AE330" i="10"/>
  <c r="O363" i="10"/>
  <c r="P363" i="10"/>
  <c r="AN366" i="10"/>
  <c r="O367" i="10"/>
  <c r="O373" i="10"/>
  <c r="P373" i="10"/>
  <c r="AN89" i="10"/>
  <c r="AN120" i="10"/>
  <c r="AN176" i="10"/>
  <c r="AN181" i="10"/>
  <c r="AN189" i="10"/>
  <c r="AN202" i="10"/>
  <c r="AE206" i="10"/>
  <c r="O206" i="10"/>
  <c r="Z206" i="10"/>
  <c r="U228" i="10"/>
  <c r="Z228" i="10"/>
  <c r="AN231" i="10"/>
  <c r="AN237" i="10"/>
  <c r="U240" i="10"/>
  <c r="P248" i="10"/>
  <c r="AO248" i="10"/>
  <c r="U248" i="10"/>
  <c r="Z248" i="10"/>
  <c r="AN253" i="10"/>
  <c r="O258" i="10"/>
  <c r="Z258" i="10"/>
  <c r="AE258" i="10"/>
  <c r="AE270" i="10"/>
  <c r="Z290" i="10"/>
  <c r="Z297" i="10"/>
  <c r="AN305" i="10"/>
  <c r="AN308" i="10"/>
  <c r="O311" i="10"/>
  <c r="AE311" i="10"/>
  <c r="AN318" i="10"/>
  <c r="AN324" i="10"/>
  <c r="P340" i="10"/>
  <c r="AN350" i="10"/>
  <c r="U363" i="10"/>
  <c r="U367" i="10"/>
  <c r="AE369" i="10"/>
  <c r="U369" i="10"/>
  <c r="O369" i="10"/>
  <c r="P369" i="10"/>
  <c r="AN209" i="10"/>
  <c r="AN225" i="10"/>
  <c r="AN229" i="10"/>
  <c r="AN238" i="10"/>
  <c r="AN242" i="10"/>
  <c r="P259" i="10"/>
  <c r="AO259" i="10"/>
  <c r="AE259" i="10"/>
  <c r="P260" i="10"/>
  <c r="AN260" i="10"/>
  <c r="AO260" i="10"/>
  <c r="AN261" i="10"/>
  <c r="AN274" i="10"/>
  <c r="AN282" i="10"/>
  <c r="AN302" i="10"/>
  <c r="AN312" i="10"/>
  <c r="AN314" i="10"/>
  <c r="AN354" i="10"/>
  <c r="AN309" i="10"/>
  <c r="U310" i="10"/>
  <c r="U318" i="10"/>
  <c r="AN322" i="10"/>
  <c r="O337" i="10"/>
  <c r="Z337" i="10"/>
  <c r="AN370" i="10"/>
  <c r="O371" i="10"/>
  <c r="AG289" i="10"/>
  <c r="AG233" i="10"/>
  <c r="U199" i="10"/>
  <c r="AN205" i="10"/>
  <c r="P220" i="10"/>
  <c r="AN221" i="10"/>
  <c r="AN228" i="10"/>
  <c r="P246" i="10"/>
  <c r="AE246" i="10"/>
  <c r="P255" i="10"/>
  <c r="AE255" i="10"/>
  <c r="P256" i="10"/>
  <c r="U259" i="10"/>
  <c r="U260" i="10"/>
  <c r="U289" i="10"/>
  <c r="P337" i="10"/>
  <c r="O365" i="10"/>
  <c r="P365" i="10"/>
  <c r="O368" i="10"/>
  <c r="U371" i="10"/>
  <c r="AG296" i="10"/>
  <c r="U189" i="10"/>
  <c r="X189" i="10"/>
  <c r="O189" i="10"/>
  <c r="AN320" i="10"/>
  <c r="AN317" i="10"/>
  <c r="AN358" i="10"/>
  <c r="AN249" i="10"/>
  <c r="AN255" i="10"/>
  <c r="AO255" i="10"/>
  <c r="AN265" i="10"/>
  <c r="AN299" i="10"/>
  <c r="AN217" i="10"/>
  <c r="AN227" i="10"/>
  <c r="AN233" i="10"/>
  <c r="AN235" i="10"/>
  <c r="AN313" i="10"/>
  <c r="AN338" i="10"/>
  <c r="AN303" i="10"/>
  <c r="AN247" i="10"/>
  <c r="AN263" i="10"/>
  <c r="AN256" i="10"/>
  <c r="AN257" i="10"/>
  <c r="AN269" i="10"/>
  <c r="AN280" i="10"/>
  <c r="AN297" i="10"/>
  <c r="AO297" i="10"/>
  <c r="AN301" i="10"/>
  <c r="AN304" i="10"/>
  <c r="AN319" i="10"/>
  <c r="AN9" i="10"/>
  <c r="AN13" i="10"/>
  <c r="AN17" i="10"/>
  <c r="AO17" i="10"/>
  <c r="AN21" i="10"/>
  <c r="AN25" i="10"/>
  <c r="AE31" i="10"/>
  <c r="O31" i="10"/>
  <c r="U31" i="10"/>
  <c r="AN32" i="10"/>
  <c r="AN35" i="10"/>
  <c r="AN39" i="10"/>
  <c r="AE42" i="10"/>
  <c r="U42" i="10"/>
  <c r="P42" i="10"/>
  <c r="AE36" i="10"/>
  <c r="U36" i="10"/>
  <c r="AO49" i="10"/>
  <c r="P10" i="10"/>
  <c r="AO10" i="10"/>
  <c r="P14" i="10"/>
  <c r="AO14" i="10"/>
  <c r="P18" i="10"/>
  <c r="AO18" i="10"/>
  <c r="X29" i="10"/>
  <c r="P33" i="10"/>
  <c r="AE35" i="10"/>
  <c r="O35" i="10"/>
  <c r="U35" i="10"/>
  <c r="O36" i="10"/>
  <c r="AE39" i="10"/>
  <c r="U39" i="10"/>
  <c r="O39" i="10"/>
  <c r="P39" i="10"/>
  <c r="AO39" i="10"/>
  <c r="AN11" i="10"/>
  <c r="AO15" i="10"/>
  <c r="AN15" i="10"/>
  <c r="AN19" i="10"/>
  <c r="AN23" i="10"/>
  <c r="AN27" i="10"/>
  <c r="X33" i="10"/>
  <c r="Z16" i="10"/>
  <c r="Z24" i="10"/>
  <c r="AN44" i="10"/>
  <c r="AE46" i="10"/>
  <c r="U46" i="10"/>
  <c r="P46" i="10"/>
  <c r="O46" i="10"/>
  <c r="AO51" i="10"/>
  <c r="AN8" i="10"/>
  <c r="AO8" i="10"/>
  <c r="AN12" i="10"/>
  <c r="AN16" i="10"/>
  <c r="AO16" i="10"/>
  <c r="AN20" i="10"/>
  <c r="AN24" i="10"/>
  <c r="AN28" i="10"/>
  <c r="AN31" i="10"/>
  <c r="AN56" i="10"/>
  <c r="Z17" i="10"/>
  <c r="AE32" i="10"/>
  <c r="U32" i="10"/>
  <c r="AN42" i="10"/>
  <c r="AE44" i="10"/>
  <c r="U44" i="10"/>
  <c r="O44" i="10"/>
  <c r="Z44" i="10"/>
  <c r="AN48" i="10"/>
  <c r="AN52" i="10"/>
  <c r="S41" i="10"/>
  <c r="AB41" i="10"/>
  <c r="AN68" i="10"/>
  <c r="AE69" i="10"/>
  <c r="U69" i="10"/>
  <c r="AN72" i="10"/>
  <c r="AE73" i="10"/>
  <c r="U73" i="10"/>
  <c r="AN76" i="10"/>
  <c r="AE77" i="10"/>
  <c r="U77" i="10"/>
  <c r="Z77" i="10"/>
  <c r="AN80" i="10"/>
  <c r="AE81" i="10"/>
  <c r="U81" i="10"/>
  <c r="AN84" i="10"/>
  <c r="AE85" i="10"/>
  <c r="U85" i="10"/>
  <c r="AN88" i="10"/>
  <c r="AE89" i="10"/>
  <c r="U89" i="10"/>
  <c r="Z89" i="10"/>
  <c r="AN92" i="10"/>
  <c r="AE93" i="10"/>
  <c r="U93" i="10"/>
  <c r="AN96" i="10"/>
  <c r="AE97" i="10"/>
  <c r="U97" i="10"/>
  <c r="AN100" i="10"/>
  <c r="AE101" i="10"/>
  <c r="U101" i="10"/>
  <c r="Z101" i="10"/>
  <c r="U115" i="10"/>
  <c r="O115" i="10"/>
  <c r="AE115" i="10"/>
  <c r="S118" i="10"/>
  <c r="AB118" i="10"/>
  <c r="X119" i="10"/>
  <c r="AO61" i="10"/>
  <c r="S88" i="10"/>
  <c r="AB88" i="10"/>
  <c r="S92" i="10"/>
  <c r="AB92" i="10"/>
  <c r="S96" i="10"/>
  <c r="AB96" i="10"/>
  <c r="S100" i="10"/>
  <c r="AB100" i="10"/>
  <c r="S121" i="10"/>
  <c r="AB121" i="10"/>
  <c r="X124" i="10"/>
  <c r="AE66" i="10"/>
  <c r="U66" i="10"/>
  <c r="P69" i="10"/>
  <c r="AO69" i="10"/>
  <c r="AE70" i="10"/>
  <c r="U70" i="10"/>
  <c r="P73" i="10"/>
  <c r="AO73" i="10"/>
  <c r="AE74" i="10"/>
  <c r="U74" i="10"/>
  <c r="P77" i="10"/>
  <c r="AE78" i="10"/>
  <c r="U78" i="10"/>
  <c r="P81" i="10"/>
  <c r="AO81" i="10"/>
  <c r="AE82" i="10"/>
  <c r="U82" i="10"/>
  <c r="P85" i="10"/>
  <c r="AO85" i="10"/>
  <c r="AE86" i="10"/>
  <c r="U86" i="10"/>
  <c r="P89" i="10"/>
  <c r="AO89" i="10"/>
  <c r="AE90" i="10"/>
  <c r="U90" i="10"/>
  <c r="P93" i="10"/>
  <c r="AO93" i="10"/>
  <c r="AE94" i="10"/>
  <c r="U94" i="10"/>
  <c r="P97" i="10"/>
  <c r="AO97" i="10"/>
  <c r="AE98" i="10"/>
  <c r="U98" i="10"/>
  <c r="P101" i="10"/>
  <c r="AO101" i="10"/>
  <c r="AE102" i="10"/>
  <c r="U102" i="10"/>
  <c r="X120" i="10"/>
  <c r="U123" i="10"/>
  <c r="O123" i="10"/>
  <c r="AE123" i="10"/>
  <c r="X131" i="10"/>
  <c r="AE48" i="10"/>
  <c r="U48" i="10"/>
  <c r="AE50" i="10"/>
  <c r="U50" i="10"/>
  <c r="AE52" i="10"/>
  <c r="U52" i="10"/>
  <c r="AE54" i="10"/>
  <c r="U54" i="10"/>
  <c r="AE56" i="10"/>
  <c r="U56" i="10"/>
  <c r="AE58" i="10"/>
  <c r="U58" i="10"/>
  <c r="AE60" i="10"/>
  <c r="U60" i="10"/>
  <c r="AE62" i="10"/>
  <c r="U62" i="10"/>
  <c r="AE64" i="10"/>
  <c r="U64" i="10"/>
  <c r="O66" i="10"/>
  <c r="Z66" i="10"/>
  <c r="O70" i="10"/>
  <c r="S73" i="10"/>
  <c r="AB73" i="10"/>
  <c r="O74" i="10"/>
  <c r="P74" i="10"/>
  <c r="S77" i="10"/>
  <c r="AB77" i="10"/>
  <c r="O78" i="10"/>
  <c r="P78" i="10"/>
  <c r="S81" i="10"/>
  <c r="AB81" i="10"/>
  <c r="O82" i="10"/>
  <c r="P82" i="10"/>
  <c r="S85" i="10"/>
  <c r="AB85" i="10"/>
  <c r="O86" i="10"/>
  <c r="Z86" i="10"/>
  <c r="S89" i="10"/>
  <c r="AB89" i="10"/>
  <c r="O90" i="10"/>
  <c r="P90" i="10"/>
  <c r="AO90" i="10"/>
  <c r="S93" i="10"/>
  <c r="AB93" i="10"/>
  <c r="O94" i="10"/>
  <c r="S97" i="10"/>
  <c r="AB97" i="10"/>
  <c r="O98" i="10"/>
  <c r="S101" i="10"/>
  <c r="AB101" i="10"/>
  <c r="O102" i="10"/>
  <c r="Z127" i="10"/>
  <c r="P127" i="10"/>
  <c r="AO127" i="10"/>
  <c r="O48" i="10"/>
  <c r="O50" i="10"/>
  <c r="O52" i="10"/>
  <c r="O54" i="10"/>
  <c r="P54" i="10"/>
  <c r="AO54" i="10"/>
  <c r="O56" i="10"/>
  <c r="P56" i="10"/>
  <c r="O58" i="10"/>
  <c r="P58" i="10"/>
  <c r="AO58" i="10"/>
  <c r="O60" i="10"/>
  <c r="O62" i="10"/>
  <c r="O64" i="10"/>
  <c r="AN66" i="10"/>
  <c r="AE67" i="10"/>
  <c r="U67" i="10"/>
  <c r="AN70" i="10"/>
  <c r="AE71" i="10"/>
  <c r="U71" i="10"/>
  <c r="AN74" i="10"/>
  <c r="AE75" i="10"/>
  <c r="U75" i="10"/>
  <c r="AN78" i="10"/>
  <c r="AE79" i="10"/>
  <c r="U79" i="10"/>
  <c r="AN82" i="10"/>
  <c r="AE83" i="10"/>
  <c r="U83" i="10"/>
  <c r="AN86" i="10"/>
  <c r="AE87" i="10"/>
  <c r="U87" i="10"/>
  <c r="AN90" i="10"/>
  <c r="AE91" i="10"/>
  <c r="U91" i="10"/>
  <c r="AN94" i="10"/>
  <c r="AE95" i="10"/>
  <c r="U95" i="10"/>
  <c r="AN98" i="10"/>
  <c r="AE99" i="10"/>
  <c r="U99" i="10"/>
  <c r="AN102" i="10"/>
  <c r="AE103" i="10"/>
  <c r="U103" i="10"/>
  <c r="O103" i="10"/>
  <c r="AN103" i="10"/>
  <c r="AE104" i="10"/>
  <c r="U104" i="10"/>
  <c r="O104" i="10"/>
  <c r="AN104" i="10"/>
  <c r="AE105" i="10"/>
  <c r="U105" i="10"/>
  <c r="O105" i="10"/>
  <c r="AN105" i="10"/>
  <c r="AE106" i="10"/>
  <c r="U106" i="10"/>
  <c r="O106" i="10"/>
  <c r="AN106" i="10"/>
  <c r="AE107" i="10"/>
  <c r="U107" i="10"/>
  <c r="O107" i="10"/>
  <c r="AN107" i="10"/>
  <c r="AE108" i="10"/>
  <c r="U108" i="10"/>
  <c r="O108" i="10"/>
  <c r="AN108" i="10"/>
  <c r="AE109" i="10"/>
  <c r="U109" i="10"/>
  <c r="O109" i="10"/>
  <c r="AN109" i="10"/>
  <c r="U110" i="10"/>
  <c r="AE110" i="10"/>
  <c r="O110" i="10"/>
  <c r="P110" i="10"/>
  <c r="AN111" i="10"/>
  <c r="AO128" i="10"/>
  <c r="S129" i="10"/>
  <c r="AB129" i="10"/>
  <c r="S32" i="10"/>
  <c r="AB32" i="10"/>
  <c r="S36" i="10"/>
  <c r="AB36" i="10"/>
  <c r="S42" i="10"/>
  <c r="AB42" i="10"/>
  <c r="P48" i="10"/>
  <c r="AO48" i="10"/>
  <c r="P60" i="10"/>
  <c r="AO60" i="10"/>
  <c r="P62" i="10"/>
  <c r="AO62" i="10"/>
  <c r="P64" i="10"/>
  <c r="AO64" i="10"/>
  <c r="S66" i="10"/>
  <c r="AB66" i="10"/>
  <c r="O67" i="10"/>
  <c r="S70" i="10"/>
  <c r="AB70" i="10"/>
  <c r="O71" i="10"/>
  <c r="S74" i="10"/>
  <c r="AB74" i="10"/>
  <c r="O75" i="10"/>
  <c r="S78" i="10"/>
  <c r="AB78" i="10"/>
  <c r="O79" i="10"/>
  <c r="S82" i="10"/>
  <c r="AB82" i="10"/>
  <c r="O83" i="10"/>
  <c r="S86" i="10"/>
  <c r="AB86" i="10"/>
  <c r="O87" i="10"/>
  <c r="S90" i="10"/>
  <c r="AB90" i="10"/>
  <c r="O91" i="10"/>
  <c r="S94" i="10"/>
  <c r="AB94" i="10"/>
  <c r="O95" i="10"/>
  <c r="Z95" i="10"/>
  <c r="S98" i="10"/>
  <c r="AB98" i="10"/>
  <c r="O99" i="10"/>
  <c r="Z99" i="10"/>
  <c r="S102" i="10"/>
  <c r="AB102" i="10"/>
  <c r="P106" i="10"/>
  <c r="AO106" i="10"/>
  <c r="P108" i="10"/>
  <c r="S111" i="10"/>
  <c r="AB111" i="10"/>
  <c r="AN116" i="10"/>
  <c r="AN118" i="10"/>
  <c r="X130" i="10"/>
  <c r="X139" i="10"/>
  <c r="S39" i="10"/>
  <c r="AB39" i="10"/>
  <c r="S44" i="10"/>
  <c r="AB44" i="10"/>
  <c r="S46" i="10"/>
  <c r="AB46" i="10"/>
  <c r="S48" i="10"/>
  <c r="AB48" i="10"/>
  <c r="S50" i="10"/>
  <c r="AB50" i="10"/>
  <c r="S52" i="10"/>
  <c r="AB52" i="10"/>
  <c r="S54" i="10"/>
  <c r="AB54" i="10"/>
  <c r="S56" i="10"/>
  <c r="AB56" i="10"/>
  <c r="S58" i="10"/>
  <c r="AB58" i="10"/>
  <c r="S60" i="10"/>
  <c r="AB60" i="10"/>
  <c r="S62" i="10"/>
  <c r="AB62" i="10"/>
  <c r="S64" i="10"/>
  <c r="AB64" i="10"/>
  <c r="AN67" i="10"/>
  <c r="AE68" i="10"/>
  <c r="U68" i="10"/>
  <c r="P71" i="10"/>
  <c r="AN71" i="10"/>
  <c r="AE72" i="10"/>
  <c r="U72" i="10"/>
  <c r="AN75" i="10"/>
  <c r="AE76" i="10"/>
  <c r="U76" i="10"/>
  <c r="AN79" i="10"/>
  <c r="AE80" i="10"/>
  <c r="U80" i="10"/>
  <c r="AN83" i="10"/>
  <c r="AE84" i="10"/>
  <c r="U84" i="10"/>
  <c r="P87" i="10"/>
  <c r="AN87" i="10"/>
  <c r="AE88" i="10"/>
  <c r="U88" i="10"/>
  <c r="AN91" i="10"/>
  <c r="AE92" i="10"/>
  <c r="U92" i="10"/>
  <c r="AN95" i="10"/>
  <c r="AE96" i="10"/>
  <c r="U96" i="10"/>
  <c r="P99" i="10"/>
  <c r="AO99" i="10"/>
  <c r="AN99" i="10"/>
  <c r="AE100" i="10"/>
  <c r="U100" i="10"/>
  <c r="S103" i="10"/>
  <c r="AB103" i="10"/>
  <c r="S104" i="10"/>
  <c r="AB104" i="10"/>
  <c r="S105" i="10"/>
  <c r="AB105" i="10"/>
  <c r="S106" i="10"/>
  <c r="AB106" i="10"/>
  <c r="S107" i="10"/>
  <c r="AB107" i="10"/>
  <c r="S108" i="10"/>
  <c r="AB108" i="10"/>
  <c r="S109" i="10"/>
  <c r="AB109" i="10"/>
  <c r="AN117" i="10"/>
  <c r="U118" i="10"/>
  <c r="AE118" i="10"/>
  <c r="O118" i="10"/>
  <c r="P118" i="10"/>
  <c r="AN119" i="10"/>
  <c r="AN124" i="10"/>
  <c r="AN125" i="10"/>
  <c r="AO125" i="10"/>
  <c r="U126" i="10"/>
  <c r="AE126" i="10"/>
  <c r="O126" i="10"/>
  <c r="S372" i="10"/>
  <c r="AB372" i="10"/>
  <c r="S368" i="10"/>
  <c r="AB368" i="10"/>
  <c r="S364" i="10"/>
  <c r="AB364" i="10"/>
  <c r="S360" i="10"/>
  <c r="AB360" i="10"/>
  <c r="S356" i="10"/>
  <c r="AB356" i="10"/>
  <c r="S352" i="10"/>
  <c r="AB352" i="10"/>
  <c r="S348" i="10"/>
  <c r="AB348" i="10"/>
  <c r="S341" i="10"/>
  <c r="AB341" i="10"/>
  <c r="S333" i="10"/>
  <c r="AB333" i="10"/>
  <c r="S325" i="10"/>
  <c r="AB325" i="10"/>
  <c r="S344" i="10"/>
  <c r="AB344" i="10"/>
  <c r="S336" i="10"/>
  <c r="AB336" i="10"/>
  <c r="S328" i="10"/>
  <c r="AB328" i="10"/>
  <c r="S371" i="10"/>
  <c r="AB371" i="10"/>
  <c r="S367" i="10"/>
  <c r="AB367" i="10"/>
  <c r="S363" i="10"/>
  <c r="AB363" i="10"/>
  <c r="S359" i="10"/>
  <c r="AB359" i="10"/>
  <c r="S355" i="10"/>
  <c r="AB355" i="10"/>
  <c r="S351" i="10"/>
  <c r="AB351" i="10"/>
  <c r="S347" i="10"/>
  <c r="AB347" i="10"/>
  <c r="S339" i="10"/>
  <c r="AB339" i="10"/>
  <c r="S331" i="10"/>
  <c r="AB331" i="10"/>
  <c r="S370" i="10"/>
  <c r="AB370" i="10"/>
  <c r="S361" i="10"/>
  <c r="AB361" i="10"/>
  <c r="S346" i="10"/>
  <c r="AB346" i="10"/>
  <c r="S338" i="10"/>
  <c r="AB338" i="10"/>
  <c r="S330" i="10"/>
  <c r="AB330" i="10"/>
  <c r="S324" i="10"/>
  <c r="AB324" i="10"/>
  <c r="S345" i="10"/>
  <c r="AB345" i="10"/>
  <c r="S327" i="10"/>
  <c r="AB327" i="10"/>
  <c r="S320" i="10"/>
  <c r="AB320" i="10"/>
  <c r="S316" i="10"/>
  <c r="AB316" i="10"/>
  <c r="S312" i="10"/>
  <c r="AB312" i="10"/>
  <c r="S308" i="10"/>
  <c r="AB308" i="10"/>
  <c r="S298" i="10"/>
  <c r="AB298" i="10"/>
  <c r="S294" i="10"/>
  <c r="AB294" i="10"/>
  <c r="S290" i="10"/>
  <c r="AB290" i="10"/>
  <c r="S342" i="10"/>
  <c r="AB342" i="10"/>
  <c r="S340" i="10"/>
  <c r="AB340" i="10"/>
  <c r="S353" i="10"/>
  <c r="AB353" i="10"/>
  <c r="S350" i="10"/>
  <c r="AB350" i="10"/>
  <c r="S349" i="10"/>
  <c r="AB349" i="10"/>
  <c r="S343" i="10"/>
  <c r="AB343" i="10"/>
  <c r="S323" i="10"/>
  <c r="AB323" i="10"/>
  <c r="S319" i="10"/>
  <c r="AB319" i="10"/>
  <c r="S315" i="10"/>
  <c r="AB315" i="10"/>
  <c r="S311" i="10"/>
  <c r="AB311" i="10"/>
  <c r="S307" i="10"/>
  <c r="AB307" i="10"/>
  <c r="S304" i="10"/>
  <c r="AB304" i="10"/>
  <c r="S302" i="10"/>
  <c r="AB302" i="10"/>
  <c r="S299" i="10"/>
  <c r="AB299" i="10"/>
  <c r="S295" i="10"/>
  <c r="AB295" i="10"/>
  <c r="S291" i="10"/>
  <c r="AB291" i="10"/>
  <c r="S373" i="10"/>
  <c r="AB373" i="10"/>
  <c r="S357" i="10"/>
  <c r="AB357" i="10"/>
  <c r="S354" i="10"/>
  <c r="AB354" i="10"/>
  <c r="S337" i="10"/>
  <c r="AB337" i="10"/>
  <c r="S362" i="10"/>
  <c r="AB362" i="10"/>
  <c r="S358" i="10"/>
  <c r="AB358" i="10"/>
  <c r="S369" i="10"/>
  <c r="AB369" i="10"/>
  <c r="S326" i="10"/>
  <c r="AB326" i="10"/>
  <c r="S301" i="10"/>
  <c r="AB301" i="10"/>
  <c r="S287" i="10"/>
  <c r="AB287" i="10"/>
  <c r="S272" i="10"/>
  <c r="AB272" i="10"/>
  <c r="S264" i="10"/>
  <c r="AB264" i="10"/>
  <c r="S365" i="10"/>
  <c r="AB365" i="10"/>
  <c r="S310" i="10"/>
  <c r="AB310" i="10"/>
  <c r="S306" i="10"/>
  <c r="AB306" i="10"/>
  <c r="S297" i="10"/>
  <c r="AB297" i="10"/>
  <c r="S284" i="10"/>
  <c r="AB284" i="10"/>
  <c r="S279" i="10"/>
  <c r="AB279" i="10"/>
  <c r="S277" i="10"/>
  <c r="AB277" i="10"/>
  <c r="S275" i="10"/>
  <c r="AB275" i="10"/>
  <c r="S265" i="10"/>
  <c r="AB265" i="10"/>
  <c r="S366" i="10"/>
  <c r="AB366" i="10"/>
  <c r="S335" i="10"/>
  <c r="AB335" i="10"/>
  <c r="S309" i="10"/>
  <c r="AB309" i="10"/>
  <c r="S305" i="10"/>
  <c r="AB305" i="10"/>
  <c r="S296" i="10"/>
  <c r="AB296" i="10"/>
  <c r="S281" i="10"/>
  <c r="AB281" i="10"/>
  <c r="S273" i="10"/>
  <c r="AB273" i="10"/>
  <c r="S266" i="10"/>
  <c r="AB266" i="10"/>
  <c r="S332" i="10"/>
  <c r="AB332" i="10"/>
  <c r="S318" i="10"/>
  <c r="AB318" i="10"/>
  <c r="S314" i="10"/>
  <c r="AB314" i="10"/>
  <c r="S289" i="10"/>
  <c r="AB289" i="10"/>
  <c r="S286" i="10"/>
  <c r="AB286" i="10"/>
  <c r="S334" i="10"/>
  <c r="AB334" i="10"/>
  <c r="S322" i="10"/>
  <c r="AB322" i="10"/>
  <c r="S321" i="10"/>
  <c r="AB321" i="10"/>
  <c r="S293" i="10"/>
  <c r="AB293" i="10"/>
  <c r="S285" i="10"/>
  <c r="AB285" i="10"/>
  <c r="S270" i="10"/>
  <c r="AB270" i="10"/>
  <c r="S317" i="10"/>
  <c r="AB317" i="10"/>
  <c r="S303" i="10"/>
  <c r="AB303" i="10"/>
  <c r="S240" i="10"/>
  <c r="AB240" i="10"/>
  <c r="S276" i="10"/>
  <c r="AB276" i="10"/>
  <c r="S251" i="10"/>
  <c r="AB251" i="10"/>
  <c r="S246" i="10"/>
  <c r="AB246" i="10"/>
  <c r="S244" i="10"/>
  <c r="AB244" i="10"/>
  <c r="S242" i="10"/>
  <c r="AB242" i="10"/>
  <c r="S237" i="10"/>
  <c r="AB237" i="10"/>
  <c r="S233" i="10"/>
  <c r="AB233" i="10"/>
  <c r="S292" i="10"/>
  <c r="AB292" i="10"/>
  <c r="S283" i="10"/>
  <c r="AB283" i="10"/>
  <c r="S271" i="10"/>
  <c r="AB271" i="10"/>
  <c r="S248" i="10"/>
  <c r="AB248" i="10"/>
  <c r="S313" i="10"/>
  <c r="AB313" i="10"/>
  <c r="S282" i="10"/>
  <c r="AB282" i="10"/>
  <c r="S280" i="10"/>
  <c r="AB280" i="10"/>
  <c r="S263" i="10"/>
  <c r="AB263" i="10"/>
  <c r="S261" i="10"/>
  <c r="AB261" i="10"/>
  <c r="S259" i="10"/>
  <c r="AB259" i="10"/>
  <c r="S257" i="10"/>
  <c r="AB257" i="10"/>
  <c r="S255" i="10"/>
  <c r="AB255" i="10"/>
  <c r="S253" i="10"/>
  <c r="AB253" i="10"/>
  <c r="S238" i="10"/>
  <c r="AB238" i="10"/>
  <c r="S234" i="10"/>
  <c r="AB234" i="10"/>
  <c r="S274" i="10"/>
  <c r="AB274" i="10"/>
  <c r="S250" i="10"/>
  <c r="AB250" i="10"/>
  <c r="S241" i="10"/>
  <c r="AB241" i="10"/>
  <c r="S300" i="10"/>
  <c r="AB300" i="10"/>
  <c r="S269" i="10"/>
  <c r="AB269" i="10"/>
  <c r="S245" i="10"/>
  <c r="AB245" i="10"/>
  <c r="S243" i="10"/>
  <c r="AB243" i="10"/>
  <c r="S239" i="10"/>
  <c r="AB239" i="10"/>
  <c r="S235" i="10"/>
  <c r="AB235" i="10"/>
  <c r="S231" i="10"/>
  <c r="AB231" i="10"/>
  <c r="S288" i="10"/>
  <c r="AB288" i="10"/>
  <c r="S278" i="10"/>
  <c r="AB278" i="10"/>
  <c r="S268" i="10"/>
  <c r="AB268" i="10"/>
  <c r="S267" i="10"/>
  <c r="AB267" i="10"/>
  <c r="S252" i="10"/>
  <c r="AB252" i="10"/>
  <c r="S247" i="10"/>
  <c r="AB247" i="10"/>
  <c r="S329" i="10"/>
  <c r="AB329" i="10"/>
  <c r="S262" i="10"/>
  <c r="AB262" i="10"/>
  <c r="S260" i="10"/>
  <c r="AB260" i="10"/>
  <c r="S258" i="10"/>
  <c r="AB258" i="10"/>
  <c r="S256" i="10"/>
  <c r="AB256" i="10"/>
  <c r="S254" i="10"/>
  <c r="AB254" i="10"/>
  <c r="S249" i="10"/>
  <c r="AB249" i="10"/>
  <c r="S236" i="10"/>
  <c r="AB236" i="10"/>
  <c r="S232" i="10"/>
  <c r="AB232" i="10"/>
  <c r="S223" i="10"/>
  <c r="AB223" i="10"/>
  <c r="S219" i="10"/>
  <c r="AB219" i="10"/>
  <c r="S215" i="10"/>
  <c r="AB215" i="10"/>
  <c r="S211" i="10"/>
  <c r="AB211" i="10"/>
  <c r="S207" i="10"/>
  <c r="AB207" i="10"/>
  <c r="S204" i="10"/>
  <c r="AB204" i="10"/>
  <c r="S196" i="10"/>
  <c r="AB196" i="10"/>
  <c r="S188" i="10"/>
  <c r="AB188" i="10"/>
  <c r="S176" i="10"/>
  <c r="AB176" i="10"/>
  <c r="S172" i="10"/>
  <c r="AB172" i="10"/>
  <c r="S168" i="10"/>
  <c r="AB168" i="10"/>
  <c r="S230" i="10"/>
  <c r="AB230" i="10"/>
  <c r="S229" i="10"/>
  <c r="AB229" i="10"/>
  <c r="S228" i="10"/>
  <c r="AB228" i="10"/>
  <c r="S227" i="10"/>
  <c r="AB227" i="10"/>
  <c r="S201" i="10"/>
  <c r="AB201" i="10"/>
  <c r="S193" i="10"/>
  <c r="AB193" i="10"/>
  <c r="S185" i="10"/>
  <c r="AB185" i="10"/>
  <c r="S179" i="10"/>
  <c r="AB179" i="10"/>
  <c r="S226" i="10"/>
  <c r="AB226" i="10"/>
  <c r="S222" i="10"/>
  <c r="AB222" i="10"/>
  <c r="S218" i="10"/>
  <c r="AB218" i="10"/>
  <c r="S214" i="10"/>
  <c r="AB214" i="10"/>
  <c r="S210" i="10"/>
  <c r="AB210" i="10"/>
  <c r="S206" i="10"/>
  <c r="AB206" i="10"/>
  <c r="S198" i="10"/>
  <c r="AB198" i="10"/>
  <c r="S190" i="10"/>
  <c r="AB190" i="10"/>
  <c r="S182" i="10"/>
  <c r="AB182" i="10"/>
  <c r="S173" i="10"/>
  <c r="AB173" i="10"/>
  <c r="S169" i="10"/>
  <c r="AB169" i="10"/>
  <c r="S203" i="10"/>
  <c r="AB203" i="10"/>
  <c r="S195" i="10"/>
  <c r="AB195" i="10"/>
  <c r="S187" i="10"/>
  <c r="AB187" i="10"/>
  <c r="S177" i="10"/>
  <c r="AB177" i="10"/>
  <c r="S165" i="10"/>
  <c r="AB165" i="10"/>
  <c r="S164" i="10"/>
  <c r="AB164" i="10"/>
  <c r="S225" i="10"/>
  <c r="AB225" i="10"/>
  <c r="S221" i="10"/>
  <c r="AB221" i="10"/>
  <c r="S217" i="10"/>
  <c r="AB217" i="10"/>
  <c r="S213" i="10"/>
  <c r="AB213" i="10"/>
  <c r="S209" i="10"/>
  <c r="AB209" i="10"/>
  <c r="S200" i="10"/>
  <c r="AB200" i="10"/>
  <c r="S192" i="10"/>
  <c r="AB192" i="10"/>
  <c r="S184" i="10"/>
  <c r="AB184" i="10"/>
  <c r="S180" i="10"/>
  <c r="AB180" i="10"/>
  <c r="S174" i="10"/>
  <c r="AB174" i="10"/>
  <c r="S170" i="10"/>
  <c r="AB170" i="10"/>
  <c r="S166" i="10"/>
  <c r="AB166" i="10"/>
  <c r="S205" i="10"/>
  <c r="AB205" i="10"/>
  <c r="S224" i="10"/>
  <c r="AB224" i="10"/>
  <c r="S220" i="10"/>
  <c r="AB220" i="10"/>
  <c r="S216" i="10"/>
  <c r="AB216" i="10"/>
  <c r="S212" i="10"/>
  <c r="AB212" i="10"/>
  <c r="S208" i="10"/>
  <c r="AB208" i="10"/>
  <c r="S199" i="10"/>
  <c r="AB199" i="10"/>
  <c r="S191" i="10"/>
  <c r="AB191" i="10"/>
  <c r="S183" i="10"/>
  <c r="AB183" i="10"/>
  <c r="S181" i="10"/>
  <c r="AB181" i="10"/>
  <c r="S151" i="10"/>
  <c r="AB151" i="10"/>
  <c r="S147" i="10"/>
  <c r="AB147" i="10"/>
  <c r="S144" i="10"/>
  <c r="AB144" i="10"/>
  <c r="S136" i="10"/>
  <c r="AB136" i="10"/>
  <c r="S123" i="10"/>
  <c r="AB123" i="10"/>
  <c r="S115" i="10"/>
  <c r="AB115" i="10"/>
  <c r="S141" i="10"/>
  <c r="AB141" i="10"/>
  <c r="S139" i="10"/>
  <c r="AB139" i="10"/>
  <c r="S131" i="10"/>
  <c r="AB131" i="10"/>
  <c r="S124" i="10"/>
  <c r="AB124" i="10"/>
  <c r="S116" i="10"/>
  <c r="AB116" i="10"/>
  <c r="S202" i="10"/>
  <c r="AB202" i="10"/>
  <c r="S189" i="10"/>
  <c r="AB189" i="10"/>
  <c r="S150" i="10"/>
  <c r="AB150" i="10"/>
  <c r="S146" i="10"/>
  <c r="AB146" i="10"/>
  <c r="S134" i="10"/>
  <c r="AB134" i="10"/>
  <c r="S125" i="10"/>
  <c r="AB125" i="10"/>
  <c r="S117" i="10"/>
  <c r="AB117" i="10"/>
  <c r="S186" i="10"/>
  <c r="AB186" i="10"/>
  <c r="S143" i="10"/>
  <c r="AB143" i="10"/>
  <c r="S137" i="10"/>
  <c r="AB137" i="10"/>
  <c r="S126" i="10"/>
  <c r="AB126" i="10"/>
  <c r="S178" i="10"/>
  <c r="AB178" i="10"/>
  <c r="S175" i="10"/>
  <c r="AB175" i="10"/>
  <c r="S163" i="10"/>
  <c r="AB163" i="10"/>
  <c r="S162" i="10"/>
  <c r="AB162" i="10"/>
  <c r="S161" i="10"/>
  <c r="AB161" i="10"/>
  <c r="S160" i="10"/>
  <c r="AB160" i="10"/>
  <c r="S159" i="10"/>
  <c r="AB159" i="10"/>
  <c r="S158" i="10"/>
  <c r="AB158" i="10"/>
  <c r="S157" i="10"/>
  <c r="AB157" i="10"/>
  <c r="S156" i="10"/>
  <c r="AB156" i="10"/>
  <c r="S155" i="10"/>
  <c r="AB155" i="10"/>
  <c r="S154" i="10"/>
  <c r="AB154" i="10"/>
  <c r="S153" i="10"/>
  <c r="AB153" i="10"/>
  <c r="S149" i="10"/>
  <c r="AB149" i="10"/>
  <c r="S140" i="10"/>
  <c r="AB140" i="10"/>
  <c r="S132" i="10"/>
  <c r="AB132" i="10"/>
  <c r="S127" i="10"/>
  <c r="AB127" i="10"/>
  <c r="S171" i="10"/>
  <c r="AB171" i="10"/>
  <c r="S145" i="10"/>
  <c r="AB145" i="10"/>
  <c r="S135" i="10"/>
  <c r="AB135" i="10"/>
  <c r="S128" i="10"/>
  <c r="AB128" i="10"/>
  <c r="S120" i="10"/>
  <c r="AB120" i="10"/>
  <c r="S112" i="10"/>
  <c r="AB112" i="10"/>
  <c r="S197" i="10"/>
  <c r="AB197" i="10"/>
  <c r="S167" i="10"/>
  <c r="AB167" i="10"/>
  <c r="S152" i="10"/>
  <c r="AB152" i="10"/>
  <c r="S148" i="10"/>
  <c r="AB148" i="10"/>
  <c r="S142" i="10"/>
  <c r="AB142" i="10"/>
  <c r="S138" i="10"/>
  <c r="AB138" i="10"/>
  <c r="S194" i="10"/>
  <c r="AB194" i="10"/>
  <c r="S133" i="10"/>
  <c r="AB133" i="10"/>
  <c r="S130" i="10"/>
  <c r="AB130" i="10"/>
  <c r="S122" i="10"/>
  <c r="AB122" i="10"/>
  <c r="S114" i="10"/>
  <c r="AB114" i="10"/>
  <c r="O30" i="10"/>
  <c r="S31" i="10"/>
  <c r="AB31" i="10"/>
  <c r="O34" i="10"/>
  <c r="S35" i="10"/>
  <c r="AB35" i="10"/>
  <c r="O38" i="10"/>
  <c r="Z38" i="10"/>
  <c r="AE43" i="10"/>
  <c r="U43" i="10"/>
  <c r="Z43" i="10"/>
  <c r="AE45" i="10"/>
  <c r="U45" i="10"/>
  <c r="AE47" i="10"/>
  <c r="U47" i="10"/>
  <c r="Z47" i="10"/>
  <c r="AE49" i="10"/>
  <c r="U49" i="10"/>
  <c r="Z49" i="10"/>
  <c r="AE51" i="10"/>
  <c r="U51" i="10"/>
  <c r="Z51" i="10"/>
  <c r="AE53" i="10"/>
  <c r="U53" i="10"/>
  <c r="AE55" i="10"/>
  <c r="U55" i="10"/>
  <c r="Z55" i="10"/>
  <c r="AE57" i="10"/>
  <c r="U57" i="10"/>
  <c r="AE59" i="10"/>
  <c r="U59" i="10"/>
  <c r="Z59" i="10"/>
  <c r="AE61" i="10"/>
  <c r="U61" i="10"/>
  <c r="AE63" i="10"/>
  <c r="U63" i="10"/>
  <c r="Z63" i="10"/>
  <c r="AE65" i="10"/>
  <c r="U65" i="10"/>
  <c r="S67" i="10"/>
  <c r="AB67" i="10"/>
  <c r="O68" i="10"/>
  <c r="S71" i="10"/>
  <c r="AB71" i="10"/>
  <c r="O72" i="10"/>
  <c r="S75" i="10"/>
  <c r="AB75" i="10"/>
  <c r="O76" i="10"/>
  <c r="S79" i="10"/>
  <c r="AB79" i="10"/>
  <c r="O80" i="10"/>
  <c r="S83" i="10"/>
  <c r="AB83" i="10"/>
  <c r="O84" i="10"/>
  <c r="S87" i="10"/>
  <c r="AB87" i="10"/>
  <c r="O88" i="10"/>
  <c r="S91" i="10"/>
  <c r="AB91" i="10"/>
  <c r="O92" i="10"/>
  <c r="S95" i="10"/>
  <c r="AB95" i="10"/>
  <c r="O96" i="10"/>
  <c r="S99" i="10"/>
  <c r="AB99" i="10"/>
  <c r="O100" i="10"/>
  <c r="S113" i="10"/>
  <c r="AB113" i="10"/>
  <c r="AN114" i="10"/>
  <c r="U116" i="10"/>
  <c r="AE116" i="10"/>
  <c r="P116" i="10"/>
  <c r="S119" i="10"/>
  <c r="AB119" i="10"/>
  <c r="X125" i="10"/>
  <c r="AO143" i="10"/>
  <c r="AN136" i="10"/>
  <c r="AE140" i="10"/>
  <c r="U140" i="10"/>
  <c r="AN142" i="10"/>
  <c r="AN148" i="10"/>
  <c r="AE149" i="10"/>
  <c r="U149" i="10"/>
  <c r="Z149" i="10"/>
  <c r="AN152" i="10"/>
  <c r="AE153" i="10"/>
  <c r="U153" i="10"/>
  <c r="Z153" i="10"/>
  <c r="AE187" i="10"/>
  <c r="U187" i="10"/>
  <c r="P187" i="10"/>
  <c r="Z191" i="10"/>
  <c r="AN133" i="10"/>
  <c r="AE143" i="10"/>
  <c r="U143" i="10"/>
  <c r="AN145" i="10"/>
  <c r="AO145" i="10"/>
  <c r="AN153" i="10"/>
  <c r="AE154" i="10"/>
  <c r="U154" i="10"/>
  <c r="AN154" i="10"/>
  <c r="AE155" i="10"/>
  <c r="U155" i="10"/>
  <c r="P155" i="10"/>
  <c r="AN155" i="10"/>
  <c r="AE156" i="10"/>
  <c r="U156" i="10"/>
  <c r="AN156" i="10"/>
  <c r="AE157" i="10"/>
  <c r="U157" i="10"/>
  <c r="AN157" i="10"/>
  <c r="AE158" i="10"/>
  <c r="U158" i="10"/>
  <c r="AN158" i="10"/>
  <c r="AE159" i="10"/>
  <c r="U159" i="10"/>
  <c r="AN159" i="10"/>
  <c r="AE160" i="10"/>
  <c r="U160" i="10"/>
  <c r="AN160" i="10"/>
  <c r="AE161" i="10"/>
  <c r="U161" i="10"/>
  <c r="AN161" i="10"/>
  <c r="AE162" i="10"/>
  <c r="U162" i="10"/>
  <c r="AN162" i="10"/>
  <c r="AE163" i="10"/>
  <c r="U163" i="10"/>
  <c r="AN163" i="10"/>
  <c r="AE164" i="10"/>
  <c r="U164" i="10"/>
  <c r="P164" i="10"/>
  <c r="Z171" i="10"/>
  <c r="P171" i="10"/>
  <c r="AE190" i="10"/>
  <c r="U190" i="10"/>
  <c r="P190" i="10"/>
  <c r="O190" i="10"/>
  <c r="AE203" i="10"/>
  <c r="U203" i="10"/>
  <c r="AN130" i="10"/>
  <c r="AN138" i="10"/>
  <c r="P140" i="10"/>
  <c r="AN140" i="10"/>
  <c r="AE146" i="10"/>
  <c r="U146" i="10"/>
  <c r="Z146" i="10"/>
  <c r="AN149" i="10"/>
  <c r="AO149" i="10"/>
  <c r="AE150" i="10"/>
  <c r="U150" i="10"/>
  <c r="Z150" i="10"/>
  <c r="P153" i="10"/>
  <c r="O154" i="10"/>
  <c r="Z154" i="10"/>
  <c r="O155" i="10"/>
  <c r="O156" i="10"/>
  <c r="O157" i="10"/>
  <c r="O158" i="10"/>
  <c r="O159" i="10"/>
  <c r="P159" i="10"/>
  <c r="O160" i="10"/>
  <c r="P160" i="10"/>
  <c r="O161" i="10"/>
  <c r="P161" i="10"/>
  <c r="O162" i="10"/>
  <c r="Z162" i="10"/>
  <c r="O163" i="10"/>
  <c r="P163" i="10"/>
  <c r="AN168" i="10"/>
  <c r="Z175" i="10"/>
  <c r="P175" i="10"/>
  <c r="P178" i="10"/>
  <c r="O203" i="10"/>
  <c r="AN135" i="10"/>
  <c r="AE141" i="10"/>
  <c r="U141" i="10"/>
  <c r="Z141" i="10"/>
  <c r="AN143" i="10"/>
  <c r="AE169" i="10"/>
  <c r="U169" i="10"/>
  <c r="O169" i="10"/>
  <c r="Z169" i="10"/>
  <c r="AN172" i="10"/>
  <c r="AE144" i="10"/>
  <c r="U144" i="10"/>
  <c r="AE147" i="10"/>
  <c r="U147" i="10"/>
  <c r="P150" i="10"/>
  <c r="AO150" i="10"/>
  <c r="AE151" i="10"/>
  <c r="U151" i="10"/>
  <c r="AE173" i="10"/>
  <c r="U173" i="10"/>
  <c r="O173" i="10"/>
  <c r="P173" i="10"/>
  <c r="AE177" i="10"/>
  <c r="U177" i="10"/>
  <c r="AE182" i="10"/>
  <c r="U182" i="10"/>
  <c r="O182" i="10"/>
  <c r="Z182" i="10"/>
  <c r="AE195" i="10"/>
  <c r="U195" i="10"/>
  <c r="Z199" i="10"/>
  <c r="P124" i="10"/>
  <c r="P131" i="10"/>
  <c r="AO131" i="10"/>
  <c r="AE134" i="10"/>
  <c r="O136" i="10"/>
  <c r="Z136" i="10"/>
  <c r="AN137" i="10"/>
  <c r="AO137" i="10"/>
  <c r="P139" i="10"/>
  <c r="P141" i="10"/>
  <c r="AN141" i="10"/>
  <c r="O144" i="10"/>
  <c r="P144" i="10"/>
  <c r="AO144" i="10"/>
  <c r="O147" i="10"/>
  <c r="O151" i="10"/>
  <c r="O177" i="10"/>
  <c r="P177" i="10"/>
  <c r="AO177" i="10"/>
  <c r="Z186" i="10"/>
  <c r="O195" i="10"/>
  <c r="P195" i="10"/>
  <c r="AO195" i="10"/>
  <c r="AE198" i="10"/>
  <c r="U198" i="10"/>
  <c r="O198" i="10"/>
  <c r="AE117" i="10"/>
  <c r="AE125" i="10"/>
  <c r="AE131" i="10"/>
  <c r="AN134" i="10"/>
  <c r="AE139" i="10"/>
  <c r="AE142" i="10"/>
  <c r="U142" i="10"/>
  <c r="AN144" i="10"/>
  <c r="AN147" i="10"/>
  <c r="AE148" i="10"/>
  <c r="U148" i="10"/>
  <c r="AN151" i="10"/>
  <c r="AE152" i="10"/>
  <c r="U152" i="10"/>
  <c r="O113" i="10"/>
  <c r="P114" i="10"/>
  <c r="O121" i="10"/>
  <c r="AE124" i="10"/>
  <c r="O129" i="10"/>
  <c r="AN131" i="10"/>
  <c r="AE136" i="10"/>
  <c r="O138" i="10"/>
  <c r="AN139" i="10"/>
  <c r="O142" i="10"/>
  <c r="AE145" i="10"/>
  <c r="U145" i="10"/>
  <c r="O148" i="10"/>
  <c r="O152" i="10"/>
  <c r="AN164" i="10"/>
  <c r="AE165" i="10"/>
  <c r="U165" i="10"/>
  <c r="P165" i="10"/>
  <c r="AO166" i="10"/>
  <c r="Z167" i="10"/>
  <c r="U168" i="10"/>
  <c r="AE168" i="10"/>
  <c r="U172" i="10"/>
  <c r="AE172" i="10"/>
  <c r="U176" i="10"/>
  <c r="AE176" i="10"/>
  <c r="AN179" i="10"/>
  <c r="AN183" i="10"/>
  <c r="AO186" i="10"/>
  <c r="U188" i="10"/>
  <c r="AN191" i="10"/>
  <c r="U196" i="10"/>
  <c r="AN199" i="10"/>
  <c r="U204" i="10"/>
  <c r="AN208" i="10"/>
  <c r="AN212" i="10"/>
  <c r="AN216" i="10"/>
  <c r="AN220" i="10"/>
  <c r="AN224" i="10"/>
  <c r="AN232" i="10"/>
  <c r="X239" i="10"/>
  <c r="AO246" i="10"/>
  <c r="P209" i="10"/>
  <c r="P213" i="10"/>
  <c r="AO213" i="10"/>
  <c r="P217" i="10"/>
  <c r="AO217" i="10"/>
  <c r="P221" i="10"/>
  <c r="AO221" i="10"/>
  <c r="AN167" i="10"/>
  <c r="AN171" i="10"/>
  <c r="AN175" i="10"/>
  <c r="AN178" i="10"/>
  <c r="AN184" i="10"/>
  <c r="AN192" i="10"/>
  <c r="AN200" i="10"/>
  <c r="AO200" i="10"/>
  <c r="O185" i="10"/>
  <c r="P185" i="10"/>
  <c r="AO185" i="10"/>
  <c r="AN187" i="10"/>
  <c r="O193" i="10"/>
  <c r="AN195" i="10"/>
  <c r="AN203" i="10"/>
  <c r="P206" i="10"/>
  <c r="AO206" i="10"/>
  <c r="AN206" i="10"/>
  <c r="AN210" i="10"/>
  <c r="P214" i="10"/>
  <c r="AN214" i="10"/>
  <c r="P218" i="10"/>
  <c r="AN218" i="10"/>
  <c r="P222" i="10"/>
  <c r="AN222" i="10"/>
  <c r="X235" i="10"/>
  <c r="AN166" i="10"/>
  <c r="O168" i="10"/>
  <c r="Z168" i="10"/>
  <c r="AN170" i="10"/>
  <c r="O172" i="10"/>
  <c r="AN174" i="10"/>
  <c r="O176" i="10"/>
  <c r="P176" i="10"/>
  <c r="AO176" i="10"/>
  <c r="P179" i="10"/>
  <c r="AO179" i="10"/>
  <c r="AN180" i="10"/>
  <c r="AN182" i="10"/>
  <c r="O188" i="10"/>
  <c r="P188" i="10"/>
  <c r="AN190" i="10"/>
  <c r="O196" i="10"/>
  <c r="AN198" i="10"/>
  <c r="P201" i="10"/>
  <c r="O204" i="10"/>
  <c r="Z215" i="10"/>
  <c r="Z219" i="10"/>
  <c r="AO228" i="10"/>
  <c r="AN177" i="10"/>
  <c r="O181" i="10"/>
  <c r="Z181" i="10"/>
  <c r="O183" i="10"/>
  <c r="Z183" i="10"/>
  <c r="AN185" i="10"/>
  <c r="AN193" i="10"/>
  <c r="P196" i="10"/>
  <c r="AN201" i="10"/>
  <c r="AN207" i="10"/>
  <c r="AN211" i="10"/>
  <c r="AN215" i="10"/>
  <c r="AN219" i="10"/>
  <c r="P223" i="10"/>
  <c r="AO223" i="10"/>
  <c r="AN223" i="10"/>
  <c r="X250" i="10"/>
  <c r="AN165" i="10"/>
  <c r="AN169" i="10"/>
  <c r="AN173" i="10"/>
  <c r="U179" i="10"/>
  <c r="U185" i="10"/>
  <c r="AN188" i="10"/>
  <c r="P191" i="10"/>
  <c r="AO191" i="10"/>
  <c r="U193" i="10"/>
  <c r="O194" i="10"/>
  <c r="AN196" i="10"/>
  <c r="P199" i="10"/>
  <c r="U201" i="10"/>
  <c r="O202" i="10"/>
  <c r="AN204" i="10"/>
  <c r="Z216" i="10"/>
  <c r="Z220" i="10"/>
  <c r="X241" i="10"/>
  <c r="P231" i="10"/>
  <c r="AO231" i="10"/>
  <c r="P235" i="10"/>
  <c r="AO235" i="10"/>
  <c r="P239" i="10"/>
  <c r="AO239" i="10"/>
  <c r="AN268" i="10"/>
  <c r="Z278" i="10"/>
  <c r="P278" i="10"/>
  <c r="O296" i="10"/>
  <c r="P296" i="10"/>
  <c r="U296" i="10"/>
  <c r="X297" i="10"/>
  <c r="Z269" i="10"/>
  <c r="P269" i="10"/>
  <c r="AO269" i="10"/>
  <c r="X285" i="10"/>
  <c r="O300" i="10"/>
  <c r="X301" i="10"/>
  <c r="P234" i="10"/>
  <c r="AO234" i="10"/>
  <c r="P238" i="10"/>
  <c r="AO238" i="10"/>
  <c r="Z241" i="10"/>
  <c r="X268" i="10"/>
  <c r="Z270" i="10"/>
  <c r="Z274" i="10"/>
  <c r="P274" i="10"/>
  <c r="AO274" i="10"/>
  <c r="Z314" i="10"/>
  <c r="P314" i="10"/>
  <c r="AO314" i="10"/>
  <c r="Z319" i="10"/>
  <c r="X256" i="10"/>
  <c r="X258" i="10"/>
  <c r="P270" i="10"/>
  <c r="AO270" i="10"/>
  <c r="Z275" i="10"/>
  <c r="P275" i="10"/>
  <c r="AN283" i="10"/>
  <c r="U300" i="10"/>
  <c r="X320" i="10"/>
  <c r="P233" i="10"/>
  <c r="AO233" i="10"/>
  <c r="U265" i="10"/>
  <c r="AE266" i="10"/>
  <c r="U266" i="10"/>
  <c r="AN311" i="10"/>
  <c r="Z232" i="10"/>
  <c r="O233" i="10"/>
  <c r="U234" i="10"/>
  <c r="Z234" i="10"/>
  <c r="AE234" i="10"/>
  <c r="Z236" i="10"/>
  <c r="O237" i="10"/>
  <c r="Z237" i="10"/>
  <c r="U238" i="10"/>
  <c r="Z238" i="10"/>
  <c r="AE238" i="10"/>
  <c r="O264" i="10"/>
  <c r="AE264" i="10"/>
  <c r="O265" i="10"/>
  <c r="P265" i="10"/>
  <c r="AO265" i="10"/>
  <c r="O266" i="10"/>
  <c r="Z276" i="10"/>
  <c r="P276" i="10"/>
  <c r="AN276" i="10"/>
  <c r="Z304" i="10"/>
  <c r="P304" i="10"/>
  <c r="Z318" i="10"/>
  <c r="P318" i="10"/>
  <c r="AO318" i="10"/>
  <c r="U336" i="10"/>
  <c r="AE336" i="10"/>
  <c r="O336" i="10"/>
  <c r="Z362" i="10"/>
  <c r="P362" i="10"/>
  <c r="AO362" i="10"/>
  <c r="P232" i="10"/>
  <c r="Z240" i="10"/>
  <c r="U264" i="10"/>
  <c r="AN272" i="10"/>
  <c r="Z277" i="10"/>
  <c r="P277" i="10"/>
  <c r="X282" i="10"/>
  <c r="AN288" i="10"/>
  <c r="AO288" i="10"/>
  <c r="AE300" i="10"/>
  <c r="P322" i="10"/>
  <c r="AO322" i="10"/>
  <c r="U233" i="10"/>
  <c r="AE233" i="10"/>
  <c r="U237" i="10"/>
  <c r="AE237" i="10"/>
  <c r="P249" i="10"/>
  <c r="AO249" i="10"/>
  <c r="AN267" i="10"/>
  <c r="AO267" i="10"/>
  <c r="AE268" i="10"/>
  <c r="O268" i="10"/>
  <c r="AN278" i="10"/>
  <c r="Z288" i="10"/>
  <c r="Z315" i="10"/>
  <c r="P315" i="10"/>
  <c r="AN315" i="10"/>
  <c r="X322" i="10"/>
  <c r="AN332" i="10"/>
  <c r="AN285" i="10"/>
  <c r="AO285" i="10"/>
  <c r="O299" i="10"/>
  <c r="AE299" i="10"/>
  <c r="U299" i="10"/>
  <c r="AN300" i="10"/>
  <c r="U333" i="10"/>
  <c r="AE333" i="10"/>
  <c r="O333" i="10"/>
  <c r="P350" i="10"/>
  <c r="AO350" i="10"/>
  <c r="AN286" i="10"/>
  <c r="AO286" i="10"/>
  <c r="O295" i="10"/>
  <c r="P295" i="10"/>
  <c r="AO295" i="10"/>
  <c r="AE295" i="10"/>
  <c r="U295" i="10"/>
  <c r="AN296" i="10"/>
  <c r="AN307" i="10"/>
  <c r="Z311" i="10"/>
  <c r="P311" i="10"/>
  <c r="U267" i="10"/>
  <c r="Z267" i="10"/>
  <c r="Z272" i="10"/>
  <c r="P279" i="10"/>
  <c r="AN281" i="10"/>
  <c r="X294" i="10"/>
  <c r="Z306" i="10"/>
  <c r="P306" i="10"/>
  <c r="AO306" i="10"/>
  <c r="Z310" i="10"/>
  <c r="P310" i="10"/>
  <c r="AO310" i="10"/>
  <c r="X311" i="10"/>
  <c r="Z331" i="10"/>
  <c r="U339" i="10"/>
  <c r="AE339" i="10"/>
  <c r="O339" i="10"/>
  <c r="U342" i="10"/>
  <c r="O342" i="10"/>
  <c r="P354" i="10"/>
  <c r="AO354" i="10"/>
  <c r="O242" i="10"/>
  <c r="Z242" i="10"/>
  <c r="O247" i="10"/>
  <c r="Z247" i="10"/>
  <c r="O249" i="10"/>
  <c r="Z249" i="10"/>
  <c r="O250" i="10"/>
  <c r="O251" i="10"/>
  <c r="O252" i="10"/>
  <c r="Z252" i="10"/>
  <c r="O253" i="10"/>
  <c r="Z253" i="10"/>
  <c r="O271" i="10"/>
  <c r="Z271" i="10"/>
  <c r="P272" i="10"/>
  <c r="AO272" i="10"/>
  <c r="Z282" i="10"/>
  <c r="AN284" i="10"/>
  <c r="AN291" i="10"/>
  <c r="Z292" i="10"/>
  <c r="AE292" i="10"/>
  <c r="AN323" i="10"/>
  <c r="P331" i="10"/>
  <c r="X335" i="10"/>
  <c r="AN337" i="10"/>
  <c r="AN273" i="10"/>
  <c r="AO273" i="10"/>
  <c r="AN275" i="10"/>
  <c r="AN277" i="10"/>
  <c r="AN279" i="10"/>
  <c r="AO282" i="10"/>
  <c r="Z285" i="10"/>
  <c r="AN287" i="10"/>
  <c r="AO287" i="10"/>
  <c r="O291" i="10"/>
  <c r="AE291" i="10"/>
  <c r="U291" i="10"/>
  <c r="AN292" i="10"/>
  <c r="AO292" i="10"/>
  <c r="AN343" i="10"/>
  <c r="P358" i="10"/>
  <c r="AO358" i="10"/>
  <c r="Z309" i="10"/>
  <c r="P309" i="10"/>
  <c r="AO309" i="10"/>
  <c r="Z317" i="10"/>
  <c r="Z321" i="10"/>
  <c r="P321" i="10"/>
  <c r="AO321" i="10"/>
  <c r="U331" i="10"/>
  <c r="AE331" i="10"/>
  <c r="X334" i="10"/>
  <c r="AE334" i="10"/>
  <c r="AN335" i="10"/>
  <c r="AE351" i="10"/>
  <c r="U351" i="10"/>
  <c r="P351" i="10"/>
  <c r="Z363" i="10"/>
  <c r="X332" i="10"/>
  <c r="AN340" i="10"/>
  <c r="AO340" i="10"/>
  <c r="U344" i="10"/>
  <c r="AE344" i="10"/>
  <c r="X326" i="10"/>
  <c r="AE326" i="10"/>
  <c r="AN327" i="10"/>
  <c r="X337" i="10"/>
  <c r="U341" i="10"/>
  <c r="AE341" i="10"/>
  <c r="O341" i="10"/>
  <c r="Z341" i="10"/>
  <c r="O344" i="10"/>
  <c r="AN345" i="10"/>
  <c r="AN346" i="10"/>
  <c r="AN347" i="10"/>
  <c r="AO347" i="10"/>
  <c r="AE348" i="10"/>
  <c r="U348" i="10"/>
  <c r="O348" i="10"/>
  <c r="Z348" i="10"/>
  <c r="P290" i="10"/>
  <c r="AO290" i="10"/>
  <c r="P294" i="10"/>
  <c r="AO294" i="10"/>
  <c r="Z308" i="10"/>
  <c r="P308" i="10"/>
  <c r="AO308" i="10"/>
  <c r="P312" i="10"/>
  <c r="AO312" i="10"/>
  <c r="Z316" i="10"/>
  <c r="P316" i="10"/>
  <c r="AO316" i="10"/>
  <c r="Z320" i="10"/>
  <c r="P320" i="10"/>
  <c r="O326" i="10"/>
  <c r="Z326" i="10"/>
  <c r="U328" i="10"/>
  <c r="AE328" i="10"/>
  <c r="P328" i="10"/>
  <c r="AO328" i="10"/>
  <c r="AE347" i="10"/>
  <c r="U347" i="10"/>
  <c r="Z347" i="10"/>
  <c r="AE359" i="10"/>
  <c r="U359" i="10"/>
  <c r="Z367" i="10"/>
  <c r="P367" i="10"/>
  <c r="Z303" i="10"/>
  <c r="Z305" i="10"/>
  <c r="U325" i="10"/>
  <c r="AE325" i="10"/>
  <c r="O325" i="10"/>
  <c r="P325" i="10"/>
  <c r="AN329" i="10"/>
  <c r="AN330" i="10"/>
  <c r="X340" i="10"/>
  <c r="AE355" i="10"/>
  <c r="U355" i="10"/>
  <c r="Z355" i="10"/>
  <c r="P355" i="10"/>
  <c r="O359" i="10"/>
  <c r="P359" i="10"/>
  <c r="AN325" i="10"/>
  <c r="AN333" i="10"/>
  <c r="AN341" i="10"/>
  <c r="AN349" i="10"/>
  <c r="AE350" i="10"/>
  <c r="U350" i="10"/>
  <c r="Z350" i="10"/>
  <c r="AN353" i="10"/>
  <c r="AE354" i="10"/>
  <c r="U354" i="10"/>
  <c r="AN357" i="10"/>
  <c r="AE358" i="10"/>
  <c r="U358" i="10"/>
  <c r="Z358" i="10"/>
  <c r="AN361" i="10"/>
  <c r="AN365" i="10"/>
  <c r="AO365" i="10"/>
  <c r="AN369" i="10"/>
  <c r="AN373" i="10"/>
  <c r="AN351" i="10"/>
  <c r="AE352" i="10"/>
  <c r="U352" i="10"/>
  <c r="AN355" i="10"/>
  <c r="AE356" i="10"/>
  <c r="U356" i="10"/>
  <c r="AN359" i="10"/>
  <c r="AE360" i="10"/>
  <c r="U360" i="10"/>
  <c r="AN363" i="10"/>
  <c r="AN367" i="10"/>
  <c r="P371" i="10"/>
  <c r="AN371" i="10"/>
  <c r="AN326" i="10"/>
  <c r="AN334" i="10"/>
  <c r="AO334" i="10"/>
  <c r="AN342" i="10"/>
  <c r="O352" i="10"/>
  <c r="O356" i="10"/>
  <c r="P356" i="10"/>
  <c r="O360" i="10"/>
  <c r="Z364" i="10"/>
  <c r="Z368" i="10"/>
  <c r="Z372" i="10"/>
  <c r="O324" i="10"/>
  <c r="Z324" i="10"/>
  <c r="O330" i="10"/>
  <c r="Z330" i="10"/>
  <c r="AN331" i="10"/>
  <c r="O338" i="10"/>
  <c r="Z338" i="10"/>
  <c r="AN339" i="10"/>
  <c r="O346" i="10"/>
  <c r="Z346" i="10"/>
  <c r="AN348" i="10"/>
  <c r="AE349" i="10"/>
  <c r="U349" i="10"/>
  <c r="AN352" i="10"/>
  <c r="AE353" i="10"/>
  <c r="U353" i="10"/>
  <c r="AN356" i="10"/>
  <c r="AE357" i="10"/>
  <c r="U357" i="10"/>
  <c r="AN360" i="10"/>
  <c r="Z361" i="10"/>
  <c r="P364" i="10"/>
  <c r="AN364" i="10"/>
  <c r="P368" i="10"/>
  <c r="AN368" i="10"/>
  <c r="P372" i="10"/>
  <c r="AN372" i="10"/>
  <c r="O323" i="10"/>
  <c r="O327" i="10"/>
  <c r="AN328" i="10"/>
  <c r="O335" i="10"/>
  <c r="AN336" i="10"/>
  <c r="O343" i="10"/>
  <c r="AN344" i="10"/>
  <c r="O349" i="10"/>
  <c r="O353" i="10"/>
  <c r="O357" i="10"/>
  <c r="P361" i="10"/>
  <c r="Z365" i="10"/>
  <c r="Z373" i="10"/>
  <c r="Z79" i="10"/>
  <c r="P258" i="10"/>
  <c r="P332" i="10"/>
  <c r="AO332" i="10"/>
  <c r="Z298" i="10"/>
  <c r="Z12" i="10"/>
  <c r="P227" i="10"/>
  <c r="AO227" i="10"/>
  <c r="P9" i="10"/>
  <c r="AO262" i="10"/>
  <c r="Z322" i="10"/>
  <c r="Z284" i="10"/>
  <c r="AO281" i="10"/>
  <c r="AO215" i="10"/>
  <c r="Z211" i="10"/>
  <c r="X327" i="10"/>
  <c r="Z342" i="10"/>
  <c r="AO220" i="10"/>
  <c r="Z29" i="10"/>
  <c r="AO240" i="10"/>
  <c r="P197" i="10"/>
  <c r="Z122" i="10"/>
  <c r="Z245" i="10"/>
  <c r="P134" i="10"/>
  <c r="AO197" i="10"/>
  <c r="P66" i="10"/>
  <c r="AO66" i="10"/>
  <c r="Z50" i="10"/>
  <c r="Z94" i="10"/>
  <c r="AO170" i="10"/>
  <c r="P136" i="10"/>
  <c r="AO216" i="10"/>
  <c r="P111" i="10"/>
  <c r="AO111" i="10"/>
  <c r="P94" i="10"/>
  <c r="Z64" i="10"/>
  <c r="Z48" i="10"/>
  <c r="Z371" i="10"/>
  <c r="P257" i="10"/>
  <c r="AO257" i="10"/>
  <c r="Z158" i="10"/>
  <c r="P346" i="10"/>
  <c r="Z333" i="10"/>
  <c r="Z193" i="10"/>
  <c r="AO256" i="10"/>
  <c r="Z281" i="10"/>
  <c r="Z213" i="10"/>
  <c r="P112" i="10"/>
  <c r="AO112" i="10"/>
  <c r="Z120" i="10"/>
  <c r="P120" i="10"/>
  <c r="AO120" i="10"/>
  <c r="AO373" i="10"/>
  <c r="Z369" i="10"/>
  <c r="Z312" i="10"/>
  <c r="Z264" i="10"/>
  <c r="Z203" i="10"/>
  <c r="Z30" i="10"/>
  <c r="Z60" i="10"/>
  <c r="Z123" i="10"/>
  <c r="Z46" i="10"/>
  <c r="P281" i="10"/>
  <c r="Z370" i="10"/>
  <c r="P370" i="10"/>
  <c r="AO370" i="10"/>
  <c r="Z224" i="10"/>
  <c r="P224" i="10"/>
  <c r="AO224" i="10"/>
  <c r="X133" i="10"/>
  <c r="X277" i="10"/>
  <c r="Z254" i="10"/>
  <c r="P254" i="10"/>
  <c r="Z192" i="10"/>
  <c r="P192" i="10"/>
  <c r="AO192" i="10"/>
  <c r="Z210" i="10"/>
  <c r="P210" i="10"/>
  <c r="AO210" i="10"/>
  <c r="AC8" i="10"/>
  <c r="Z8" i="10"/>
  <c r="P324" i="10"/>
  <c r="AO324" i="10"/>
  <c r="Z360" i="10"/>
  <c r="AO331" i="10"/>
  <c r="Z307" i="10"/>
  <c r="AO283" i="10"/>
  <c r="AO188" i="10"/>
  <c r="AO173" i="10"/>
  <c r="AO178" i="10"/>
  <c r="Z83" i="10"/>
  <c r="P83" i="10"/>
  <c r="AO83" i="10"/>
  <c r="Z67" i="10"/>
  <c r="P67" i="10"/>
  <c r="AO67" i="10"/>
  <c r="AO74" i="10"/>
  <c r="Z36" i="10"/>
  <c r="P36" i="10"/>
  <c r="AO36" i="10"/>
  <c r="Z128" i="10"/>
  <c r="AO117" i="10"/>
  <c r="AO110" i="10"/>
  <c r="Z302" i="10"/>
  <c r="P302" i="10"/>
  <c r="AO302" i="10"/>
  <c r="X290" i="10"/>
  <c r="X210" i="10"/>
  <c r="Z22" i="10"/>
  <c r="P22" i="10"/>
  <c r="AO22" i="10"/>
  <c r="Z208" i="10"/>
  <c r="P208" i="10"/>
  <c r="AO208" i="10"/>
  <c r="P28" i="10"/>
  <c r="AO28" i="10"/>
  <c r="Z28" i="10"/>
  <c r="AO279" i="10"/>
  <c r="Z283" i="10"/>
  <c r="Z25" i="10"/>
  <c r="AO9" i="10"/>
  <c r="P181" i="10"/>
  <c r="AO181" i="10"/>
  <c r="Z345" i="10"/>
  <c r="P345" i="10"/>
  <c r="AO345" i="10"/>
  <c r="Z287" i="10"/>
  <c r="Z133" i="10"/>
  <c r="P133" i="10"/>
  <c r="AO133" i="10"/>
  <c r="P117" i="10"/>
  <c r="Z117" i="10"/>
  <c r="Z13" i="10"/>
  <c r="P13" i="10"/>
  <c r="AO13" i="10"/>
  <c r="Z114" i="10"/>
  <c r="Z135" i="10"/>
  <c r="P135" i="10"/>
  <c r="AO135" i="10"/>
  <c r="Z229" i="10"/>
  <c r="P229" i="10"/>
  <c r="AO229" i="10"/>
  <c r="Z300" i="10"/>
  <c r="P300" i="10"/>
  <c r="AO300" i="10"/>
  <c r="Z293" i="10"/>
  <c r="P338" i="10"/>
  <c r="Z34" i="10"/>
  <c r="P34" i="10"/>
  <c r="AO34" i="10"/>
  <c r="Z251" i="10"/>
  <c r="P251" i="10"/>
  <c r="AO251" i="10"/>
  <c r="Z91" i="10"/>
  <c r="P91" i="10"/>
  <c r="AO91" i="10"/>
  <c r="Z75" i="10"/>
  <c r="P75" i="10"/>
  <c r="AO75" i="10"/>
  <c r="X14" i="10"/>
  <c r="Z180" i="10"/>
  <c r="P180" i="10"/>
  <c r="AO180" i="10"/>
  <c r="P330" i="10"/>
  <c r="AO330" i="10"/>
  <c r="AO369" i="10"/>
  <c r="Z344" i="10"/>
  <c r="Z313" i="10"/>
  <c r="AO337" i="10"/>
  <c r="Z250" i="10"/>
  <c r="P250" i="10"/>
  <c r="AO250" i="10"/>
  <c r="AO311" i="10"/>
  <c r="P247" i="10"/>
  <c r="AO247" i="10"/>
  <c r="Z212" i="10"/>
  <c r="AO211" i="10"/>
  <c r="Z147" i="10"/>
  <c r="Z157" i="10"/>
  <c r="P119" i="10"/>
  <c r="AO119" i="10"/>
  <c r="Z109" i="10"/>
  <c r="Z107" i="10"/>
  <c r="P107" i="10"/>
  <c r="AO107" i="10"/>
  <c r="Z105" i="10"/>
  <c r="P105" i="10"/>
  <c r="AO105" i="10"/>
  <c r="Z103" i="10"/>
  <c r="Z259" i="10"/>
  <c r="X253" i="10"/>
  <c r="P19" i="10"/>
  <c r="AO19" i="10"/>
  <c r="AO63" i="10"/>
  <c r="AO254" i="10"/>
  <c r="AO293" i="10"/>
  <c r="X324" i="10"/>
  <c r="P130" i="10"/>
  <c r="AO130" i="10"/>
  <c r="Z130" i="10"/>
  <c r="X21" i="10"/>
  <c r="X25" i="10"/>
  <c r="X23" i="10"/>
  <c r="AO320" i="10"/>
  <c r="P298" i="10"/>
  <c r="AO298" i="10"/>
  <c r="AO232" i="10"/>
  <c r="AO304" i="10"/>
  <c r="Z301" i="10"/>
  <c r="Z223" i="10"/>
  <c r="AO209" i="10"/>
  <c r="AO134" i="10"/>
  <c r="Z160" i="10"/>
  <c r="Z102" i="10"/>
  <c r="Z70" i="10"/>
  <c r="AO77" i="10"/>
  <c r="AO24" i="10"/>
  <c r="Z35" i="10"/>
  <c r="AO25" i="10"/>
  <c r="Z189" i="10"/>
  <c r="Z334" i="10"/>
  <c r="X232" i="10"/>
  <c r="X308" i="10"/>
  <c r="Z14" i="10"/>
  <c r="X271" i="10"/>
  <c r="P245" i="10"/>
  <c r="AO245" i="10"/>
  <c r="P284" i="10"/>
  <c r="AO284" i="10"/>
  <c r="Z26" i="10"/>
  <c r="Z262" i="10"/>
  <c r="Z15" i="10"/>
  <c r="X9" i="10"/>
  <c r="Z110" i="10"/>
  <c r="Z108" i="10"/>
  <c r="Z106" i="10"/>
  <c r="Z104" i="10"/>
  <c r="Z52" i="10"/>
  <c r="Z98" i="10"/>
  <c r="Z82" i="10"/>
  <c r="Z21" i="10"/>
  <c r="Z20" i="10"/>
  <c r="AO11" i="10"/>
  <c r="AO33" i="10"/>
  <c r="AO32" i="10"/>
  <c r="AO21" i="10"/>
  <c r="Z289" i="10"/>
  <c r="Z23" i="10"/>
  <c r="P23" i="10"/>
  <c r="AO23" i="10"/>
  <c r="Z243" i="10"/>
  <c r="P12" i="10"/>
  <c r="AO12" i="10"/>
  <c r="Z10" i="10"/>
  <c r="Z280" i="10"/>
  <c r="AO46" i="10"/>
  <c r="AO258" i="10"/>
  <c r="Z226" i="10"/>
  <c r="P226" i="10"/>
  <c r="AO226" i="10"/>
  <c r="X112" i="10"/>
  <c r="Z261" i="10"/>
  <c r="X206" i="10"/>
  <c r="X19" i="10"/>
  <c r="X20" i="10"/>
  <c r="AO219" i="10"/>
  <c r="Z207" i="10"/>
  <c r="AO167" i="10"/>
  <c r="Z156" i="10"/>
  <c r="Z65" i="10"/>
  <c r="AO82" i="10"/>
  <c r="Z115" i="10"/>
  <c r="P38" i="10"/>
  <c r="AO38" i="10"/>
  <c r="Z41" i="10"/>
  <c r="AO263" i="10"/>
  <c r="Z222" i="10"/>
  <c r="X279" i="10"/>
  <c r="Z205" i="10"/>
  <c r="Z40" i="10"/>
  <c r="Z366" i="10"/>
  <c r="P261" i="10"/>
  <c r="AO261" i="10"/>
  <c r="Z174" i="10"/>
  <c r="Z329" i="10"/>
  <c r="Z27" i="10"/>
  <c r="P27" i="10"/>
  <c r="AO27" i="10"/>
  <c r="X214" i="10"/>
  <c r="Z170" i="10"/>
  <c r="Z233" i="10"/>
  <c r="AO199" i="10"/>
  <c r="AO207" i="10"/>
  <c r="Z204" i="10"/>
  <c r="AO212" i="10"/>
  <c r="P122" i="10"/>
  <c r="AO122" i="10"/>
  <c r="P104" i="10"/>
  <c r="AO104" i="10"/>
  <c r="P98" i="10"/>
  <c r="AO98" i="10"/>
  <c r="Z62" i="10"/>
  <c r="P115" i="10"/>
  <c r="AO115" i="10"/>
  <c r="P40" i="10"/>
  <c r="AO40" i="10"/>
  <c r="AO301" i="10"/>
  <c r="Z263" i="10"/>
  <c r="AO243" i="10"/>
  <c r="Z230" i="10"/>
  <c r="X242" i="10"/>
  <c r="Z217" i="10"/>
  <c r="P366" i="10"/>
  <c r="AO366" i="10"/>
  <c r="AO132" i="10"/>
  <c r="Z273" i="10"/>
  <c r="Z137" i="10"/>
  <c r="P329" i="10"/>
  <c r="AO329" i="10"/>
  <c r="X218" i="10"/>
  <c r="P244" i="10"/>
  <c r="AO244" i="10"/>
  <c r="Z235" i="10"/>
  <c r="X16" i="10"/>
  <c r="Z11" i="10"/>
  <c r="P189" i="10"/>
  <c r="AO189" i="10"/>
  <c r="AO325" i="10"/>
  <c r="AO338" i="10"/>
  <c r="AO313" i="10"/>
  <c r="AO190" i="10"/>
  <c r="AO359" i="10"/>
  <c r="AO351" i="10"/>
  <c r="AO214" i="10"/>
  <c r="AO296" i="10"/>
  <c r="AO307" i="10"/>
  <c r="AO368" i="10"/>
  <c r="AO346" i="10"/>
  <c r="AO363" i="10"/>
  <c r="AO201" i="10"/>
  <c r="Z129" i="10"/>
  <c r="P129" i="10"/>
  <c r="AO129" i="10"/>
  <c r="AO276" i="10"/>
  <c r="AO222" i="10"/>
  <c r="AO165" i="10"/>
  <c r="P147" i="10"/>
  <c r="AO147" i="10"/>
  <c r="P157" i="10"/>
  <c r="AO157" i="10"/>
  <c r="Z323" i="10"/>
  <c r="P323" i="10"/>
  <c r="AO323" i="10"/>
  <c r="AO371" i="10"/>
  <c r="P333" i="10"/>
  <c r="AO333" i="10"/>
  <c r="Z296" i="10"/>
  <c r="P204" i="10"/>
  <c r="AO204" i="10"/>
  <c r="P348" i="10"/>
  <c r="AO348" i="10"/>
  <c r="X365" i="10"/>
  <c r="X310" i="10"/>
  <c r="P342" i="10"/>
  <c r="AO342" i="10"/>
  <c r="X287" i="10"/>
  <c r="AO124" i="10"/>
  <c r="AO171" i="10"/>
  <c r="P349" i="10"/>
  <c r="AO349" i="10"/>
  <c r="Z349" i="10"/>
  <c r="Z325" i="10"/>
  <c r="X369" i="10"/>
  <c r="X314" i="10"/>
  <c r="Z268" i="10"/>
  <c r="P268" i="10"/>
  <c r="AO268" i="10"/>
  <c r="P237" i="10"/>
  <c r="AO237" i="10"/>
  <c r="X247" i="10"/>
  <c r="X288" i="10"/>
  <c r="X231" i="10"/>
  <c r="Z188" i="10"/>
  <c r="Z145" i="10"/>
  <c r="X202" i="10"/>
  <c r="AO136" i="10"/>
  <c r="Z151" i="10"/>
  <c r="X178" i="10"/>
  <c r="Z173" i="10"/>
  <c r="Z159" i="10"/>
  <c r="X191" i="10"/>
  <c r="AO108" i="10"/>
  <c r="P50" i="10"/>
  <c r="AO50" i="10"/>
  <c r="Z116" i="10"/>
  <c r="Z39" i="10"/>
  <c r="X30" i="10"/>
  <c r="P203" i="10"/>
  <c r="AO203" i="10"/>
  <c r="AO187" i="10"/>
  <c r="Z88" i="10"/>
  <c r="P88" i="10"/>
  <c r="AO88" i="10"/>
  <c r="Z72" i="10"/>
  <c r="P72" i="10"/>
  <c r="AO72" i="10"/>
  <c r="Z32" i="10"/>
  <c r="X373" i="10"/>
  <c r="AO161" i="10"/>
  <c r="P123" i="10"/>
  <c r="AO123" i="10"/>
  <c r="Z45" i="10"/>
  <c r="Z53" i="10"/>
  <c r="Z68" i="10"/>
  <c r="P68" i="10"/>
  <c r="AO68" i="10"/>
  <c r="Z73" i="10"/>
  <c r="P30" i="10"/>
  <c r="AO30" i="10"/>
  <c r="P44" i="10"/>
  <c r="AO44" i="10"/>
  <c r="X38" i="10"/>
  <c r="P35" i="10"/>
  <c r="AO35" i="10"/>
  <c r="Z31" i="10"/>
  <c r="X313" i="10"/>
  <c r="Z142" i="10"/>
  <c r="P142" i="10"/>
  <c r="AO142" i="10"/>
  <c r="Z144" i="10"/>
  <c r="AO155" i="10"/>
  <c r="AO364" i="10"/>
  <c r="Z185" i="10"/>
  <c r="X183" i="10"/>
  <c r="Z100" i="10"/>
  <c r="P100" i="10"/>
  <c r="AO100" i="10"/>
  <c r="P341" i="10"/>
  <c r="AO341" i="10"/>
  <c r="P291" i="10"/>
  <c r="AO291" i="10"/>
  <c r="Z291" i="10"/>
  <c r="X318" i="10"/>
  <c r="Z121" i="10"/>
  <c r="P121" i="10"/>
  <c r="AO121" i="10"/>
  <c r="P182" i="10"/>
  <c r="AO182" i="10"/>
  <c r="Z155" i="10"/>
  <c r="AO361" i="10"/>
  <c r="Z359" i="10"/>
  <c r="P344" i="10"/>
  <c r="AO344" i="10"/>
  <c r="X289" i="10"/>
  <c r="X317" i="10"/>
  <c r="Z295" i="10"/>
  <c r="X270" i="10"/>
  <c r="P242" i="10"/>
  <c r="AO242" i="10"/>
  <c r="P183" i="10"/>
  <c r="AO183" i="10"/>
  <c r="Z196" i="10"/>
  <c r="Z176" i="10"/>
  <c r="AO218" i="10"/>
  <c r="AO114" i="10"/>
  <c r="AO139" i="10"/>
  <c r="X175" i="10"/>
  <c r="X136" i="10"/>
  <c r="AO118" i="10"/>
  <c r="Z96" i="10"/>
  <c r="P96" i="10"/>
  <c r="AO96" i="10"/>
  <c r="Z80" i="10"/>
  <c r="P80" i="10"/>
  <c r="AO80" i="10"/>
  <c r="Z126" i="10"/>
  <c r="P95" i="10"/>
  <c r="AO95" i="10"/>
  <c r="AO87" i="10"/>
  <c r="P79" i="10"/>
  <c r="AO79" i="10"/>
  <c r="AO71" i="10"/>
  <c r="P103" i="10"/>
  <c r="AO103" i="10"/>
  <c r="Z87" i="10"/>
  <c r="Z71" i="10"/>
  <c r="AO56" i="10"/>
  <c r="P102" i="10"/>
  <c r="AO102" i="10"/>
  <c r="AO94" i="10"/>
  <c r="P86" i="10"/>
  <c r="AO86" i="10"/>
  <c r="AO78" i="10"/>
  <c r="P70" i="10"/>
  <c r="AO70" i="10"/>
  <c r="Z58" i="10"/>
  <c r="Z140" i="10"/>
  <c r="Z78" i="10"/>
  <c r="Z93" i="10"/>
  <c r="AO42" i="10"/>
  <c r="P31" i="10"/>
  <c r="AO31" i="10"/>
  <c r="Z202" i="10"/>
  <c r="P202" i="10"/>
  <c r="AO202" i="10"/>
  <c r="AO277" i="10"/>
  <c r="P264" i="10"/>
  <c r="AO264" i="10"/>
  <c r="Z201" i="10"/>
  <c r="Z195" i="10"/>
  <c r="AO163" i="10"/>
  <c r="AO356" i="10"/>
  <c r="X303" i="10"/>
  <c r="X249" i="10"/>
  <c r="X272" i="10"/>
  <c r="Z299" i="10"/>
  <c r="P299" i="10"/>
  <c r="AO299" i="10"/>
  <c r="Z138" i="10"/>
  <c r="P138" i="10"/>
  <c r="AO138" i="10"/>
  <c r="Z163" i="10"/>
  <c r="Z143" i="10"/>
  <c r="Z356" i="10"/>
  <c r="P335" i="10"/>
  <c r="AO335" i="10"/>
  <c r="Z335" i="10"/>
  <c r="AO355" i="10"/>
  <c r="Z351" i="10"/>
  <c r="Z336" i="10"/>
  <c r="Z266" i="10"/>
  <c r="AO278" i="10"/>
  <c r="Z194" i="10"/>
  <c r="P194" i="10"/>
  <c r="AO194" i="10"/>
  <c r="Z179" i="10"/>
  <c r="AO196" i="10"/>
  <c r="P193" i="10"/>
  <c r="AO193" i="10"/>
  <c r="Z152" i="10"/>
  <c r="P152" i="10"/>
  <c r="AO152" i="10"/>
  <c r="Z113" i="10"/>
  <c r="P113" i="10"/>
  <c r="AO113" i="10"/>
  <c r="P151" i="10"/>
  <c r="AO151" i="10"/>
  <c r="Z198" i="10"/>
  <c r="X186" i="10"/>
  <c r="X171" i="10"/>
  <c r="AO175" i="10"/>
  <c r="Z161" i="10"/>
  <c r="AO153" i="10"/>
  <c r="AO140" i="10"/>
  <c r="X194" i="10"/>
  <c r="AO164" i="10"/>
  <c r="P162" i="10"/>
  <c r="AO162" i="10"/>
  <c r="AO160" i="10"/>
  <c r="P158" i="10"/>
  <c r="AO158" i="10"/>
  <c r="P156" i="10"/>
  <c r="AO156" i="10"/>
  <c r="P154" i="10"/>
  <c r="AO154" i="10"/>
  <c r="AO116" i="10"/>
  <c r="P126" i="10"/>
  <c r="AO126" i="10"/>
  <c r="Z118" i="10"/>
  <c r="Z56" i="10"/>
  <c r="Z81" i="10"/>
  <c r="Z85" i="10"/>
  <c r="Z97" i="10"/>
  <c r="X34" i="10"/>
  <c r="Z61" i="10"/>
  <c r="P327" i="10"/>
  <c r="AO327" i="10"/>
  <c r="Z327" i="10"/>
  <c r="P271" i="10"/>
  <c r="AO271" i="10"/>
  <c r="P168" i="10"/>
  <c r="AO168" i="10"/>
  <c r="P169" i="10"/>
  <c r="AO169" i="10"/>
  <c r="AO159" i="10"/>
  <c r="P343" i="10"/>
  <c r="AO343" i="10"/>
  <c r="Z343" i="10"/>
  <c r="Z165" i="10"/>
  <c r="X167" i="10"/>
  <c r="Z187" i="10"/>
  <c r="Z84" i="10"/>
  <c r="P84" i="10"/>
  <c r="AO84" i="10"/>
  <c r="Z328" i="10"/>
  <c r="Z354" i="10"/>
  <c r="X293" i="10"/>
  <c r="X274" i="10"/>
  <c r="AO141" i="10"/>
  <c r="AO372" i="10"/>
  <c r="P357" i="10"/>
  <c r="AO357" i="10"/>
  <c r="Z357" i="10"/>
  <c r="Z352" i="10"/>
  <c r="X361" i="10"/>
  <c r="X306" i="10"/>
  <c r="Z339" i="10"/>
  <c r="P353" i="10"/>
  <c r="AO353" i="10"/>
  <c r="Z353" i="10"/>
  <c r="P360" i="10"/>
  <c r="AO360" i="10"/>
  <c r="P352" i="10"/>
  <c r="AO352" i="10"/>
  <c r="P326" i="10"/>
  <c r="AO326" i="10"/>
  <c r="AO367" i="10"/>
  <c r="P339" i="10"/>
  <c r="AO339" i="10"/>
  <c r="AO315" i="10"/>
  <c r="P266" i="10"/>
  <c r="AO266" i="10"/>
  <c r="P336" i="10"/>
  <c r="AO336" i="10"/>
  <c r="X280" i="10"/>
  <c r="Z265" i="10"/>
  <c r="X243" i="10"/>
  <c r="AO275" i="10"/>
  <c r="P253" i="10"/>
  <c r="AO253" i="10"/>
  <c r="P252" i="10"/>
  <c r="AO252" i="10"/>
  <c r="Z172" i="10"/>
  <c r="P172" i="10"/>
  <c r="AO172" i="10"/>
  <c r="Z148" i="10"/>
  <c r="P148" i="10"/>
  <c r="AO148" i="10"/>
  <c r="P198" i="10"/>
  <c r="AO198" i="10"/>
  <c r="Z177" i="10"/>
  <c r="X199" i="10"/>
  <c r="Z190" i="10"/>
  <c r="Z164" i="10"/>
  <c r="Z92" i="10"/>
  <c r="P92" i="10"/>
  <c r="AO92" i="10"/>
  <c r="Z76" i="10"/>
  <c r="P76" i="10"/>
  <c r="AO76" i="10"/>
  <c r="P109" i="10"/>
  <c r="AO109" i="10"/>
  <c r="P52" i="10"/>
  <c r="AO52" i="10"/>
  <c r="Z54" i="10"/>
  <c r="Z90" i="10"/>
  <c r="Z74" i="10"/>
  <c r="Z57" i="10"/>
  <c r="Z69" i="10"/>
  <c r="X41" i="10"/>
  <c r="Z42" i="10"/>
  <c r="X312" i="10"/>
  <c r="X132" i="10"/>
  <c r="X278" i="10"/>
  <c r="X254" i="10"/>
  <c r="X364" i="10"/>
  <c r="X170" i="10"/>
  <c r="X127" i="10"/>
  <c r="X211" i="10"/>
  <c r="X24" i="10"/>
  <c r="X281" i="10"/>
  <c r="X244" i="10"/>
  <c r="X180" i="10"/>
  <c r="X229" i="10"/>
  <c r="X262" i="10"/>
  <c r="X215" i="10"/>
  <c r="X138" i="10"/>
  <c r="X261" i="10"/>
  <c r="X366" i="10"/>
  <c r="X230" i="10"/>
  <c r="X37" i="10"/>
  <c r="X228" i="10"/>
  <c r="X275" i="10"/>
  <c r="X10" i="10"/>
  <c r="X367" i="10"/>
  <c r="X27" i="10"/>
  <c r="X236" i="10"/>
  <c r="X371" i="10"/>
  <c r="X372" i="10"/>
  <c r="X263" i="10"/>
  <c r="X315" i="10"/>
  <c r="X137" i="10"/>
  <c r="X252" i="10"/>
  <c r="X111" i="10"/>
  <c r="X283" i="10"/>
  <c r="X276" i="10"/>
  <c r="X273" i="10"/>
  <c r="X129" i="10"/>
  <c r="X269" i="10"/>
  <c r="X11" i="10"/>
  <c r="X12" i="10"/>
  <c r="X134" i="10"/>
  <c r="X319" i="10"/>
  <c r="X181" i="10"/>
  <c r="X345" i="10"/>
  <c r="X260" i="10"/>
  <c r="X240" i="10"/>
  <c r="X259" i="10"/>
  <c r="X316" i="10"/>
  <c r="X302" i="10"/>
  <c r="X248" i="10"/>
  <c r="X122" i="10"/>
  <c r="X292" i="10"/>
  <c r="X174" i="10"/>
  <c r="X226" i="10"/>
  <c r="X284" i="10"/>
  <c r="X26" i="10"/>
  <c r="X135" i="10"/>
  <c r="X245" i="10"/>
  <c r="X304" i="10"/>
  <c r="X363" i="10"/>
  <c r="X117" i="10"/>
  <c r="X298" i="10"/>
  <c r="X192" i="10"/>
  <c r="X113" i="10"/>
  <c r="X114" i="10"/>
  <c r="X15" i="10"/>
  <c r="X8" i="10"/>
  <c r="X305" i="10"/>
  <c r="X330" i="10"/>
  <c r="X219" i="10"/>
  <c r="X40" i="10"/>
  <c r="X222" i="10"/>
  <c r="X28" i="10"/>
  <c r="X346" i="10"/>
  <c r="X321" i="10"/>
  <c r="X227" i="10"/>
  <c r="X257" i="10"/>
  <c r="X307" i="10"/>
  <c r="X207" i="10"/>
  <c r="X223" i="10"/>
  <c r="X338" i="10"/>
  <c r="X128" i="10"/>
  <c r="X329" i="10"/>
  <c r="X70" i="10"/>
  <c r="X165" i="10"/>
  <c r="X155" i="10"/>
  <c r="X196" i="10"/>
  <c r="X162" i="10"/>
  <c r="X68" i="10"/>
  <c r="X95" i="10"/>
  <c r="X102" i="10"/>
  <c r="X163" i="10"/>
  <c r="X356" i="10"/>
  <c r="X97" i="10"/>
  <c r="X75" i="10"/>
  <c r="X31" i="10"/>
  <c r="X140" i="10"/>
  <c r="X50" i="10"/>
  <c r="X126" i="10"/>
  <c r="X233" i="10"/>
  <c r="X43" i="10"/>
  <c r="X291" i="10"/>
  <c r="X89" i="10"/>
  <c r="X141" i="10"/>
  <c r="X354" i="10"/>
  <c r="X173" i="10"/>
  <c r="X359" i="10"/>
  <c r="X49" i="10"/>
  <c r="X266" i="10"/>
  <c r="X115" i="10"/>
  <c r="X48" i="10"/>
  <c r="X169" i="10"/>
  <c r="X73" i="10"/>
  <c r="X145" i="10"/>
  <c r="X152" i="10"/>
  <c r="X267" i="10"/>
  <c r="X348" i="10"/>
  <c r="X98" i="10"/>
  <c r="X353" i="10"/>
  <c r="X154" i="10"/>
  <c r="X168" i="10"/>
  <c r="X204" i="10"/>
  <c r="X39" i="10"/>
  <c r="X96" i="10"/>
  <c r="X53" i="10"/>
  <c r="X328" i="10"/>
  <c r="X203" i="10"/>
  <c r="X110" i="10"/>
  <c r="X355" i="10"/>
  <c r="X143" i="10"/>
  <c r="X81" i="10"/>
  <c r="X71" i="10"/>
  <c r="X36" i="10"/>
  <c r="X158" i="10"/>
  <c r="X193" i="10"/>
  <c r="X331" i="10"/>
  <c r="X350" i="10"/>
  <c r="X83" i="10"/>
  <c r="X106" i="10"/>
  <c r="X84" i="10"/>
  <c r="X94" i="10"/>
  <c r="X351" i="10"/>
  <c r="X352" i="10"/>
  <c r="X161" i="10"/>
  <c r="X46" i="10"/>
  <c r="X79" i="10"/>
  <c r="X105" i="10"/>
  <c r="X80" i="10"/>
  <c r="X187" i="10"/>
  <c r="X32" i="10"/>
  <c r="X58" i="10"/>
  <c r="X195" i="10"/>
  <c r="X90" i="10"/>
  <c r="X116" i="10"/>
  <c r="X176" i="10"/>
  <c r="X349" i="10"/>
  <c r="X299" i="10"/>
  <c r="X341" i="10"/>
  <c r="X153" i="10"/>
  <c r="X172" i="10"/>
  <c r="X201" i="10"/>
  <c r="X86" i="10"/>
  <c r="X147" i="10"/>
  <c r="X325" i="10"/>
  <c r="X67" i="10"/>
  <c r="X100" i="10"/>
  <c r="X123" i="10"/>
  <c r="X109" i="10"/>
  <c r="X264" i="10"/>
  <c r="X188" i="10"/>
  <c r="X179" i="10"/>
  <c r="X339" i="10"/>
  <c r="X159" i="10"/>
  <c r="X63" i="10"/>
  <c r="X104" i="10"/>
  <c r="X182" i="10"/>
  <c r="X103" i="10"/>
  <c r="X358" i="10"/>
  <c r="X149" i="10"/>
  <c r="X59" i="10"/>
  <c r="X144" i="10"/>
  <c r="X44" i="10"/>
  <c r="X57" i="10"/>
  <c r="X142" i="10"/>
  <c r="X295" i="10"/>
  <c r="X93" i="10"/>
  <c r="X56" i="10"/>
  <c r="X66" i="10"/>
  <c r="X198" i="10"/>
  <c r="X347" i="10"/>
  <c r="X177" i="10"/>
  <c r="X65" i="10"/>
  <c r="X64" i="10"/>
  <c r="X55" i="10"/>
  <c r="X99" i="10"/>
  <c r="X360" i="10"/>
  <c r="X69" i="10"/>
  <c r="X62" i="10"/>
  <c r="X342" i="10"/>
  <c r="X336" i="10"/>
  <c r="X78" i="10"/>
  <c r="X118" i="10"/>
  <c r="X157" i="10"/>
  <c r="X42" i="10"/>
  <c r="X190" i="10"/>
  <c r="X156" i="10"/>
  <c r="X76" i="10"/>
  <c r="X237" i="10"/>
  <c r="X101" i="10"/>
  <c r="X333" i="10"/>
  <c r="X72" i="10"/>
  <c r="X61" i="10"/>
  <c r="X52" i="10"/>
  <c r="X164" i="10"/>
  <c r="X238" i="10"/>
  <c r="X185" i="10"/>
  <c r="X77" i="10"/>
  <c r="X60" i="10"/>
  <c r="X234" i="10"/>
  <c r="X82" i="10"/>
  <c r="X47" i="10"/>
  <c r="X160" i="10"/>
  <c r="X150" i="10"/>
  <c r="X148" i="10"/>
  <c r="X344" i="10"/>
  <c r="X151" i="10"/>
  <c r="X91" i="10"/>
  <c r="X108" i="10"/>
  <c r="X92" i="10"/>
  <c r="X265" i="10"/>
  <c r="X54" i="10"/>
  <c r="X300" i="10"/>
  <c r="X51" i="10"/>
  <c r="X146" i="10"/>
  <c r="X296" i="10"/>
  <c r="X74" i="10"/>
  <c r="X35" i="10"/>
  <c r="X87" i="10"/>
  <c r="X107" i="10"/>
  <c r="X88" i="10"/>
  <c r="X85" i="10"/>
  <c r="X45" i="10"/>
  <c r="X35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<sst xmlns="http://schemas.openxmlformats.org/spreadsheetml/2006/main" count="5301" uniqueCount="125">
  <si>
    <t>YOUR COMPANY NAME</t>
  </si>
  <si>
    <t>Date</t>
  </si>
  <si>
    <t>Dayo Month</t>
  </si>
  <si>
    <t>Dayo Year</t>
  </si>
  <si>
    <t>Dayo Week #</t>
  </si>
  <si>
    <t>Dayo Week Name</t>
  </si>
  <si>
    <t>Weeko Year</t>
  </si>
  <si>
    <t>Month #</t>
  </si>
  <si>
    <t>Month Name</t>
  </si>
  <si>
    <t>Quarter</t>
  </si>
  <si>
    <t>Saturday</t>
  </si>
  <si>
    <t>January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</si>
  <si>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</si>
  <si>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</si>
  <si>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</si>
  <si>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</si>
  <si>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</si>
  <si>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</si>
  <si>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</si>
  <si>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</si>
  <si>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</si>
  <si>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</si>
  <si>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</si>
  <si>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</si>
  <si>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</si>
  <si>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</si>
  <si>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</si>
  <si>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</si>
  <si>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</si>
  <si>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Foot Traffic (customers per day)</t>
  </si>
  <si>
    <t>Spend per Customer</t>
  </si>
  <si>
    <t>Total Revenue</t>
  </si>
  <si>
    <t>1) What is the TOTAL ANNUAL REVENUE for YOUR company?</t>
  </si>
  <si>
    <t>3) What are the Minimum and Maximum revenue days for the year?</t>
  </si>
  <si>
    <t>Min</t>
  </si>
  <si>
    <t>Max</t>
  </si>
  <si>
    <t>4) Are these reasonable for this type of business?  Why or Why not?</t>
  </si>
  <si>
    <t>(Do some research for comparable businesses)</t>
  </si>
  <si>
    <t>2) Insert a PIVOT TABLE ON THE NEXT SHEET showing the Revenue (Rows), Months (Columns) with sum of revenue in each (Cell) for the FULL YEAR.</t>
  </si>
  <si>
    <t>hint: Start on landing sheet.  Select all the data (A7:L373).  Choose Insert, Pivot table.  Select table on another sheet.</t>
  </si>
  <si>
    <t>Flowerama</t>
  </si>
  <si>
    <t>Daily COGS</t>
  </si>
  <si>
    <t>COGS</t>
  </si>
  <si>
    <t>Gross Margin</t>
  </si>
  <si>
    <t>It is reasonable because big holidays like Valentine’s Day or Mother’s Day, or days with multiple weddings and deliveries, can create very high one-day sales even though this is rare.</t>
  </si>
  <si>
    <t>Rent / Lease</t>
  </si>
  <si>
    <t>Wages and Salaries</t>
  </si>
  <si>
    <t>Insurance</t>
  </si>
  <si>
    <t>Electric</t>
  </si>
  <si>
    <t>Water</t>
  </si>
  <si>
    <t>Internet</t>
  </si>
  <si>
    <t>Total Expenses</t>
  </si>
  <si>
    <t>Phone</t>
  </si>
  <si>
    <t>Delivery</t>
  </si>
  <si>
    <t>Profit</t>
  </si>
  <si>
    <t>Values</t>
  </si>
  <si>
    <t>Year Total</t>
  </si>
  <si>
    <t>Rent/Lease</t>
  </si>
  <si>
    <t>Gas</t>
  </si>
  <si>
    <t>Advertising</t>
  </si>
  <si>
    <t>Net Proffit</t>
  </si>
  <si>
    <t>Revenue</t>
  </si>
  <si>
    <t>Expenses</t>
  </si>
  <si>
    <t>Wages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</si>
  <si>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</si>
  <si>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</si>
  <si>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</si>
  <si>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</si>
  <si>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</si>
  <si>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</si>
  <si>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</si>
  <si>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</si>
  <si>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</si>
  <si>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</si>
  <si>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</si>
  <si>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 Total</t>
  </si>
  <si>
    <t>Net Profit</t>
  </si>
  <si>
    <t>online order %</t>
  </si>
  <si>
    <t>buy online</t>
  </si>
  <si>
    <t>Stems discard</t>
  </si>
  <si>
    <t>Dollar wasted oer stem discarded</t>
  </si>
  <si>
    <t xml:space="preserve">percent of wage per hr </t>
  </si>
  <si>
    <t>Wages paied by day</t>
  </si>
  <si>
    <t>Delvery Total rev</t>
  </si>
  <si>
    <t>Delevery percentage</t>
  </si>
  <si>
    <t>Delevry orders</t>
  </si>
  <si>
    <t>Avg Delevry cost %</t>
  </si>
  <si>
    <t>Online Orders</t>
  </si>
  <si>
    <t xml:space="preserve">Average Delevery value per Order </t>
  </si>
  <si>
    <t>Conversion Rate</t>
  </si>
  <si>
    <t>Peps in door</t>
  </si>
  <si>
    <t>Online delevery</t>
  </si>
  <si>
    <t>KPI</t>
  </si>
  <si>
    <t>Chance Foot Traffic</t>
  </si>
  <si>
    <t>Grand Total</t>
  </si>
  <si>
    <t>Sum of Delevry orders</t>
  </si>
  <si>
    <t>Row Labels</t>
  </si>
  <si>
    <t>Sum of Total Revenue</t>
  </si>
  <si>
    <t>Sum of Profit</t>
  </si>
  <si>
    <t>Average of Total Expenses</t>
  </si>
  <si>
    <t>Average of Total Revenue</t>
  </si>
  <si>
    <t>Sum of Online Orders</t>
  </si>
  <si>
    <t>In person</t>
  </si>
  <si>
    <t>Stems Wasted per week</t>
  </si>
  <si>
    <t>Sum of COGS</t>
  </si>
  <si>
    <t>Sum of Internet</t>
  </si>
  <si>
    <t>Sum of Electric</t>
  </si>
  <si>
    <t>Sum of Phone</t>
  </si>
  <si>
    <t>Sum of Water</t>
  </si>
  <si>
    <t>Sum of Delivery</t>
  </si>
  <si>
    <t>Sum of Insurance</t>
  </si>
  <si>
    <t>Sum of Wages and Salaries</t>
  </si>
  <si>
    <t>Sum of Rent / Lease</t>
  </si>
  <si>
    <t>Month</t>
  </si>
  <si>
    <t>OverHead Cost</t>
  </si>
  <si>
    <t>Loss</t>
  </si>
  <si>
    <t xml:space="preserve">  </t>
  </si>
  <si>
    <t>Order Method</t>
  </si>
  <si>
    <t>In Store</t>
  </si>
  <si>
    <t>Delevry</t>
  </si>
  <si>
    <t>Online</t>
  </si>
  <si>
    <t>In store</t>
  </si>
  <si>
    <t>Delevery orders</t>
  </si>
  <si>
    <t>Online order #</t>
  </si>
  <si>
    <t>Order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</si>
</sst>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  <numFmt numFmtId="166" formatCode="&quot;$&quot;#,##0"/>
    <numFmt numFmtId="167" formatCode="_(&quot;$&quot;* #,##0_);_(&quot;$&quot;* \(#,##0\);_(&quot;$&quot;* &quot;-&quot;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 (Body)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1E6C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1" fontId="0" fillId="0" borderId="0" xfId="0" applyNumberFormat="1"/>
    <xf numFmtId="44" fontId="0" fillId="0" borderId="0" xfId="1" applyFont="1"/>
    <xf numFmtId="2" fontId="0" fillId="0" borderId="0" xfId="0" applyNumberFormat="1"/>
    <xf numFmtId="0" fontId="6" fillId="0" borderId="0" xfId="0" applyFont="1" applyAlignment="1">
      <alignment wrapText="1"/>
    </xf>
    <xf numFmtId="1" fontId="0" fillId="2" borderId="4" xfId="0" applyNumberFormat="1" applyFill="1" applyBorder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7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" fillId="3" borderId="0" xfId="0" applyFont="1" applyFill="1" applyAlignment="1">
      <alignment wrapText="1"/>
    </xf>
    <xf numFmtId="44" fontId="0" fillId="0" borderId="0" xfId="0" applyNumberFormat="1"/>
    <xf numFmtId="164" fontId="0" fillId="0" borderId="0" xfId="0" applyNumberFormat="1"/>
    <xf numFmtId="164" fontId="0" fillId="0" borderId="5" xfId="0" applyNumberFormat="1" applyBorder="1"/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164" fontId="0" fillId="0" borderId="5" xfId="1" applyNumberFormat="1" applyFont="1" applyBorder="1"/>
    <xf numFmtId="0" fontId="1" fillId="5" borderId="0" xfId="0" applyFont="1" applyFill="1"/>
    <xf numFmtId="164" fontId="5" fillId="0" borderId="0" xfId="1" applyNumberFormat="1" applyFont="1" applyFill="1"/>
    <xf numFmtId="0" fontId="9" fillId="4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0" fillId="6" borderId="0" xfId="0" applyFill="1"/>
    <xf numFmtId="167" fontId="0" fillId="0" borderId="0" xfId="0" applyNumberFormat="1"/>
    <xf numFmtId="0" fontId="0" fillId="0" borderId="0" xfId="0" pivotButton="1"/>
    <xf numFmtId="0" fontId="1" fillId="7" borderId="6" xfId="0" applyFont="1" applyFill="1" applyBorder="1"/>
    <xf numFmtId="0" fontId="0" fillId="0" borderId="0" xfId="0" applyAlignment="1">
      <alignment horizontal="left"/>
    </xf>
    <xf numFmtId="9" fontId="0" fillId="0" borderId="0" xfId="2" applyFont="1"/>
    <xf numFmtId="9" fontId="0" fillId="0" borderId="0" xfId="0" applyNumberFormat="1"/>
    <xf numFmtId="3" fontId="0" fillId="0" borderId="0" xfId="0" applyNumberFormat="1"/>
    <xf numFmtId="0" fontId="8" fillId="0" borderId="0" xfId="0" applyFont="1" applyAlignment="1">
      <alignment horizontal="center" wrapText="1"/>
    </xf>
    <xf numFmtId="0" fontId="8" fillId="8" borderId="0" xfId="0" applyFont="1" applyFill="1" applyAlignment="1">
      <alignment wrapText="1"/>
    </xf>
    <xf numFmtId="0" fontId="7" fillId="0" borderId="0" xfId="0" applyFont="1"/>
    <xf numFmtId="0" fontId="7" fillId="9" borderId="0" xfId="0" applyFont="1" applyFill="1" applyAlignment="1">
      <alignment wrapText="1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/>
    <xf numFmtId="2" fontId="8" fillId="0" borderId="0" xfId="0" applyNumberFormat="1" applyFont="1"/>
    <xf numFmtId="164" fontId="8" fillId="0" borderId="0" xfId="0" applyNumberFormat="1" applyFont="1"/>
    <xf numFmtId="1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1E6C8"/>
      <color rgb="FF93CC7E"/>
      <color rgb="FF63BE7B"/>
      <color rgb="FF49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Tabels'!$T$11</c:f>
              <c:strCache>
                <c:ptCount val="1"/>
                <c:pt idx="0">
                  <c:v>Sum of Online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Tabels'!$S$12:$S$23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Tabels'!$T$12:$T$23</c:f>
              <c:numCache>
                <c:formatCode>0</c:formatCode>
                <c:ptCount val="12"/>
                <c:pt idx="0">
                  <c:v>1188.9577574535947</c:v>
                </c:pt>
                <c:pt idx="1">
                  <c:v>5145.2622399528018</c:v>
                </c:pt>
                <c:pt idx="2">
                  <c:v>3345.8713099235802</c:v>
                </c:pt>
                <c:pt idx="3">
                  <c:v>3950.4955148114241</c:v>
                </c:pt>
                <c:pt idx="4">
                  <c:v>5651.7366276211033</c:v>
                </c:pt>
                <c:pt idx="5">
                  <c:v>2782.0481116800333</c:v>
                </c:pt>
                <c:pt idx="6">
                  <c:v>2916.6217566880709</c:v>
                </c:pt>
                <c:pt idx="7">
                  <c:v>2978.3065241214308</c:v>
                </c:pt>
                <c:pt idx="8">
                  <c:v>2896.865518065656</c:v>
                </c:pt>
                <c:pt idx="9">
                  <c:v>3072.6767513800755</c:v>
                </c:pt>
                <c:pt idx="10">
                  <c:v>3003.3634298006996</c:v>
                </c:pt>
                <c:pt idx="11">
                  <c:v>1143.0160692431607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2-5248-B581-1528155829D4}"/>
            </c:ext>
          </c:extLst>
        </c:ser>
        <c:ser>
          <c:idx val="1"/>
          <c:order val="1"/>
          <c:tx>
            <c:strRef>
              <c:f>'Pivot Tabels'!$U$11</c:f>
              <c:strCache>
                <c:ptCount val="1"/>
                <c:pt idx="0">
                  <c:v>Sum of Delevry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Tabels'!$S$12:$S$23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Tabels'!$U$12:$U$23</c:f>
              <c:numCache>
                <c:formatCode>0</c:formatCode>
                <c:ptCount val="12"/>
                <c:pt idx="0">
                  <c:v>1348.7058775543026</c:v>
                </c:pt>
                <c:pt idx="1">
                  <c:v>8278.6637849187882</c:v>
                </c:pt>
                <c:pt idx="2">
                  <c:v>6092.5213709847949</c:v>
                </c:pt>
                <c:pt idx="3">
                  <c:v>7759.1995201875689</c:v>
                </c:pt>
                <c:pt idx="4">
                  <c:v>7637.2098091299003</c:v>
                </c:pt>
                <c:pt idx="5">
                  <c:v>6037.8821077559533</c:v>
                </c:pt>
                <c:pt idx="6">
                  <c:v>5301.2458974926958</c:v>
                </c:pt>
                <c:pt idx="7">
                  <c:v>5405.1147295453757</c:v>
                </c:pt>
                <c:pt idx="8">
                  <c:v>5869.3178218292915</c:v>
                </c:pt>
                <c:pt idx="9">
                  <c:v>5193.2892866029542</c:v>
                </c:pt>
                <c:pt idx="10">
                  <c:v>4971.4077478864219</c:v>
                </c:pt>
                <c:pt idx="11">
                  <c:v>1366.4607038017532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2-5248-B581-1528155829D4}"/>
            </c:ext>
          </c:extLst>
        </c:ser>
        <c:ser>
          <c:idx val="2"/>
          <c:order val="2"/>
          <c:tx>
            <c:strRef>
              <c:f>'Pivot Tabels'!$V$11</c:f>
              <c:strCache>
                <c:ptCount val="1"/>
                <c:pt idx="0">
                  <c:v>In person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Tabels'!$S$12:$S$23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Tabels'!$V$12:$V$23</c:f>
              <c:numCache>
                <c:formatCode>0</c:formatCode>
                <c:ptCount val="12"/>
                <c:pt idx="0">
                  <c:v>1611.0738311772943</c:v>
                </c:pt>
                <c:pt idx="1">
                  <c:v>2854.2325670387872</c:v>
                </c:pt>
                <c:pt idx="2">
                  <c:v>1834.6852707404664</c:v>
                </c:pt>
                <c:pt idx="3">
                  <c:v>2369.9371508375389</c:v>
                </c:pt>
                <c:pt idx="4">
                  <c:v>2775.978972033412</c:v>
                </c:pt>
                <c:pt idx="5">
                  <c:v>1735.0970322748863</c:v>
                </c:pt>
                <c:pt idx="6">
                  <c:v>1631.5619260709993</c:v>
                </c:pt>
                <c:pt idx="7">
                  <c:v>1580.9558004075441</c:v>
                </c:pt>
                <c:pt idx="8">
                  <c:v>1715.1982000065414</c:v>
                </c:pt>
                <c:pt idx="9">
                  <c:v>1668.3415518121578</c:v>
                </c:pt>
                <c:pt idx="10">
                  <c:v>1564.2352190401534</c:v>
                </c:pt>
                <c:pt idx="11">
                  <c:v>2038.3661491771616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2-5248-B581-152815582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7479856"/>
        <c:axId val="1537023488"/>
      </c:barChart>
      <c:catAx>
        <c:axId val="163747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023488"/>
        <c:crosses val="autoZero"/>
        <c:auto val="1"/>
        <c:lblAlgn val="ctr"/>
        <c:lblOffset val="100"/>
        <c:noMultiLvlLbl val="0"/>
      </c:catAx>
      <c:valAx>
        <c:axId val="153702348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'Pivot Tabels'!$P$47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070C0">
                <a:alpha val="42000"/>
              </a:srgbClr>
            </a:solidFill>
            <a:ln w="19050">
              <a:solidFill>
                <a:srgbClr val="00B0F0"/>
              </a:solidFill>
            </a:ln>
            <a:effectLst/>
          </c:spPr>
          <c:cat>
            <c:strRef>
              <c:f>'Pivot Tabels'!$O$48:$O$59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Tabels'!$P$48:$P$59</c:f>
              <c:numCache>
                <c:formatCode>General</c:formatCode>
                <c:ptCount val="12"/>
                <c:pt idx="0">
                  <c:v>10298.843698810937</c:v>
                </c:pt>
                <c:pt idx="1">
                  <c:v>8348.3939479971978</c:v>
                </c:pt>
                <c:pt idx="2">
                  <c:v>8135.9652089775464</c:v>
                </c:pt>
                <c:pt idx="3">
                  <c:v>11159.142657517928</c:v>
                </c:pt>
                <c:pt idx="4">
                  <c:v>13964.966175967438</c:v>
                </c:pt>
                <c:pt idx="5">
                  <c:v>9121.7987391202514</c:v>
                </c:pt>
                <c:pt idx="6">
                  <c:v>9983.1744053668208</c:v>
                </c:pt>
                <c:pt idx="7">
                  <c:v>11640.425973006339</c:v>
                </c:pt>
                <c:pt idx="8">
                  <c:v>9152.3849951415796</c:v>
                </c:pt>
                <c:pt idx="9">
                  <c:v>9963.650652537659</c:v>
                </c:pt>
                <c:pt idx="10">
                  <c:v>10439.601481700076</c:v>
                </c:pt>
                <c:pt idx="11">
                  <c:v>11705.052218690978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5-7542-9C26-F306FFB016FA}"/>
            </c:ext>
          </c:extLst>
        </c:ser>
        <c:ser>
          <c:idx val="1"/>
          <c:order val="1"/>
          <c:tx>
            <c:strRef>
              <c:f>'Pivot Tabels'!$Q$47</c:f>
              <c:strCache>
                <c:ptCount val="1"/>
                <c:pt idx="0">
                  <c:v>OverHead Cost</c:v>
                </c:pt>
              </c:strCache>
            </c:strRef>
          </c:tx>
          <c:spPr>
            <a:solidFill>
              <a:srgbClr val="FF0000">
                <a:alpha val="42371"/>
              </a:srgbClr>
            </a:solidFill>
            <a:ln w="19050">
              <a:solidFill>
                <a:srgbClr val="FF0000"/>
              </a:solidFill>
              <a:prstDash val="lgDash"/>
            </a:ln>
            <a:effectLst/>
          </c:spPr>
          <c:cat>
            <c:strRef>
              <c:f>'Pivot Tabels'!$O$48:$O$59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Tabels'!$Q$48:$Q$59</c:f>
              <c:numCache>
                <c:formatCode>General</c:formatCode>
                <c:ptCount val="12"/>
                <c:pt idx="0">
                  <c:v>14263</c:v>
                </c:pt>
                <c:pt idx="1">
                  <c:v>9263</c:v>
                </c:pt>
                <c:pt idx="2">
                  <c:v>9263</c:v>
                </c:pt>
                <c:pt idx="3">
                  <c:v>9263</c:v>
                </c:pt>
                <c:pt idx="4">
                  <c:v>10263</c:v>
                </c:pt>
                <c:pt idx="5">
                  <c:v>9263</c:v>
                </c:pt>
                <c:pt idx="6">
                  <c:v>10263</c:v>
                </c:pt>
                <c:pt idx="7">
                  <c:v>9263</c:v>
                </c:pt>
                <c:pt idx="8">
                  <c:v>9263</c:v>
                </c:pt>
                <c:pt idx="9">
                  <c:v>10263</c:v>
                </c:pt>
                <c:pt idx="10">
                  <c:v>9263</c:v>
                </c:pt>
                <c:pt idx="11">
                  <c:v>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5-7542-9C26-F306FFB0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12527"/>
        <c:axId val="815657296"/>
      </c:areaChart>
      <c:catAx>
        <c:axId val="110012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57296"/>
        <c:crosses val="autoZero"/>
        <c:auto val="1"/>
        <c:lblAlgn val="ctr"/>
        <c:lblOffset val="100"/>
        <c:noMultiLvlLbl val="0"/>
      </c:catAx>
      <c:valAx>
        <c:axId val="815657296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2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716106648624525E-2"/>
          <c:y val="1.816019079905723E-2"/>
          <c:w val="0.95737385612082082"/>
          <c:h val="0.97580107828108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Tabels'!$B$42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Tabels'!$A$43:$A$54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Tabels'!$B$43:$B$54</c:f>
              <c:numCache>
                <c:formatCode>General</c:formatCode>
                <c:ptCount val="12"/>
                <c:pt idx="3" formatCode="#,##0">
                  <c:v>1896</c:v>
                </c:pt>
                <c:pt idx="4" formatCode="#,##0">
                  <c:v>3702</c:v>
                </c:pt>
                <c:pt idx="7" formatCode="#,##0">
                  <c:v>2377</c:v>
                </c:pt>
                <c:pt idx="10" formatCode="#,##0">
                  <c:v>1177</c:v>
                </c:pt>
                <c:pt idx="11" formatCode="#,##0">
                  <c:v>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8-6145-9035-49BE46608F00}"/>
            </c:ext>
          </c:extLst>
        </c:ser>
        <c:ser>
          <c:idx val="1"/>
          <c:order val="1"/>
          <c:tx>
            <c:strRef>
              <c:f>'Pivot Tabels'!$C$42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Tabels'!$A$43:$A$54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Tabels'!$C$43:$C$54</c:f>
              <c:numCache>
                <c:formatCode>General</c:formatCode>
                <c:ptCount val="12"/>
                <c:pt idx="0" formatCode="#,##0">
                  <c:v>-3964</c:v>
                </c:pt>
                <c:pt idx="1">
                  <c:v>-915</c:v>
                </c:pt>
                <c:pt idx="2" formatCode="#,##0">
                  <c:v>-1127</c:v>
                </c:pt>
                <c:pt idx="5">
                  <c:v>-141</c:v>
                </c:pt>
                <c:pt idx="6">
                  <c:v>-280</c:v>
                </c:pt>
                <c:pt idx="8">
                  <c:v>-111</c:v>
                </c:pt>
                <c:pt idx="9">
                  <c:v>-299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8-6145-9035-49BE46608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24991727"/>
        <c:axId val="669747728"/>
      </c:barChart>
      <c:catAx>
        <c:axId val="224991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747728"/>
        <c:crosses val="autoZero"/>
        <c:auto val="1"/>
        <c:lblAlgn val="ctr"/>
        <c:lblOffset val="100"/>
        <c:noMultiLvlLbl val="0"/>
      </c:catAx>
      <c:valAx>
        <c:axId val="66974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9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0AA670AB-79F7-C94D-B7F0-3BE6A08D8427}"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 max="150000" min="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311150</xdr:colOff>
      <xdr:row>12</xdr:row>
      <xdr:rowOff>44450</xdr:rowOff>
    </xdr:from>
    <xdr:to>
      <xdr:col>31</xdr:col>
      <xdr:colOff>171450</xdr:colOff>
      <xdr:row>26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B5A23D-F46B-40B8-3F33-65755BC5F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438150</xdr:colOff>
      <xdr:row>30</xdr:row>
      <xdr:rowOff>25400</xdr:rowOff>
    </xdr:from>
    <xdr:to>
      <xdr:col>25</xdr:col>
      <xdr:colOff>584200</xdr:colOff>
      <xdr:row>44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5D61C66-5951-55B9-AB83-AC3A7B7A3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51950" y="5740400"/>
              <a:ext cx="8502650" cy="282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1158596</xdr:colOff>
      <xdr:row>39</xdr:row>
      <xdr:rowOff>133685</xdr:rowOff>
    </xdr:from>
    <xdr:to>
      <xdr:col>32</xdr:col>
      <xdr:colOff>423333</xdr:colOff>
      <xdr:row>70</xdr:row>
      <xdr:rowOff>133684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8096B1-3646-4878-DA4A-5983920D8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98598</xdr:colOff>
      <xdr:row>58</xdr:row>
      <xdr:rowOff>29619</xdr:rowOff>
    </xdr:from>
    <xdr:to>
      <xdr:col>10</xdr:col>
      <xdr:colOff>1202575</xdr:colOff>
      <xdr:row>114</xdr:row>
      <xdr:rowOff>42615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3F186E-3DF2-B83E-8FC6-F9E105726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lan Szuch" refreshedDate="46097.807791319443" createdVersion="8" refreshedVersion="8" minRefreshableVersion="3" recordCount="366" xr:uid="{A5AD5A12-14F3-454D-AD56-A70CE7A977C6}">
  <cacheSource type="worksheet">
    <worksheetSource ref="E7:AN373" sheet="Landing Sheet"/>
  </cacheSource>
  <cacheFields count="36">
    <cacheField name="Dayo Week Name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o Year" numFmtId="0">
      <sharedItems containsSemiMixedTypes="0" containsString="0" containsNumber="1" containsInteger="1" minValue="1" maxValue="52"/>
    </cacheField>
    <cacheField name="Month #" numFmtId="0">
      <sharedItems containsSemiMixedTypes="0" containsString="0" containsNumber="1" containsInteger="1" minValue="1" maxValue="12"/>
    </cacheField>
    <cacheField name="Month 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Foot Traffic (customers per day)" numFmtId="1">
      <sharedItems containsSemiMixedTypes="0" containsString="0" containsNumber="1" minValue="4.4856799279615597E-2" maxValue="40.943289025514304"/>
    </cacheField>
    <cacheField name="Spend per Customer" numFmtId="1">
      <sharedItems containsSemiMixedTypes="0" containsString="0" containsNumber="1" minValue="1.1521835129324378" maxValue="175.65860274351772"/>
    </cacheField>
    <cacheField name="Total Revenue" numFmtId="1">
      <sharedItems containsSemiMixedTypes="0" containsString="0" containsNumber="1" minValue="2.9383006632910829" maxValue="4486.4679139741193" count="366">
        <n v="1153.4841549114219"/>
        <n v="209.01897938076326"/>
        <n v="97.654761928569997"/>
        <n v="331.77001879896335"/>
        <n v="297.64550708923201"/>
        <n v="276.01501312199832"/>
        <n v="249.50057554011096"/>
        <n v="294.30304821596513"/>
        <n v="120.69702173676109"/>
        <n v="440.11040986665722"/>
        <n v="780.5203556386524"/>
        <n v="60.754349399945326"/>
        <n v="724.01460204890816"/>
        <n v="427.22754516374573"/>
        <n v="642.84087442274961"/>
        <n v="27.861863063594647"/>
        <n v="169.63946864891824"/>
        <n v="452.37881038168189"/>
        <n v="232.41982375274139"/>
        <n v="821.77030551783332"/>
        <n v="1168.7731832466875"/>
        <n v="696.76145603560383"/>
        <n v="229.47290967632389"/>
        <n v="554.83135466598753"/>
        <n v="1562.6580835309717"/>
        <n v="1091.3080907574943"/>
        <n v="410.53331912361551"/>
        <n v="840.59751882057549"/>
        <n v="1034.3458895651315"/>
        <n v="184.37965869117045"/>
        <n v="282.22333917382116"/>
        <n v="740.24147008796592"/>
        <n v="1684.2471364986131"/>
        <n v="387.20229725699147"/>
        <n v="824.06679919786245"/>
        <n v="142.77525242290707"/>
        <n v="536.40605642364062"/>
        <n v="615.80938202289792"/>
        <n v="1721.3538242635959"/>
        <n v="2081.0180136744734"/>
        <n v="1930.0777972580602"/>
        <n v="2093.3514060904472"/>
        <n v="1737.9449855301193"/>
        <n v="629.70520340523058"/>
        <n v="789.82654504980303"/>
        <n v="684.81303295937562"/>
        <n v="1913.2659689276902"/>
        <n v="3665.5710224932795"/>
        <n v="4486.4679139741193"/>
        <n v="1529.3831649290069"/>
        <n v="405.67573215835364"/>
        <n v="2540.1804880130958"/>
        <n v="1322.5827706265814"/>
        <n v="2865.426776427546"/>
        <n v="3324.0646363363089"/>
        <n v="1038.6584542848339"/>
        <n v="1848.0229204801869"/>
        <n v="493.23728983616058"/>
        <n v="1806.5226780656483"/>
        <n v="2722.1026716237366"/>
        <n v="1594.8728925857574"/>
        <n v="1679.8052480590602"/>
        <n v="1064.4959426855087"/>
        <n v="351.93446854166319"/>
        <n v="180.21189564773181"/>
        <n v="1126.605143355672"/>
        <n v="2278.5052658636437"/>
        <n v="1108.4606237510147"/>
        <n v="1531.8432231805284"/>
        <n v="1718.9456161820763"/>
        <n v="36.040427365534093"/>
        <n v="344.80625049992096"/>
        <n v="1134.4241542800473"/>
        <n v="2462.3898256872089"/>
        <n v="635.22534778651368"/>
        <n v="1608.8486516736743"/>
        <n v="468.90809338380501"/>
        <n v="130.50459091843595"/>
        <n v="247.61985229318415"/>
        <n v="1563.5819014064953"/>
        <n v="947.42295784749592"/>
        <n v="211.16483936618246"/>
        <n v="424.13706611225439"/>
        <n v="1096.9587173677066"/>
        <n v="804.63390941933801"/>
        <n v="33.613264743328109"/>
        <n v="753.91292578793866"/>
        <n v="823.40049621598132"/>
        <n v="282.77883964414997"/>
        <n v="104.60443435420601"/>
        <n v="1432.5187520017689"/>
        <n v="1774.5647686041882"/>
        <n v="231.3523718477982"/>
        <n v="1262.1461596313984"/>
        <n v="1910.2979424339869"/>
        <n v="516.74778074562846"/>
        <n v="1396.888724882258"/>
        <n v="1837.9416313732636"/>
        <n v="301.54868968204897"/>
        <n v="318.96960224103844"/>
        <n v="1115.6731839916902"/>
        <n v="436.14409731726346"/>
        <n v="921.04597221574534"/>
        <n v="1224.6087487004656"/>
        <n v="160.65569506012002"/>
        <n v="1510.5157275705567"/>
        <n v="344.38026503037469"/>
        <n v="9.7540675659017104"/>
        <n v="1754.0197700619442"/>
        <n v="3182.0461293416765"/>
        <n v="1033.2786731715792"/>
        <n v="1299.9500846829476"/>
        <n v="2921.2882558193887"/>
        <n v="157.47985257519275"/>
        <n v="2208.91919781465"/>
        <n v="3019.5828190056286"/>
        <n v="1827.8378925280206"/>
        <n v="1188.9425383454366"/>
        <n v="3112.6550045917224"/>
        <n v="172.49788700149958"/>
        <n v="782.28705705044649"/>
        <n v="2179.3108304652451"/>
        <n v="2547.8486872677768"/>
        <n v="3636.9283518543384"/>
        <n v="2117.5863436319969"/>
        <n v="1492.1645724164491"/>
        <n v="1253.242271657303"/>
        <n v="564.5166994075438"/>
        <n v="1093.2358739122599"/>
        <n v="1818.9775604377126"/>
        <n v="3258.8750033093388"/>
        <n v="1043.0107152329826"/>
        <n v="1526.5457470068288"/>
        <n v="3667.3118890707337"/>
        <n v="133.09238453263399"/>
        <n v="1449.7013836298104"/>
        <n v="3126.6301090887323"/>
        <n v="2565.3691938801931"/>
        <n v="3043.8371859517824"/>
        <n v="1361.9594890514461"/>
        <n v="2016.9943276425881"/>
        <n v="66.686030006902783"/>
        <n v="1034.7938365314865"/>
        <n v="1043.8375326828063"/>
        <n v="1627.8781622912445"/>
        <n v="451.58054871023546"/>
        <n v="1555.3022879292869"/>
        <n v="779.30960934585039"/>
        <n v="98.642076004814299"/>
        <n v="15.476603647651851"/>
        <n v="1041.210497748895"/>
        <n v="1234.7474940354828"/>
        <n v="1480.1371691157981"/>
        <n v="1836.7259374043763"/>
        <n v="982.53946404016745"/>
        <n v="153.38152443409757"/>
        <n v="308.8556165597339"/>
        <n v="982.70549417574296"/>
        <n v="74.217907478101836"/>
        <n v="928.47871675251304"/>
        <n v="559.23306113087585"/>
        <n v="615.23814963527445"/>
        <n v="15.346773396838438"/>
        <n v="1808.1178636656073"/>
        <n v="911.78113944346137"/>
        <n v="114.53454608110268"/>
        <n v="77.478790654214876"/>
        <n v="1199.3755328710777"/>
        <n v="596.3309864487004"/>
        <n v="41.70849787545373"/>
        <n v="1171.2388543241964"/>
        <n v="154.83426082955563"/>
        <n v="1945.7085933528808"/>
        <n v="747.88993973982235"/>
        <n v="1106.6541439615914"/>
        <n v="1431.3270995974474"/>
        <n v="64.019453389748108"/>
        <n v="1529.0304830978362"/>
        <n v="1298.1125938868843"/>
        <n v="719.8272203777334"/>
        <n v="2.9383006632910829"/>
        <n v="428.46078439081498"/>
        <n v="672.17484715270132"/>
        <n v="171.34610409024197"/>
        <n v="435.83873490958092"/>
        <n v="347.47285212500395"/>
        <n v="846.08795941790845"/>
        <n v="1160.5360890217112"/>
        <n v="685.11043919242616"/>
        <n v="1566.5263352815346"/>
        <n v="168.80768137806533"/>
        <n v="485.75822050615062"/>
        <n v="488.83961963317927"/>
        <n v="410.04339388499653"/>
        <n v="1429.170273279537"/>
        <n v="1382.0012163347624"/>
        <n v="424.19732341907286"/>
        <n v="293.8438495676279"/>
        <n v="1348.6929971030959"/>
        <n v="603.13558110476072"/>
        <n v="209.87462859860702"/>
        <n v="99.680715031222505"/>
        <n v="923.20568078736562"/>
        <n v="664.48906889603779"/>
        <n v="30.423150298189043"/>
        <n v="578.45343336886151"/>
        <n v="286.9439497146671"/>
        <n v="688.61138231378709"/>
        <n v="145.77508076269908"/>
        <n v="1833.6198347416309"/>
        <n v="876.58553257138067"/>
        <n v="345.38538969524717"/>
        <n v="940.9579790539093"/>
        <n v="1030.2737652690862"/>
        <n v="282.9533743544178"/>
        <n v="611.08512812886488"/>
        <n v="760.20704343008731"/>
        <n v="492.38126637802804"/>
        <n v="116.09572551567813"/>
        <n v="1920.9502479288142"/>
        <n v="924.50129790320682"/>
        <n v="466.71900832366367"/>
        <n v="1872.2251369352223"/>
        <n v="1212.0461520589085"/>
        <n v="722.61445970571503"/>
        <n v="258.28552937252419"/>
        <n v="715.31673979471623"/>
        <n v="1812.1910642790131"/>
        <n v="1586.0842371077861"/>
        <n v="1245.7766363446099"/>
        <n v="14.710071883589677"/>
        <n v="2111.1037376881382"/>
        <n v="5.6535442268513272"/>
        <n v="310.88181441445289"/>
        <n v="245.0601231455957"/>
        <n v="1781.2702098215789"/>
        <n v="258.85329844612761"/>
        <n v="1968.8551521364436"/>
        <n v="30.242123091534637"/>
        <n v="152.55713885239999"/>
        <n v="1592.8722527015448"/>
        <n v="134.8794316384548"/>
        <n v="1035.8212674468757"/>
        <n v="1256.9956055980249"/>
        <n v="647.14026115441254"/>
        <n v="1231.5290726958353"/>
        <n v="179.43367061983309"/>
        <n v="1208.9237474250037"/>
        <n v="996.9123453651498"/>
        <n v="645.18043434070898"/>
        <n v="951.10054910737983"/>
        <n v="927.99429829711005"/>
        <n v="258.31933999667712"/>
        <n v="454.13990854934707"/>
        <n v="606.70756181332217"/>
        <n v="85.002834518304979"/>
        <n v="258.31212389761339"/>
        <n v="1316.9859885468916"/>
        <n v="411.15152644601261"/>
        <n v="1482.977578184338"/>
        <n v="330.39032172360839"/>
        <n v="1254.6400834877368"/>
        <n v="273.40999294377718"/>
        <n v="361.67407048096032"/>
        <n v="737.16143891280603"/>
        <n v="1457.9841475264857"/>
        <n v="292.71598824367464"/>
        <n v="39.940076736920325"/>
        <n v="69.926429601714787"/>
        <n v="1466.1024410813197"/>
        <n v="1480.8925182786845"/>
        <n v="1549.0517758058531"/>
        <n v="1839.8512017043661"/>
        <n v="2019.3772890930502"/>
        <n v="44.338931968080601"/>
        <n v="967.62281324747335"/>
        <n v="190.09403355270564"/>
        <n v="1066.1381382967049"/>
        <n v="668.4845881309617"/>
        <n v="1493.2844080472055"/>
        <n v="607.23633661693998"/>
        <n v="322.54973346699643"/>
        <n v="347.94203267080252"/>
        <n v="587.00483930463292"/>
        <n v="386.95531070205493"/>
        <n v="1101.5062989626661"/>
        <n v="1131.1450299609485"/>
        <n v="698.8925793267864"/>
        <n v="198.89919439865412"/>
        <n v="958.54063525455877"/>
        <n v="506.11625263468636"/>
        <n v="2061.296251026929"/>
        <n v="1083.2396575102728"/>
        <n v="666.52765759649651"/>
        <n v="627.65752677567639"/>
        <n v="136.97976016578366"/>
        <n v="208.64164526328909"/>
        <n v="207.2513331435361"/>
        <n v="747.57137127569706"/>
        <n v="688.13507057821914"/>
        <n v="273.67257638704359"/>
        <n v="214.55640353738602"/>
        <n v="77.089113969687276"/>
        <n v="183.16905023955488"/>
        <n v="102.44748733979866"/>
        <n v="627.50676379240986"/>
        <n v="61.174300060239965"/>
        <n v="457.49613466937546"/>
        <n v="1647.5179473880723"/>
        <n v="194.80250410900288"/>
        <n v="466.85516739100041"/>
        <n v="683.87716724011614"/>
        <n v="178.78318273997098"/>
        <n v="1242.7653121753071"/>
        <n v="570.3858073303976"/>
        <n v="511.2303298245721"/>
        <n v="139.07150238108218"/>
        <n v="350.38909072676358"/>
        <n v="268.65040897903776"/>
        <n v="763.27579196542729"/>
        <n v="456.62579661129899"/>
        <n v="582.96424175432799"/>
        <n v="514.09279571820286"/>
        <n v="102.68705457328259"/>
        <n v="944.16133501118964"/>
        <n v="183.64754602669785"/>
        <n v="1176.8365557193538"/>
        <n v="1059.7988023334515"/>
        <n v="1385.8515727734195"/>
        <n v="1921.1160733267498"/>
        <n v="285.28650871624689"/>
        <n v="1778.191140068677"/>
        <n v="492.01125239770363"/>
        <n v="2012.5344993604513"/>
        <n v="1123.6100291888781"/>
        <n v="720.64317603122367"/>
        <n v="188.01090262632951"/>
        <n v="80.293661854186638"/>
        <n v="1531.4189332142591"/>
        <n v="389.75776130400516"/>
        <n v="486.13369309604417"/>
        <n v="823.94689951154328"/>
        <n v="2249.5932533720679"/>
        <n v="1392.6670860009613"/>
        <n v="278.34882480079949"/>
        <n v="1766.4250499430955"/>
        <n v="1226.8517939757003"/>
        <n v="1821.8335381997326"/>
        <n v="2429.8588388095332"/>
        <n v="137.19198643233787"/>
        <n v="2344.5292197554963"/>
        <n v="87.344425252256073"/>
        <n v="194.45230250424123"/>
        <n v="2700"/>
        <n v="983.62370130733382"/>
        <n v="174.50559838650236"/>
        <n v="1453.6221146696992"/>
        <n v="2038.786707236836"/>
        <n v="20.177772371708798"/>
        <n v="521.65425050804868"/>
        <n v="1008.6908628170212"/>
        <n v="782.31620048784487"/>
        <n v="1156.9847577551634"/>
        <n v="718.55253786003436"/>
        <n v="353.2591461031891"/>
        <n v="382.2492073337753"/>
      </sharedItems>
    </cacheField>
    <cacheField name="Daily COGS" numFmtId="2">
      <sharedItems containsSemiMixedTypes="0" containsString="0" containsNumber="1" minValue="8.1701012137102416E-2" maxValue="1.2314755177723093"/>
    </cacheField>
    <cacheField name="COGS" numFmtId="1">
      <sharedItems containsSemiMixedTypes="0" containsString="0" containsNumber="1" minValue="1.6810570753083929" maxValue="4766.3413648150326"/>
    </cacheField>
    <cacheField name="Gross Margin" numFmtId="1">
      <sharedItems containsSemiMixedTypes="0" containsString="0" containsNumber="1" minValue="-630.10012534349107" maxValue="2186.6537107779614"/>
    </cacheField>
    <cacheField name="buy online" numFmtId="1">
      <sharedItems containsSemiMixedTypes="0" containsString="0" containsNumber="1" minValue="7.7931436843644502" maxValue="133.59858316575045"/>
    </cacheField>
    <cacheField name="Stems discard" numFmtId="1">
      <sharedItems containsSemiMixedTypes="0" containsString="0" containsNumber="1" minValue="1.2690280814105592" maxValue="55.139460139137896"/>
    </cacheField>
    <cacheField name="Wages paied by day" numFmtId="1">
      <sharedItems containsSemiMixedTypes="0" containsString="0" containsNumber="1" minValue="12.987012987012987" maxValue="28.571428571428573"/>
    </cacheField>
    <cacheField name="Online Orders" numFmtId="1">
      <sharedItems containsSemiMixedTypes="0" containsString="0" containsNumber="1" minValue="10.380312431642672" maxValue="101.17630685040331"/>
    </cacheField>
    <cacheField name="Delvery Total rev" numFmtId="1">
      <sharedItems containsSemiMixedTypes="0" containsString="0" containsNumber="1" minValue="2.0568104643037577" maxValue="3140.5275397818832"/>
    </cacheField>
    <cacheField name="Delevry orders" numFmtId="1">
      <sharedItems containsSemiMixedTypes="0" containsString="0" containsNumber="1" minValue="0.80652845905270643" maxValue="122.9610219204624"/>
    </cacheField>
    <cacheField name="Peps in door" numFmtId="1">
      <sharedItems containsSemiMixedTypes="0" containsString="0" containsNumber="1" minValue="11.569493560461435" maxValue="102.78108609286895"/>
    </cacheField>
    <cacheField name="Online delevery" numFmtId="2">
      <sharedItems containsSemiMixedTypes="0" containsString="0" containsNumber="1" minValue="0.31954165502752629" maxValue="24.434331729582798"/>
    </cacheField>
    <cacheField name="Conversion Rate" numFmtId="2">
      <sharedItems containsSemiMixedTypes="0" containsString="0" containsNumber="1" minValue="1.4443890727932243E-3" maxValue="1.2179550343977168"/>
    </cacheField>
    <cacheField name="Avg Delevry cost %" numFmtId="2">
      <sharedItems containsSemiMixedTypes="0" containsString="0" containsNumber="1" minValue="0.11671573162443202" maxValue="1.7592507396747277"/>
    </cacheField>
    <cacheField name="Delevery percentage" numFmtId="2">
      <sharedItems containsSemiMixedTypes="0" containsString="0" containsNumber="1" minValue="9.7827800691049145E-4" maxValue="15.829727621045526" count="366">
        <n v="0.41242123192018137"/>
        <n v="0.21803926234978269"/>
        <n v="1.7537857029680457"/>
        <n v="0.63823233242184008"/>
        <n v="0.2924631064021766"/>
        <n v="0.4446022340874507"/>
        <n v="0.18848836927089369"/>
        <n v="0.45650294578429407"/>
        <n v="0.36947518817825198"/>
        <n v="0.24689805650961946"/>
        <n v="0.60257983864907239"/>
        <n v="0.16333890460806688"/>
        <n v="0.36979263364708342"/>
        <n v="0.42271174961392366"/>
        <n v="0.36225055919218629"/>
        <n v="0.89527536363445537"/>
        <n v="0.66596964975857331"/>
        <n v="0.38199675698007068"/>
        <n v="0.42240778093132864"/>
        <n v="0.36928326164625541"/>
        <n v="0.32561575346969063"/>
        <n v="0.39568585394992956"/>
        <n v="0.38825500187597184"/>
        <n v="0.33387160013716449"/>
        <n v="0.16149675128326066"/>
        <n v="0.31599099252504109"/>
        <n v="0.23856026667820698"/>
        <n v="0.46314890047512119"/>
        <n v="0.16622585943560708"/>
        <n v="0.42112994567649858"/>
        <n v="0.38886718995061814"/>
        <n v="0.40731303409731845"/>
        <n v="0.64972589930722924"/>
        <n v="0.55357530503941699"/>
        <n v="0.2112879772027231"/>
        <n v="0.22916943462114178"/>
        <n v="0.46395143091740393"/>
        <n v="0.2841813192189101"/>
        <n v="0.11953527694321302"/>
        <n v="0.39113626304480831"/>
        <n v="0.53658467219291905"/>
        <n v="0.43944866573044056"/>
        <n v="0.20006666348081595"/>
        <n v="0.23561313597761815"/>
        <n v="1.8232374852770561"/>
        <n v="6.7473130424522715E-2"/>
        <n v="0.44131826630034654"/>
        <n v="0.16970895171171321"/>
        <n v="0.37738587419227515"/>
        <n v="0.46427194194743104"/>
        <n v="0.13108071693159018"/>
        <n v="0.22010895211930617"/>
        <n v="0.11234720226453512"/>
        <n v="0.37479937060486057"/>
        <n v="0.57783907614855279"/>
        <n v="6.5021785697575704E-2"/>
        <n v="0.31215686561275208"/>
        <n v="0.43236506987999018"/>
        <n v="0.68267555890427112"/>
        <n v="0.68304535756107199"/>
        <n v="0.25753306300956175"/>
        <n v="0.16681042151744016"/>
        <n v="0.87661179479873375"/>
        <n v="1.6618151474904692"/>
        <n v="0.38881066245979118"/>
        <n v="0.35298996376877212"/>
        <n v="0.77992305589100897"/>
        <n v="0.53838092441566965"/>
        <n v="0.21001265870615804"/>
        <n v="0.56355368540537532"/>
        <n v="0.90027235238041092"/>
        <n v="0.40579132959805575"/>
        <n v="0.31263085396254686"/>
        <n v="0.28361888393098372"/>
        <n v="0.36488557175836955"/>
        <n v="0.2553097576027113"/>
        <n v="1.014893415934405"/>
        <n v="8.1038230228380401E-2"/>
        <n v="0.19062963923384427"/>
        <n v="0.25938866450589043"/>
        <n v="0.25034392357635499"/>
        <n v="0.12762974245451281"/>
        <n v="1.5937836610113718"/>
        <n v="0.63594377152737569"/>
        <n v="0.57788185447507157"/>
        <n v="0.32356780421650577"/>
        <n v="0.67742384432741642"/>
        <n v="0.56119815044688237"/>
        <n v="2.026284203589888"/>
        <n v="2.1102066254650158E-2"/>
        <n v="0.18356601438930126"/>
        <n v="0.21692845991345344"/>
        <n v="1.0098438584044831"/>
        <n v="0.40984103901019175"/>
        <n v="0.23298052760711396"/>
        <n v="0.55079814555460427"/>
        <n v="0.39785319483828918"/>
        <n v="0.52171299588980369"/>
        <n v="0.82583216834384032"/>
        <n v="0.35691122793644792"/>
        <n v="0.44055412539030342"/>
        <n v="0.15165564906353449"/>
        <n v="0.3188374664703813"/>
        <n v="0.69811220134415919"/>
        <n v="6.1537257098120988E-2"/>
        <n v="0.56526315026393303"/>
        <n v="0.28166565553453443"/>
        <n v="4.1863689080129931E-3"/>
        <n v="0.15376476107381509"/>
        <n v="0.20797487868557557"/>
        <n v="0.60532670316484272"/>
        <n v="0.25660277073362336"/>
        <n v="0.35284754194730289"/>
        <n v="5.4219201608406882E-2"/>
        <n v="0.19379175653529063"/>
        <n v="0.35335826704436962"/>
        <n v="1.1145585505413951"/>
        <n v="0.12805572701092641"/>
        <n v="0.76937208806991364"/>
        <n v="9.1351029466542513E-2"/>
        <n v="0.37908412576997785"/>
        <n v="0.85815116011594939"/>
        <n v="0.41476451653545771"/>
        <n v="0.43882527395014082"/>
        <n v="0.38908092143073203"/>
        <n v="1.0355252095125451"/>
        <n v="0.50894547658555456"/>
        <n v="0.34367270277961398"/>
        <n v="0.33791949818536315"/>
        <n v="0.35663049179831707"/>
        <n v="0.32539427113686581"/>
        <n v="0.63856808499224682"/>
        <n v="0.52037683139941415"/>
        <n v="0.44622352356422507"/>
        <n v="1.1528360500889987"/>
        <n v="0.52025618814181962"/>
        <n v="0.49056778783264959"/>
        <n v="0.46171089323752673"/>
        <n v="0.21419036086861989"/>
        <n v="0.85661183373910132"/>
        <n v="0.49610510734581581"/>
        <n v="7.1365327465394118E-2"/>
        <n v="0.20109766476359595"/>
        <n v="0.39875599925340016"/>
        <n v="0.21074261242615902"/>
        <n v="0.64006595546761336"/>
        <n v="0.4673718803275812"/>
        <n v="0.20779920360120147"/>
        <n v="0.30699637279697384"/>
        <n v="4.6803443120722E-3"/>
        <n v="0.59332057537039939"/>
        <n v="0.57319870887197966"/>
        <n v="0.47403957551472414"/>
        <n v="0.28146697183873537"/>
        <n v="0.80586958947771925"/>
        <n v="0.28072986623574775"/>
        <n v="1.4303792971650853"/>
        <n v="0.18941797736705662"/>
        <n v="2.027917458066902E-2"/>
        <n v="0.5934069023723183"/>
        <n v="0.78186987798658836"/>
        <n v="0.15984415996098747"/>
        <n v="2.9419906014880928"/>
        <n v="0.21238167035303851"/>
        <n v="0.27195746687103151"/>
        <n v="4.5125346233246235"/>
        <n v="5.2945447237077344E-2"/>
        <n v="0.40564798037384647"/>
        <n v="0.30488824890131683"/>
        <n v="5.6476723560251386E-2"/>
        <n v="0.35991013969082913"/>
        <n v="0.10680874325473699"/>
        <n v="0.22552625417694178"/>
        <n v="0.72379404815137072"/>
        <n v="0.26196839469384686"/>
        <n v="0.19098885182970807"/>
        <n v="1.6898573070962968"/>
        <n v="0.3224808805538712"/>
        <n v="0.36196127891146629"/>
        <n v="0.38100190925212063"/>
        <n v="9.7827800691049145E-4"/>
        <n v="5.4811094205178885E-2"/>
        <n v="0.76534946807624804"/>
        <n v="0.8333589171497644"/>
        <n v="1.3037937383652864"/>
        <n v="1.1642566108383634"/>
        <n v="0.61293257497003628"/>
        <n v="0.19165565096555248"/>
        <n v="0.5712071399332066"/>
        <n v="0.43313900186767118"/>
        <n v="0.2221513196234203"/>
        <n v="0.22384071365810873"/>
        <n v="0.33425964084158638"/>
        <n v="0.23093923744757247"/>
        <n v="0.55702736045175261"/>
        <n v="0.57806588576110773"/>
        <n v="0.13463269064179903"/>
        <n v="0.34528544299849145"/>
        <n v="0.25722254085149499"/>
        <n v="0.26224529947257719"/>
        <n v="0.20035448223412144"/>
        <n v="0.49404005279982294"/>
        <n v="0.1705529278231156"/>
        <n v="0.26114263900005918"/>
        <n v="0.68879345936559255"/>
        <n v="0.7559920357853146"/>
        <n v="0.35085569428788976"/>
        <n v="0.52024016457725331"/>
        <n v="2.3436996055467594"/>
        <n v="0.44793979844055526"/>
        <n v="0.23945859596078672"/>
        <n v="0.45478302599252252"/>
        <n v="0.51056101922266417"/>
        <n v="0.68021642934765136"/>
        <n v="0.48732678835329063"/>
        <n v="0.32085860090066914"/>
        <n v="0.34156730261019619"/>
        <n v="0.84676717685169678"/>
        <n v="0.87132967965572805"/>
        <n v="0.29165658563116431"/>
        <n v="0.20514830821260213"/>
        <n v="1.5830638424312078"/>
        <n v="0.40862636746371006"/>
        <n v="0.86977780486012835"/>
        <n v="1.2288905632283431"/>
        <n v="0.72884737968803692"/>
        <n v="0.17270278785623092"/>
        <n v="0.30255445940719383"/>
        <n v="0.22747659044404783"/>
        <n v="0.46608757493769587"/>
        <n v="15.829727621045526"/>
        <n v="0.28123240690221352"/>
        <n v="6.764916603284047E-3"/>
        <n v="0.75240430330423846"/>
        <n v="0.70026504154270008"/>
        <n v="0.53121518496919939"/>
        <n v="0.39499399024688997"/>
        <n v="0.39669032980292285"/>
        <n v="6.1611858899794889"/>
        <n v="5.7613912086767326E-2"/>
        <n v="0.43080722222369472"/>
        <n v="0.79289679033210059"/>
        <n v="1.0037839960487924"/>
        <n v="0.4206510881798653"/>
        <n v="0.18922854310786022"/>
        <n v="0.35054584675349959"/>
        <n v="0.41975230424188431"/>
        <n v="0.63120776580267712"/>
        <n v="0.26244137949156127"/>
        <n v="0.18195267864728285"/>
        <n v="0.28116168721588453"/>
        <n v="1.3901459013341071"/>
        <n v="1.3225726161330489"/>
        <n v="0.31551114728726348"/>
        <n v="4.8483645707536514E-2"/>
        <n v="2.5433676267547174E-2"/>
        <n v="0.2796953467297808"/>
        <n v="0.22720450063556827"/>
        <n v="0.60486399183232264"/>
        <n v="0.63210370982178854"/>
        <n v="0.2351832167978036"/>
        <n v="0.27417261083241445"/>
        <n v="0.29771259400486333"/>
        <n v="0.43046076489466084"/>
        <n v="0.25198392389492386"/>
        <n v="0.81129891288558909"/>
        <n v="0.39774061490988238"/>
        <n v="0.23476906958535793"/>
        <n v="5.5209656755050747E-2"/>
        <n v="0.51823118443058613"/>
        <n v="0.47422186239945968"/>
        <n v="0.62811029331085222"/>
        <n v="0.46373290484156915"/>
        <n v="0.28830099900999129"/>
        <n v="0.84177499540252598"/>
        <n v="0.28752465271361155"/>
        <n v="0.36380950165593778"/>
        <n v="0.3148731478871386"/>
        <n v="0.55066757504249597"/>
        <n v="0.27320705741046569"/>
        <n v="0.53852976951785347"/>
        <n v="0.18774283591828991"/>
        <n v="0.52786534339078084"/>
        <n v="0.14922016640489644"/>
        <n v="0.80849715062827232"/>
        <n v="0.40766965328481636"/>
        <n v="0.48487101605374622"/>
        <n v="0.17969528854277694"/>
        <n v="0.58557981539928539"/>
        <n v="0.14961949202594241"/>
        <n v="0.50560213500246654"/>
        <n v="0.24781509477292829"/>
        <n v="0.7793938651551191"/>
        <n v="0.78322667492967657"/>
        <n v="0.46444735630335776"/>
        <n v="0.36236137811690711"/>
        <n v="0.82369619933260152"/>
        <n v="0.24657139643802703"/>
        <n v="0.24506753835456832"/>
        <n v="0.81566927453364446"/>
        <n v="0.34740160825213345"/>
        <n v="0.24768830489161905"/>
        <n v="0.36833318532757803"/>
        <n v="1.9921836431324667"/>
        <n v="0.53452087894142708"/>
        <n v="0.32693398077079905"/>
        <n v="5.0386819130797358"/>
        <n v="0.19115947740579434"/>
        <n v="0.37987498519272112"/>
        <n v="0.25515534409554447"/>
        <n v="0.44370139079282328"/>
        <n v="0.24879115335092644"/>
        <n v="2.505121100320963"/>
        <n v="0.46577738065003205"/>
        <n v="0.63404157948019069"/>
        <n v="0.22654662768629047"/>
        <n v="0.2971462415962175"/>
        <n v="0.89449789437046112"/>
        <n v="0.28740415883858544"/>
        <n v="0.36915915211345118"/>
        <n v="0.12679754375364596"/>
        <n v="0.75299612428615803"/>
        <n v="1.2393372866288719"/>
        <n v="0.20705162122958565"/>
        <n v="0.96998606999154091"/>
        <n v="4.5697164845745251"/>
        <n v="0.19873719433785272"/>
        <n v="0.57439926267137753"/>
        <n v="0.48450268861611978"/>
        <n v="0.2932511275731351"/>
        <n v="0.427537951088928"/>
        <n v="0.48795700568844341"/>
        <n v="0.48916209384407572"/>
        <n v="0.18372848172438319"/>
        <n v="0.21588848856871254"/>
        <n v="0.13613670047176163"/>
        <n v="0.51297609986057735"/>
        <n v="0.17269614981669631"/>
        <n v="0.30808247515248444"/>
        <n v="1.1430030483712952"/>
        <n v="0.10989501509425605"/>
        <n v="0.57994170600811912"/>
        <n v="0.37703621884490957"/>
        <n v="0.1788619477712951"/>
        <n v="0.23570769989195217"/>
        <n v="0.44932830531395973"/>
        <n v="0.27920224731513066"/>
        <n v="0.75063491858644138"/>
        <n v="0.13692914067898226"/>
        <n v="5.9068381568330122E-2"/>
        <n v="0.64578362980795634"/>
        <n v="0.66940138720829334"/>
        <n v="0.34155104336124853"/>
        <n v="0.63818201117432583"/>
        <n v="0.15305119709557691"/>
        <n v="3.3794730685771777"/>
        <n v="0.72028194107506294"/>
        <n v="0.40102356610045614"/>
        <n v="0.17872949433393748"/>
        <n v="5.9830768538064516E-2"/>
        <n v="0.22689296550936403"/>
        <n v="0.53113144224483544"/>
        <n v="0.51342172438233236"/>
        <n v="0.90940769800286547"/>
        <n v="0.1658383653082614"/>
        <n v="0.69213125644684181"/>
      </sharedItems>
    </cacheField>
    <cacheField name="percent of wage per hr " numFmtId="2">
      <sharedItems containsSemiMixedTypes="0" containsString="0" containsNumber="1" minValue="2.894707648874964E-3" maxValue="5.0537198304259281"/>
    </cacheField>
    <cacheField name="Average Delevery value per Order " numFmtId="1">
      <sharedItems containsSemiMixedTypes="0" containsString="0" containsNumber="1" minValue="0.80652845905270643" maxValue="122.9610219204624"/>
    </cacheField>
    <cacheField name="Dollar wasted oer stem discarded" numFmtId="2">
      <sharedItems containsSemiMixedTypes="0" containsString="0" containsNumber="1" minValue="2.2546266829241195E-2" maxValue="18.842045993955697" count="366">
        <n v="0.10566927713680871"/>
        <n v="0.18943096411565599"/>
        <n v="0.86354475305830525"/>
        <n v="0.21918951597159292"/>
        <n v="3.722993381194728E-2"/>
        <n v="0.3017198863850557"/>
        <n v="0.16303608773767836"/>
        <n v="7.0691377914450404E-2"/>
        <n v="0.16774972822820991"/>
        <n v="0.15114432376634021"/>
        <n v="0.21680157827996641"/>
        <n v="0.17246971249968013"/>
        <n v="0.18795798646597836"/>
        <n v="0.35582613364472304"/>
        <n v="0.24856370345699788"/>
        <n v="0.45820490047849044"/>
        <n v="0.34675115442264387"/>
        <n v="0.19796446082162245"/>
        <n v="0.227470608588838"/>
        <n v="0.14578580715284495"/>
        <n v="9.9891832549978049E-2"/>
        <n v="0.20392670753525072"/>
        <n v="9.9610087814702403E-2"/>
        <n v="0.29158837799291548"/>
        <n v="8.1530384573762951E-2"/>
        <n v="0.20918717284356478"/>
        <n v="0.31067083768063603"/>
        <n v="0.30907021311790589"/>
        <n v="0.15746139791039832"/>
        <n v="0.14662334792259174"/>
        <n v="0.24017049824253059"/>
        <n v="0.2711513342239586"/>
        <n v="0.45500354731383436"/>
        <n v="0.37208749349007364"/>
        <n v="0.20791997290031636"/>
        <n v="0.74476443517273783"/>
        <n v="3.7281878198571608E-2"/>
        <n v="9.2856255044504399E-2"/>
        <n v="8.1137922624442221E-2"/>
        <n v="0.17126558279255558"/>
        <n v="0.13366074105838338"/>
        <n v="0.11955025918124028"/>
        <n v="0.18309466452754561"/>
        <n v="0.19868658612920881"/>
        <n v="1.461851034574962"/>
        <n v="0.17005586156721461"/>
        <n v="0.35491850574914402"/>
        <n v="9.3117078550470841E-2"/>
        <n v="0.1911462848018575"/>
        <n v="0.25099135804230926"/>
        <n v="0.21103383864464656"/>
        <n v="0.175452927611709"/>
        <n v="2.9935949903064595E-2"/>
        <n v="0.37540854775031401"/>
        <n v="0.35243115865661595"/>
        <n v="0.22187510145303621"/>
        <n v="0.29230360259379268"/>
        <n v="0.35913211893164237"/>
        <n v="0.2297371193630402"/>
        <n v="0.31357559590864081"/>
        <n v="0.16659727601189653"/>
        <n v="0.14658619386374636"/>
        <n v="0.51269686493428157"/>
        <n v="0.54865200136763548"/>
        <n v="0.21157929489042926"/>
        <n v="0.10298432023652457"/>
        <n v="0.23959615113620952"/>
        <n v="0.29886362594163846"/>
        <n v="8.7522630827975165E-2"/>
        <n v="0.21692665033665018"/>
        <n v="2.3276018320953273"/>
        <n v="0.19044424985977665"/>
        <n v="0.17410587283536719"/>
        <n v="0.14324995086915809"/>
        <n v="0.19840567330064721"/>
        <n v="8.6406642127061312E-2"/>
        <n v="0.51824429190689514"/>
        <n v="0.13538394696447484"/>
        <n v="2.945932117628814E-2"/>
        <n v="0.12467462360460466"/>
        <n v="0.12544561701605761"/>
        <n v="0.3039972979261093"/>
        <n v="1.0487275881241265"/>
        <n v="0.19331686376489013"/>
        <n v="0.23243570261499805"/>
        <n v="0.28928361317405255"/>
        <n v="0.31673231212228964"/>
        <n v="7.5141537725579202E-2"/>
        <n v="1.0091779908835783"/>
        <n v="0.17321052205085793"/>
        <n v="3.3229957414658104E-2"/>
        <n v="2.2546266829241195E-2"/>
        <n v="0.37010649648616317"/>
        <n v="0.27389376171017615"/>
        <n v="6.1494500310433846E-2"/>
        <n v="0.34874227970395982"/>
        <n v="0.16690867583347441"/>
        <n v="0.17687589995137018"/>
        <n v="0.43792189379335184"/>
        <n v="0.23926304408673932"/>
        <n v="0.16467414990322971"/>
        <n v="0.10696709918614086"/>
        <n v="0.24237611215252769"/>
        <n v="0.23159038851636682"/>
        <n v="0.2834587666351826"/>
        <n v="0.1758245794439697"/>
        <n v="0.3381256034525012"/>
        <n v="0.4793182094329001"/>
        <n v="0.1655009759791109"/>
        <n v="7.6954013850075498E-2"/>
        <n v="0.28192025806623294"/>
        <n v="0.29211749542665444"/>
        <n v="8.2921753470619822E-2"/>
        <n v="0.1179453241731008"/>
        <n v="0.22883090753867952"/>
        <n v="0.22685578899639117"/>
        <n v="0.54938920415319947"/>
        <n v="0.11817492902989532"/>
        <n v="0.23988942195700133"/>
        <n v="0.56428608606752428"/>
        <n v="0.19289812503995543"/>
        <n v="0.38456866241096671"/>
        <n v="0.29542293695757488"/>
        <n v="0.3268090892665852"/>
        <n v="9.9318926749327741E-2"/>
        <n v="0.48978342982800688"/>
        <n v="0.54147991710043986"/>
        <n v="0.10414864531311069"/>
        <n v="0.39995842492853262"/>
        <n v="0.35489465175358326"/>
        <n v="0.32283313649047712"/>
        <n v="0.40872400925941793"/>
        <n v="0.37412815031439406"/>
        <n v="0.12686183707914733"/>
        <n v="1.1536371361405182"/>
        <n v="0.30691579268859798"/>
        <n v="0.30359205542647993"/>
        <n v="0.24611841554077732"/>
        <n v="0.38699092579439454"/>
        <n v="0.57895540874290263"/>
        <n v="0.22041511310980361"/>
        <n v="9.0017337037711226E-2"/>
        <n v="0.14620243703955499"/>
        <n v="0.17034138744861993"/>
        <n v="0.11524021751856274"/>
        <n v="0.29829837760273825"/>
        <n v="0.19772775021971922"/>
        <n v="0.12468211591071582"/>
        <n v="0.2053369692487782"/>
        <n v="0.25057354625549066"/>
        <n v="0.38432313124895456"/>
        <n v="0.23665566729857257"/>
        <n v="0.22593841700701392"/>
        <n v="0.19696106802292326"/>
        <n v="0.41599130751893199"/>
        <n v="0.20157949847471004"/>
        <n v="0.59773881348266056"/>
        <n v="0.2101449646685426"/>
        <n v="0.21891710986016244"/>
        <n v="0.24742689233699738"/>
        <n v="0.25988007059876761"/>
        <n v="0.10284374805653318"/>
        <n v="2.1168204462286324"/>
        <n v="0.11024243779643329"/>
        <n v="0.24850190148641635"/>
        <n v="2.2058997993354708"/>
        <n v="0.22871338034509336"/>
        <n v="8.984611024621969E-2"/>
        <n v="0.34595629147475759"/>
        <n v="0.19102973409062671"/>
        <n v="0.19439586884150353"/>
        <n v="0.3103115345213357"/>
        <n v="0.13607423007609659"/>
        <n v="0.30031241298505768"/>
        <n v="0.24563411610117555"/>
        <n v="0.10929480518622117"/>
        <n v="0.88353498381516504"/>
        <n v="0.10319037249381488"/>
        <n v="8.8777780724163924E-2"/>
        <n v="0.11044365072325624"/>
        <n v="0.17395167709540335"/>
        <n v="8.7667838437937615E-2"/>
        <n v="0.46438056500464958"/>
        <n v="0.27506769508394791"/>
        <n v="0.78892701613323923"/>
        <n v="0.48411486444137908"/>
        <n v="0.37448940684833121"/>
        <n v="0.10211577722898557"/>
        <n v="0.19058467921016728"/>
        <n v="0.18884304174371605"/>
        <n v="0.21402814653913102"/>
        <n v="0.17870120928506192"/>
        <n v="0.28956065841732498"/>
        <n v="0.31279648117565911"/>
        <n v="0.2049105979848026"/>
        <n v="0.25089568236330806"/>
        <n v="0.18653453765081962"/>
        <n v="0.13980004193412468"/>
        <n v="9.9897173216734372E-2"/>
        <n v="0.12843844138877716"/>
        <n v="0.35738848036661458"/>
        <n v="0.37801777307897388"/>
        <n v="0.13133553230738582"/>
        <n v="0.28512397009337376"/>
        <n v="0.6845802029652206"/>
        <n v="0.47520796545785637"/>
        <n v="0.38317307632132031"/>
        <n v="0.31332706811105093"/>
        <n v="1.353819522170477"/>
        <n v="0.14212901220760002"/>
        <n v="0.22328036046953864"/>
        <n v="0.22752058507399966"/>
        <n v="0.18714549475132367"/>
        <n v="0.32009085807295284"/>
        <n v="0.45080069578519244"/>
        <n v="0.19623604789129717"/>
        <n v="0.30891515314206713"/>
        <n v="0.51845265412712416"/>
        <n v="0.53729072486916341"/>
        <n v="0.15878932912105126"/>
        <n v="0.15445484780668819"/>
        <n v="0.53138070180758634"/>
        <n v="0.16363886666201916"/>
        <n v="0.33700834394879681"/>
        <n v="0.3960864199499915"/>
        <n v="0.22271566312232316"/>
        <n v="0.19715104650082216"/>
        <n v="0.12817623170908574"/>
        <n v="7.6159901728092741E-2"/>
        <n v="0.21245090497777891"/>
        <n v="18.842045993955697"/>
        <n v="0.13486471295877187"/>
        <n v="0.14916296948332866"/>
        <n v="0.50767660572334761"/>
        <n v="0.66787582942492207"/>
        <n v="0.16811869370196744"/>
        <n v="0.6019086481849264"/>
        <n v="0.16336758221113765"/>
        <n v="7.3885367806109787"/>
        <n v="0.12134539528479338"/>
        <n v="0.13940732937618949"/>
        <n v="1.0160273603053582"/>
        <n v="0.19818808793868958"/>
        <n v="0.21280568075747372"/>
        <n v="0.24559039406923533"/>
        <n v="0.10171189389144299"/>
        <n v="0.36326272630851147"/>
        <n v="0.39821332200116855"/>
        <n v="0.36427541191943386"/>
        <n v="0.21525367155526751"/>
        <n v="0.24920340516714024"/>
        <n v="0.2886637753490171"/>
        <n v="0.98303305332724111"/>
        <n v="0.16383864761961531"/>
        <n v="0.13290327034423008"/>
        <n v="0.19066231396032843"/>
        <n v="0.449005392720214"/>
        <n v="0.25613608720799319"/>
        <n v="0.18449221797277096"/>
        <n v="0.10403735770201403"/>
        <n v="0.13903856664574757"/>
        <n v="9.6165281069109348E-2"/>
        <n v="0.40548264253900212"/>
        <n v="0.34478642530874093"/>
        <n v="0.20456444577824157"/>
        <n v="0.35000275213998794"/>
        <n v="0.33968912051988626"/>
        <n v="0.20134774784521078"/>
        <n v="0.21467242183811636"/>
        <n v="0.27875198468766993"/>
        <n v="0.21984463759814871"/>
        <n v="0.28838307880524416"/>
        <n v="0.21089747083316054"/>
        <n v="0.1807579298187546"/>
        <n v="0.90838848242123749"/>
        <n v="0.12361506611558878"/>
        <n v="0.49987572401251662"/>
        <n v="0.22151339164679112"/>
        <n v="0.31921224961539801"/>
        <n v="0.12854388757915072"/>
        <n v="0.29300002258688046"/>
        <n v="0.13537194773541639"/>
        <n v="0.56761421474529705"/>
        <n v="0.15185036640194619"/>
        <n v="0.35909460313081087"/>
        <n v="0.1979436040769815"/>
        <n v="0.12755300952902271"/>
        <n v="0.19390260461050185"/>
        <n v="0.25377675881157169"/>
        <n v="0.16554056342674309"/>
        <n v="0.23145814104185947"/>
        <n v="0.16239040952206193"/>
        <n v="0.27910818661608294"/>
        <n v="0.39211972154464048"/>
        <n v="0.52294109000997058"/>
        <n v="0.19353787264224981"/>
        <n v="0.86828166527093043"/>
        <n v="0.40708254051042581"/>
        <n v="0.16710968454000596"/>
        <n v="0.40584227474169898"/>
        <n v="0.20449612678109683"/>
        <n v="0.41431926433648536"/>
        <n v="0.37636072842488549"/>
        <n v="1.3493857848961133"/>
        <n v="0.67828271301212884"/>
        <n v="0.27486814062663184"/>
        <n v="5.7741049120257557"/>
        <n v="0.29401165221834824"/>
        <n v="0.15669944615139966"/>
        <n v="0.18598003834546903"/>
        <n v="0.43595484669309997"/>
        <n v="0.2301807041049416"/>
        <n v="1.4498361690269121"/>
        <n v="0.2192318618887997"/>
        <n v="0.4491755914016729"/>
        <n v="0.25993193984828966"/>
        <n v="0.26597586219039393"/>
        <n v="0.58546868387198281"/>
        <n v="0.40154587713114182"/>
        <n v="0.37085691802067766"/>
        <n v="0.27719315162292379"/>
        <n v="0.79033973055699247"/>
        <n v="0.78032485605033297"/>
        <n v="0.28691945965095239"/>
        <n v="0.279125659046771"/>
        <n v="2.3131466401450598"/>
        <n v="0.13293250193133513"/>
        <n v="0.22373122168547771"/>
        <n v="0.20797576497656889"/>
        <n v="0.13845053550181732"/>
        <n v="0.25778873900126065"/>
        <n v="0.17985976514752255"/>
        <n v="0.42054399729900127"/>
        <n v="0.14032202650749129"/>
        <n v="0.13159071527386543"/>
        <n v="0.16752701108989529"/>
        <n v="0.51645540476320961"/>
        <n v="0.29299998039769892"/>
        <n v="0.15964260661402943"/>
        <n v="0.38169028532914689"/>
        <n v="0.18304891760424305"/>
        <n v="0.29399153863783561"/>
        <n v="0.16836332288244479"/>
        <n v="0.16451664430975382"/>
        <n v="0.1636018125324295"/>
        <n v="0.28770532196781656"/>
        <n v="0.17299908883047879"/>
        <n v="0.32982484606766777"/>
        <n v="0.11237713843533347"/>
        <n v="0.41201756923997873"/>
        <n v="0.17958414855363355"/>
        <n v="0.76835323057983751"/>
        <n v="0.78835504432885617"/>
        <n v="0.10991491407222582"/>
        <n v="0.25657838062991173"/>
        <n v="2.1662415786036062"/>
        <n v="0.40102899750238352"/>
        <n v="0.30686562423739344"/>
        <n v="0.29805080927579314"/>
        <n v="0.12680368256228491"/>
        <n v="0.26461283011243081"/>
        <n v="0.36304038866294225"/>
        <n v="0.30484695738770856"/>
        <n v="0.33325154610814051"/>
        <n v="0.18657992142653052"/>
        <n v="0.20290081762260218"/>
      </sharedItems>
    </cacheField>
    <cacheField name="online order %" numFmtId="2">
      <sharedItems containsSemiMixedTypes="0" containsString="0" containsNumber="1" minValue="7.9038080064484442E-3" maxValue="16.408879055658709" count="366">
        <n v="3.7926959645008793E-2"/>
        <n v="7.4670182251970502E-2"/>
        <n v="0.37839881156738914"/>
        <n v="7.9316460098385194E-2"/>
        <n v="0.10925553480123226"/>
        <n v="0.14008724869298431"/>
        <n v="0.11716279058507445"/>
        <n v="7.9058535063331367E-2"/>
        <n v="0.13745915860444882"/>
        <n v="8.4988742683342375E-2"/>
        <n v="5.9952781562355034E-2"/>
        <n v="0.49309249876777389"/>
        <n v="4.1509296526145448E-2"/>
        <n v="0.10882328716343052"/>
        <n v="5.0590813436052602E-2"/>
        <n v="0.76070711459512064"/>
        <n v="0.23791645683991008"/>
        <n v="2.4493925691904429E-2"/>
        <n v="0.17939739940632221"/>
        <n v="5.5203589419670011E-2"/>
        <n v="1.5247130368471078E-2"/>
        <n v="4.9011076538750052E-2"/>
        <n v="0.13345236358999657"/>
        <n v="0.13092631561667673"/>
        <n v="2.8494772744312214E-2"/>
        <n v="4.6598327817397964E-2"/>
        <n v="9.2396338520766647E-2"/>
        <n v="8.3232903337287181E-2"/>
        <n v="4.6987728935273934E-2"/>
        <n v="0.19693035582138432"/>
        <n v="0.25392414405592312"/>
        <n v="8.3796730987079793E-2"/>
        <n v="4.2748147270665636E-2"/>
        <n v="0.21997593403743734"/>
        <n v="8.2309493524866273E-2"/>
        <n v="0.56311860546839831"/>
        <n v="3.941230087585737E-2"/>
        <n v="6.8667279078917787E-2"/>
        <n v="4.8167382951860772E-2"/>
        <n v="4.0392687391820031E-2"/>
        <n v="4.5746792732894184E-2"/>
        <n v="2.5946443169509989E-2"/>
        <n v="4.6385597296457193E-2"/>
        <n v="6.4224402575784711E-2"/>
        <n v="9.4960742232132286E-2"/>
        <n v="8.0431789071564147E-2"/>
        <n v="3.4673502945886704E-2"/>
        <n v="2.2005086714366989E-2"/>
        <n v="2.238421966398654E-2"/>
        <n v="8.7354553279623701E-2"/>
        <n v="0.11655561708953367"/>
        <n v="3.5003293236399731E-2"/>
        <n v="5.7317506979377805E-2"/>
        <n v="3.4152457805138363E-2"/>
        <n v="7.9038080064484442E-3"/>
        <n v="0.11493470364383276"/>
        <n v="2.8411313604734707E-2"/>
        <n v="7.1557177114757411E-2"/>
        <n v="3.7739732760940142E-2"/>
        <n v="2.9461132594475175E-2"/>
        <n v="5.6301831156027625E-2"/>
        <n v="5.8384282451859795E-2"/>
        <n v="7.8024864195682511E-2"/>
        <n v="0.23517235117283897"/>
        <n v="8.8322058201367432E-2"/>
        <n v="3.4056175378891891E-2"/>
        <n v="1.3457930254379994E-2"/>
        <n v="4.6735022446027702E-2"/>
        <n v="2.2912761831172888E-2"/>
        <n v="1.5842577062350812E-2"/>
        <n v="0.77626585791359926"/>
        <n v="2.2601515120637978E-2"/>
        <n v="3.5445465134063846E-2"/>
        <n v="1.3037401408538282E-2"/>
        <n v="4.6747544780368099E-2"/>
        <n v="1.9688110487910731E-2"/>
        <n v="8.0649838550795827E-2"/>
        <n v="0.35493176363773798"/>
        <n v="4.9857005984595866E-2"/>
        <n v="1.5991553740418558E-2"/>
        <n v="4.3236825500776399E-2"/>
        <n v="0.19820730020417482"/>
        <n v="9.9397830843751742E-2"/>
        <n v="4.7007683646302083E-2"/>
        <n v="3.3518838375698717E-2"/>
        <n v="0.51470237365639482"/>
        <n v="7.2686444209458204E-2"/>
        <n v="4.5901614924383605E-2"/>
        <n v="0.12218058784695769"/>
        <n v="0.33114429838253456"/>
        <n v="2.7290568497320731E-2"/>
        <n v="1.372711592531937E-2"/>
        <n v="5.2497404953601119E-2"/>
        <n v="3.4686849709813582E-2"/>
        <n v="1.2756603139237146E-2"/>
        <n v="8.233815905597934E-2"/>
        <n v="2.9004704753430949E-2"/>
        <n v="1.8091771768262519E-2"/>
        <n v="0.11540489648462689"/>
        <n v="7.6642124047561933E-2"/>
        <n v="3.4445333984231566E-2"/>
        <n v="9.3283791906449615E-2"/>
        <n v="5.9935964241731463E-2"/>
        <n v="4.2252360998528311E-2"/>
        <n v="0.22325431921644021"/>
        <n v="2.9990832867764539E-2"/>
        <n v="7.9067484399553828E-2"/>
        <n v="6.8493324289205955"/>
        <n v="3.1091070942465771E-2"/>
        <n v="1.4533596932260981E-2"/>
        <n v="2.9220288150668423E-2"/>
        <n v="3.9737882890427838E-2"/>
        <n v="2.0549002379536687E-2"/>
        <n v="0.18848230577579519"/>
        <n v="2.3886634095905145E-2"/>
        <n v="2.4778381374350036E-2"/>
        <n v="4.265339775715362E-2"/>
        <n v="4.7819708147573546E-2"/>
        <n v="1.8939404743038433E-2"/>
        <n v="0.46972465997576462"/>
        <n v="4.2141901300058286E-2"/>
        <n v="4.3333342564297876E-2"/>
        <n v="3.4171767305110401E-2"/>
        <n v="2.1777040501099146E-2"/>
        <n v="2.8327562349322051E-2"/>
        <n v="7.5904224592362499E-2"/>
        <n v="6.8047058019878273E-2"/>
        <n v="3.5939268291148262E-2"/>
        <n v="0.10685689011743897"/>
        <n v="5.445301853440538E-2"/>
        <n v="2.4800971477569569E-2"/>
        <n v="7.5082014787134971E-2"/>
        <n v="6.3176024878953463E-2"/>
        <n v="2.9590916495384974E-2"/>
        <n v="0.4246299376522702"/>
        <n v="7.0982816292591636E-2"/>
        <n v="1.851376809794264E-2"/>
        <n v="4.1233830007098772E-2"/>
        <n v="3.944450680535861E-2"/>
        <n v="4.5862608889034609E-2"/>
        <n v="3.8756973260094224E-2"/>
        <n v="0.31667804440604802"/>
        <n v="3.6480417893978934E-2"/>
        <n v="2.4226367138618213E-2"/>
        <n v="2.0561305459021972E-2"/>
        <n v="8.4382291124872347E-2"/>
        <n v="1.7857342211484373E-2"/>
        <n v="6.2068838204434866E-2"/>
        <n v="0.13999208163641913"/>
        <n v="1.8110215939814924"/>
        <n v="3.5748289785344389E-2"/>
        <n v="2.7234703008404578E-2"/>
        <n v="2.9995066856611845E-2"/>
        <n v="1.9666086189931029E-2"/>
        <n v="2.8686631313822993E-2"/>
        <n v="0.13086456591978413"/>
        <n v="0.10998314066077503"/>
        <n v="3.0997964724571937E-2"/>
        <n v="0.47930667062919996"/>
        <n v="2.3772109688616344E-2"/>
        <n v="6.0910060967124542E-2"/>
        <n v="5.7622263612119161E-2"/>
        <n v="1.3263937579305514"/>
        <n v="3.2681917596428522E-2"/>
        <n v="3.5021186446805276E-2"/>
        <n v="0.30503808263652249"/>
        <n v="0.70257004477078144"/>
        <n v="3.3455691352772252E-2"/>
        <n v="4.2065024055279177E-2"/>
        <n v="0.49586745929024073"/>
        <n v="2.8319025074041167E-2"/>
        <n v="0.2776988234303942"/>
        <n v="2.5109285250775989E-2"/>
        <n v="5.5657554037967787E-2"/>
        <n v="4.0471477596949586E-2"/>
        <n v="2.6146731627618467E-2"/>
        <n v="0.17440737928199782"/>
        <n v="2.9293936402042826E-2"/>
        <n v="2.6632843027509512E-2"/>
        <n v="4.6846700517278322E-2"/>
        <n v="16.408879055658709"/>
        <n v="9.4854378549518545E-2"/>
        <n v="3.82096488084675E-2"/>
        <n v="0.11988313303661718"/>
        <n v="7.3777736746411277E-2"/>
        <n v="0.1067910887322685"/>
        <n v="3.0473799386392067E-2"/>
        <n v="1.869358108155984E-2"/>
        <n v="5.5648390710187838E-2"/>
        <n v="2.1853577156104028E-2"/>
        <n v="6.5854768959175122E-2"/>
        <n v="5.5883010674612182E-2"/>
        <n v="6.4386385729276463E-2"/>
        <n v="8.2173153279291866E-2"/>
        <n v="2.1085209561708222E-2"/>
        <n v="3.9219288233327952E-2"/>
        <n v="8.7375086143794509E-2"/>
        <n v="7.0552237906879089E-2"/>
        <n v="3.2171257697027042E-2"/>
        <n v="7.3389292462227668E-2"/>
        <n v="0.22882846639419194"/>
        <n v="0.23900160336432885"/>
        <n v="3.5035058098461927E-2"/>
        <n v="6.7887964267664996E-2"/>
        <n v="0.8346994219272581"/>
        <n v="5.5838727997626778E-2"/>
        <n v="0.16112427722164888"/>
        <n v="7.0157481885451844E-2"/>
        <n v="0.1846757612123866"/>
        <n v="2.0025592803667065E-2"/>
        <n v="4.9129300424174169E-2"/>
        <n v="5.9218285592523047E-2"/>
        <n v="3.3690124557202585E-2"/>
        <n v="4.4625106585563443E-2"/>
        <n v="0.13208697428155999"/>
        <n v="4.8808134132257604E-2"/>
        <n v="4.3642508235824155E-2"/>
        <n v="8.2115518829345993E-2"/>
        <n v="0.18190535379612435"/>
        <n v="1.8744079923885628E-2"/>
        <n v="3.0779923299995689E-2"/>
        <n v="8.5288795446214385E-2"/>
        <n v="1.8910292888457664E-2"/>
        <n v="2.0527143037718923E-2"/>
        <n v="4.5826481992699189E-2"/>
        <n v="8.8405424988075743E-2"/>
        <n v="6.1502349773212894E-2"/>
        <n v="1.6424178963332096E-2"/>
        <n v="2.4467059273701908E-2"/>
        <n v="2.1058412103604277E-2"/>
        <n v="1.3396932437718312"/>
        <n v="2.385474224226106E-2"/>
        <n v="2.6987148635202565"/>
        <n v="9.6188657533183397E-2"/>
        <n v="0.15132829279938201"/>
        <n v="1.5231253929704791E-2"/>
        <n v="0.16690516366044694"/>
        <n v="1.4828335464208819E-2"/>
        <n v="0.73008244259527999"/>
        <n v="0.10682965721333484"/>
        <n v="2.5523544940177077E-2"/>
        <n v="0.30770147145830151"/>
        <n v="3.3652652110165132E-2"/>
        <n v="3.5746433755923214E-2"/>
        <n v="5.1245282691752408E-2"/>
        <n v="3.0281033281487985E-2"/>
        <n v="0.12114323645263787"/>
        <n v="2.9832173052011277E-2"/>
        <n v="3.0499776048829825E-2"/>
        <n v="6.7573292194384862E-2"/>
        <n v="3.7853167495679088E-2"/>
        <n v="5.0571372169992086E-2"/>
        <n v="0.13248987826496222"/>
        <n v="4.1896834712825785E-2"/>
        <n v="7.526394257610082E-2"/>
        <n v="0.44996360438334965"/>
        <n v="0.12066638987792094"/>
        <n v="3.1061780337046201E-2"/>
        <n v="9.3224723270275658E-2"/>
        <n v="2.7917171211698403E-2"/>
        <n v="5.7228302013324676E-2"/>
        <n v="2.9546810802302131E-2"/>
        <n v="0.10810528786817855"/>
        <n v="7.9739431311694253E-2"/>
        <n v="4.0682346989527579E-2"/>
        <n v="2.7368376371661122E-2"/>
        <n v="9.8454369786980106E-2"/>
        <n v="0.55955262829013597"/>
        <n v="0.60694162832799459"/>
        <n v="3.3596399956735461E-2"/>
        <n v="2.4014653874018261E-2"/>
        <n v="1.7901969788780857E-2"/>
        <n v="3.118741627548683E-2"/>
        <n v="2.0976608056169889E-2"/>
        <n v="0.32376582159936906"/>
        <n v="3.8853811076867341E-2"/>
        <n v="0.21986724279643427"/>
        <n v="3.9246528229212145E-2"/>
        <n v="5.8890360707369652E-2"/>
        <n v="2.7811339514355982E-2"/>
        <n v="4.4883971712950263E-2"/>
        <n v="6.7231639689063066E-2"/>
        <n v="0.10066626711657962"/>
        <n v="3.5430898319803401E-2"/>
        <n v="0.11748323235731278"/>
        <n v="4.2544795978720872E-2"/>
        <n v="2.8041758086546634E-2"/>
        <n v="5.9762422360828148E-2"/>
        <n v="0.11205753769358461"/>
        <n v="5.094226779422608E-2"/>
        <n v="7.5201314589909599E-2"/>
        <n v="1.8188346222025604E-2"/>
        <n v="3.7922391067953386E-2"/>
        <n v="6.2760547485400289E-2"/>
        <n v="7.4258034097566095E-2"/>
        <n v="0.15692201684282953"/>
        <n v="0.30557339772164083"/>
        <n v="0.14130583940150163"/>
        <n v="3.2466460691344318E-2"/>
        <n v="5.2839516612928558E-2"/>
        <n v="0.15356538921570603"/>
        <n v="0.13403467389965229"/>
        <n v="0.18864431120535938"/>
        <n v="0.22866213866867655"/>
        <n v="0.4353751067438193"/>
        <n v="5.2881680715964594E-2"/>
        <n v="0.69801643336096597"/>
        <n v="0.13442562586926521"/>
        <n v="2.3350222289030033E-2"/>
        <n v="8.8239364496698627E-2"/>
        <n v="9.7690573470876729E-2"/>
        <n v="6.32394689612506E-2"/>
        <n v="0.35098489909080127"/>
        <n v="4.6332204704919361E-2"/>
        <n v="7.0224134549005945E-2"/>
        <n v="7.2220842321192052E-2"/>
        <n v="0.13207246333846542"/>
        <n v="9.6475591597775731E-2"/>
        <n v="0.10963407614169007"/>
        <n v="5.6190742717183717E-2"/>
        <n v="5.7235039083121879E-2"/>
        <n v="8.6172932989291087E-2"/>
        <n v="5.5587519835511301E-2"/>
        <n v="0.18072710327254465"/>
        <n v="4.1468308279331526E-2"/>
        <n v="0.22509813786462504"/>
        <n v="3.6990543050479573E-2"/>
        <n v="3.5862822341514951E-2"/>
        <n v="2.8645457698665156E-2"/>
        <n v="2.3504248630227827E-2"/>
        <n v="6.4806148953444789E-2"/>
        <n v="2.1837710888377621E-2"/>
        <n v="8.9125962568092743E-2"/>
        <n v="1.9001605204585194E-2"/>
        <n v="4.1400216903902762E-2"/>
        <n v="6.4298870356585006E-2"/>
        <n v="0.17458399453946169"/>
        <n v="0.22053258785311575"/>
        <n v="2.3398967380269149E-2"/>
        <n v="0.11363127315138447"/>
        <n v="8.27505845226926E-2"/>
        <n v="4.3918485714784961E-2"/>
        <n v="1.8433262549059592E-2"/>
        <n v="2.8887309542225757E-2"/>
        <n v="8.4183587797583087E-2"/>
        <n v="2.2729421831299799E-2"/>
        <n v="3.6217835536237489E-2"/>
        <n v="1.1312139926209722E-2"/>
        <n v="1.9295918984838466E-2"/>
        <n v="0.48334162224895366"/>
        <n v="1.6992950481707809E-2"/>
        <n v="0.26812417557815144"/>
        <n v="0.18033854415010966"/>
        <n v="2.2732892344698927E-2"/>
        <n v="3.0867376197525487E-2"/>
        <n v="0.3026930471292783"/>
        <n v="3.8728091867031564E-2"/>
        <n v="2.1009648333803893E-2"/>
        <n v="0.75361263462743977"/>
        <n v="8.4999866715110728E-2"/>
        <n v="4.2440785917658368E-2"/>
        <n v="4.1863527725471271E-2"/>
        <n v="3.3295786362777177E-2"/>
        <n v="6.5956576944923975E-2"/>
        <n v="0.12354084055126974"/>
        <n v="7.5825825212398154E-2"/>
      </sharedItems>
    </cacheField>
    <cacheField name="Rent / Lease" numFmtId="164">
      <sharedItems containsMixedTypes="1" containsNumber="1" containsInteger="1" minValue="3000" maxValue="3000" count="2">
        <n v="3000"/>
        <s v=""/>
      </sharedItems>
    </cacheField>
    <cacheField name="Wages and Salaries" numFmtId="164">
      <sharedItems containsMixedTypes="1" containsNumber="1" containsInteger="1" minValue="1000" maxValue="1000"/>
    </cacheField>
    <cacheField name="Insurance" numFmtId="164">
      <sharedItems containsMixedTypes="1" containsNumber="1" containsInteger="1" minValue="300" maxValue="300"/>
    </cacheField>
    <cacheField name="Electric" numFmtId="164">
      <sharedItems containsMixedTypes="1" containsNumber="1" containsInteger="1" minValue="300" maxValue="300"/>
    </cacheField>
    <cacheField name="Water" numFmtId="164">
      <sharedItems containsMixedTypes="1" containsNumber="1" containsInteger="1" minValue="100" maxValue="100"/>
    </cacheField>
    <cacheField name="Phone" numFmtId="164">
      <sharedItems containsMixedTypes="1" containsNumber="1" containsInteger="1" minValue="480" maxValue="480"/>
    </cacheField>
    <cacheField name="Internet" numFmtId="164">
      <sharedItems containsMixedTypes="1" containsNumber="1" containsInteger="1" minValue="83" maxValue="83"/>
    </cacheField>
    <cacheField name="Delivery" numFmtId="164">
      <sharedItems containsMixedTypes="1" containsNumber="1" containsInteger="1" minValue="1000" maxValue="1000"/>
    </cacheField>
    <cacheField name="Total Expenses" numFmtId="164">
      <sharedItems containsSemiMixedTypes="0" containsString="0" containsNumber="1" containsInteger="1" minValue="0" maxValue="4000"/>
    </cacheField>
    <cacheField name="Profit" numFmtId="164">
      <sharedItems containsSemiMixedTypes="0" containsString="0" containsNumber="1" minValue="-3683.3314126821529" maxValue="2186.65371077796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n v="1"/>
    <n v="1"/>
    <x v="0"/>
    <x v="0"/>
    <n v="18.248423200876413"/>
    <n v="63.210072575258103"/>
    <x v="0"/>
    <n v="0.3887682269525603"/>
    <n v="448.43798972278591"/>
    <n v="705.046165188636"/>
    <n v="43.748146994482568"/>
    <n v="6.6793626767927403"/>
    <n v="12.987012987012987"/>
    <n v="28.155117721735419"/>
    <n v="807.43890843799534"/>
    <n v="44.247050802680675"/>
    <n v="26.3343514059349"/>
    <n v="0.98872458617811698"/>
    <n v="0.69295130605585431"/>
    <n v="0.55538318136080045"/>
    <x v="0"/>
    <n v="1.1258943550906673E-2"/>
    <n v="44.247050802680675"/>
    <x v="0"/>
    <x v="0"/>
    <x v="0"/>
    <s v=""/>
    <s v=""/>
    <s v=""/>
    <s v=""/>
    <s v=""/>
    <s v=""/>
    <s v=""/>
    <n v="3000"/>
    <n v="-2294.9538348113638"/>
  </r>
  <r>
    <x v="1"/>
    <n v="1"/>
    <n v="1"/>
    <x v="0"/>
    <x v="0"/>
    <n v="5.6481891661753183"/>
    <n v="37.006370224370663"/>
    <x v="1"/>
    <n v="0.21121234991947319"/>
    <n v="44.147389812780922"/>
    <n v="164.87158956798234"/>
    <n v="15.607485284482456"/>
    <n v="7.0101523900234399"/>
    <n v="28.571428571428573"/>
    <n v="13.589794070312738"/>
    <n v="146.31328556653426"/>
    <n v="25.90445915705946"/>
    <n v="13.883588087048542"/>
    <n v="0.60250187775988051"/>
    <n v="0.40682488782883824"/>
    <n v="0.3017319284563903"/>
    <x v="1"/>
    <n v="0.13669298671380892"/>
    <n v="25.90445915705946"/>
    <x v="1"/>
    <x v="1"/>
    <x v="1"/>
    <n v="1000"/>
    <s v=""/>
    <s v=""/>
    <s v=""/>
    <s v=""/>
    <s v=""/>
    <s v=""/>
    <n v="1000"/>
    <n v="-835.12841043201763"/>
  </r>
  <r>
    <x v="2"/>
    <n v="1"/>
    <n v="1"/>
    <x v="0"/>
    <x v="0"/>
    <n v="10.949240508270515"/>
    <n v="8.9188617105274481"/>
    <x v="2"/>
    <n v="0.50933335067008101"/>
    <n v="49.738827101967615"/>
    <n v="47.915934826602381"/>
    <n v="36.952445857667207"/>
    <n v="7.7018362333785992"/>
    <n v="12.987012987012987"/>
    <n v="30.385295086636653"/>
    <n v="68.358333349998986"/>
    <n v="6.2432031973692128"/>
    <n v="25.259285927410474"/>
    <n v="5.9188279941358282"/>
    <n v="0.43347387332073356"/>
    <n v="0.72761907238583012"/>
    <x v="2"/>
    <n v="0.13298903945423976"/>
    <n v="6.2432031973692128"/>
    <x v="2"/>
    <x v="2"/>
    <x v="1"/>
    <s v=""/>
    <s v=""/>
    <s v=""/>
    <s v=""/>
    <s v=""/>
    <s v=""/>
    <s v=""/>
    <n v="0"/>
    <n v="47.915934826602381"/>
  </r>
  <r>
    <x v="3"/>
    <n v="1"/>
    <n v="1"/>
    <x v="0"/>
    <x v="0"/>
    <n v="12.174664145182406"/>
    <n v="27.250855944986942"/>
    <x v="3"/>
    <n v="0.36085715250712685"/>
    <n v="119.72158427102985"/>
    <n v="212.04843452793349"/>
    <n v="26.314823457908481"/>
    <n v="5.9731019243932932"/>
    <n v="12.987012987012987"/>
    <n v="25.204278126226324"/>
    <n v="232.23901315927432"/>
    <n v="19.075599161490857"/>
    <n v="35.670770616189259"/>
    <n v="1.3795018041180018"/>
    <n v="0.34130645160934392"/>
    <n v="0.51551021786732409"/>
    <x v="3"/>
    <n v="3.914462504486426E-2"/>
    <n v="19.075599161490857"/>
    <x v="3"/>
    <x v="3"/>
    <x v="1"/>
    <s v=""/>
    <s v=""/>
    <s v=""/>
    <s v=""/>
    <s v=""/>
    <s v=""/>
    <s v=""/>
    <n v="0"/>
    <n v="212.04843452793349"/>
  </r>
  <r>
    <x v="4"/>
    <n v="1"/>
    <n v="1"/>
    <x v="0"/>
    <x v="0"/>
    <n v="7.8061021468449603"/>
    <n v="38.129850402935503"/>
    <x v="4"/>
    <n v="0.34623885142589333"/>
    <n v="103.05643850665328"/>
    <n v="194.58906858257873"/>
    <n v="32.519419058218013"/>
    <n v="1.4195718067607401"/>
    <n v="12.987012987012987"/>
    <n v="27.172086192937858"/>
    <n v="208.3518549624624"/>
    <n v="26.69089528205485"/>
    <n v="24.852600992513146"/>
    <n v="1.218371235380848"/>
    <n v="0.31409598332168737"/>
    <n v="0.49462693060841906"/>
    <x v="4"/>
    <n v="4.3632484541819651E-2"/>
    <n v="26.69089528205485"/>
    <x v="4"/>
    <x v="4"/>
    <x v="1"/>
    <s v=""/>
    <s v=""/>
    <s v=""/>
    <s v=""/>
    <s v=""/>
    <s v=""/>
    <n v="1000"/>
    <n v="1000"/>
    <n v="-805.41093141742124"/>
  </r>
  <r>
    <x v="5"/>
    <n v="1"/>
    <n v="1"/>
    <x v="0"/>
    <x v="0"/>
    <n v="9.2683236905603508"/>
    <n v="29.78046757291348"/>
    <x v="5"/>
    <n v="0.40558506565508257"/>
    <n v="111.94756721887417"/>
    <n v="164.06744590312417"/>
    <n v="38.666183786218703"/>
    <n v="8.9853592925932908"/>
    <n v="12.987012987012987"/>
    <n v="34.524216400349218"/>
    <n v="193.21050918539882"/>
    <n v="20.846327301039437"/>
    <n v="34.428735526848072"/>
    <n v="1.854819951152294"/>
    <n v="0.26920313943370838"/>
    <n v="0.57940723665011795"/>
    <x v="5"/>
    <n v="4.705183547850255E-2"/>
    <n v="20.846327301039437"/>
    <x v="5"/>
    <x v="5"/>
    <x v="1"/>
    <s v=""/>
    <s v=""/>
    <s v=""/>
    <s v=""/>
    <s v=""/>
    <s v=""/>
    <s v=""/>
    <n v="0"/>
    <n v="164.06744590312417"/>
  </r>
  <r>
    <x v="6"/>
    <n v="1"/>
    <n v="1"/>
    <x v="0"/>
    <x v="0"/>
    <n v="5.7375578106885738"/>
    <n v="43.485500934790231"/>
    <x v="6"/>
    <n v="0.39389748487976423"/>
    <n v="98.277649181303332"/>
    <n v="151.22292635880763"/>
    <n v="29.232183682861567"/>
    <n v="7.089705945721354"/>
    <n v="12.987012987012987"/>
    <n v="31.12645652091749"/>
    <n v="174.65040287807767"/>
    <n v="30.439850654353162"/>
    <n v="35.18849497431804"/>
    <n v="0.96032612034780507"/>
    <n v="0.16305209458023343"/>
    <n v="0.56271069268537743"/>
    <x v="6"/>
    <n v="5.2052036188289796E-2"/>
    <n v="30.439850654353162"/>
    <x v="6"/>
    <x v="6"/>
    <x v="1"/>
    <s v=""/>
    <s v=""/>
    <s v=""/>
    <s v=""/>
    <s v=""/>
    <s v=""/>
    <s v=""/>
    <n v="0"/>
    <n v="151.22292635880763"/>
  </r>
  <r>
    <x v="0"/>
    <n v="1"/>
    <n v="1"/>
    <x v="0"/>
    <x v="0"/>
    <n v="9.6976876586493361"/>
    <n v="30.347754905621983"/>
    <x v="7"/>
    <n v="0.33384866353712683"/>
    <n v="98.25267932180256"/>
    <n v="196.05036889416257"/>
    <n v="23.267167856627182"/>
    <n v="2.1453246108884398"/>
    <n v="12.987012987012987"/>
    <n v="30.204551972580045"/>
    <n v="206.01213375117558"/>
    <n v="21.243428433935385"/>
    <n v="28.435653478050376"/>
    <n v="1.0952642568493778"/>
    <n v="0.34103973260663872"/>
    <n v="0.47692666219589552"/>
    <x v="7"/>
    <n v="4.4128027438855716E-2"/>
    <n v="21.243428433935385"/>
    <x v="7"/>
    <x v="7"/>
    <x v="1"/>
    <s v=""/>
    <s v=""/>
    <s v=""/>
    <s v=""/>
    <s v=""/>
    <s v=""/>
    <s v=""/>
    <n v="0"/>
    <n v="196.05036889416257"/>
  </r>
  <r>
    <x v="1"/>
    <n v="2"/>
    <n v="1"/>
    <x v="0"/>
    <x v="0"/>
    <n v="5.587144921435371"/>
    <n v="21.602629506476681"/>
    <x v="8"/>
    <n v="0.27132474801241857"/>
    <n v="32.748089008576109"/>
    <n v="87.948932728184985"/>
    <n v="16.590911053998049"/>
    <n v="3.6238352287261719"/>
    <n v="28.571428571428573"/>
    <n v="14.68030157011073"/>
    <n v="84.487915215732755"/>
    <n v="15.121840654533676"/>
    <n v="12.701462202110578"/>
    <n v="1.0971489141451793"/>
    <n v="0.43988202559127132"/>
    <n v="0.3876067828748837"/>
    <x v="8"/>
    <n v="0.23672024512537312"/>
    <n v="15.121840654533676"/>
    <x v="8"/>
    <x v="8"/>
    <x v="1"/>
    <n v="1000"/>
    <s v=""/>
    <s v=""/>
    <s v=""/>
    <s v=""/>
    <s v=""/>
    <s v=""/>
    <n v="1000"/>
    <n v="-912.05106727181499"/>
  </r>
  <r>
    <x v="2"/>
    <n v="2"/>
    <n v="1"/>
    <x v="0"/>
    <x v="0"/>
    <n v="8.7214496152882059"/>
    <n v="50.462988296712588"/>
    <x v="9"/>
    <n v="0.29690507218814188"/>
    <n v="130.67101301221257"/>
    <n v="309.43939685444468"/>
    <n v="37.404430376417679"/>
    <n v="7.6271942413353644"/>
    <n v="12.987012987012987"/>
    <n v="25.735659509561092"/>
    <n v="308.07728690666005"/>
    <n v="35.324091807698807"/>
    <n v="34.111473786011146"/>
    <n v="1.0588929102563782"/>
    <n v="0.25567495764034698"/>
    <n v="0.42415010312591694"/>
    <x v="9"/>
    <n v="2.9508533985705399E-2"/>
    <n v="35.324091807698807"/>
    <x v="9"/>
    <x v="9"/>
    <x v="1"/>
    <s v=""/>
    <s v=""/>
    <n v="300"/>
    <s v=""/>
    <s v=""/>
    <s v=""/>
    <s v=""/>
    <n v="300"/>
    <n v="9.4393968544446807"/>
  </r>
  <r>
    <x v="3"/>
    <n v="2"/>
    <n v="1"/>
    <x v="0"/>
    <x v="0"/>
    <n v="18.144643313499966"/>
    <n v="43.016572007118498"/>
    <x v="10"/>
    <n v="0.5223016054235069"/>
    <n v="407.66703481579469"/>
    <n v="372.85332082285771"/>
    <n v="46.794366386575796"/>
    <n v="9.326060703337113"/>
    <n v="12.987012987012987"/>
    <n v="31.991610141995576"/>
    <n v="546.36424894705669"/>
    <n v="30.111600404982948"/>
    <n v="30.815820206074868"/>
    <n v="1.5540311958587276"/>
    <n v="0.58880935805573742"/>
    <n v="0.74614515060500985"/>
    <x v="10"/>
    <n v="1.6638916452584383E-2"/>
    <n v="30.111600404982948"/>
    <x v="10"/>
    <x v="10"/>
    <x v="1"/>
    <s v=""/>
    <s v=""/>
    <s v=""/>
    <s v=""/>
    <s v=""/>
    <s v=""/>
    <s v=""/>
    <n v="0"/>
    <n v="372.85332082285771"/>
  </r>
  <r>
    <x v="4"/>
    <n v="2"/>
    <n v="1"/>
    <x v="0"/>
    <x v="0"/>
    <n v="2.6356183746540363"/>
    <n v="23.051269479755479"/>
    <x v="11"/>
    <n v="0.52234831895418687"/>
    <n v="31.734932278216753"/>
    <n v="29.019417121728573"/>
    <n v="29.957513956629445"/>
    <n v="3.9756458199260787"/>
    <n v="12.987012987012987"/>
    <n v="28.772989307488235"/>
    <n v="42.528044579961723"/>
    <n v="16.135888635828834"/>
    <n v="27.09914639362162"/>
    <n v="1.8565766430805966"/>
    <n v="9.7258354059240298E-2"/>
    <n v="0.74621188422026707"/>
    <x v="11"/>
    <n v="0.21376268720317618"/>
    <n v="16.135888635828834"/>
    <x v="11"/>
    <x v="11"/>
    <x v="1"/>
    <s v=""/>
    <s v=""/>
    <s v=""/>
    <s v=""/>
    <n v="480"/>
    <s v=""/>
    <s v=""/>
    <n v="480"/>
    <n v="-450.98058287827143"/>
  </r>
  <r>
    <x v="5"/>
    <n v="2"/>
    <n v="1"/>
    <x v="0"/>
    <x v="0"/>
    <n v="13.689948376214849"/>
    <n v="52.886583802377487"/>
    <x v="12"/>
    <n v="0.45813765363882308"/>
    <n v="331.69835098293299"/>
    <n v="392.31625106597517"/>
    <n v="30.053336805707325"/>
    <n v="9.9404558025590983"/>
    <n v="12.987012987012987"/>
    <n v="25.193106806637793"/>
    <n v="506.8102214342357"/>
    <n v="37.020608661664241"/>
    <n v="26.834491561464208"/>
    <n v="0.81180018082275074"/>
    <n v="0.51016239099809746"/>
    <n v="0.65448236234117585"/>
    <x v="12"/>
    <n v="1.7937501467871909E-2"/>
    <n v="37.020608661664241"/>
    <x v="12"/>
    <x v="12"/>
    <x v="1"/>
    <s v=""/>
    <s v=""/>
    <s v=""/>
    <s v=""/>
    <s v=""/>
    <s v=""/>
    <s v=""/>
    <n v="0"/>
    <n v="392.31625106597517"/>
  </r>
  <r>
    <x v="6"/>
    <n v="2"/>
    <n v="1"/>
    <x v="0"/>
    <x v="0"/>
    <n v="11.243481318950993"/>
    <n v="37.997799173077269"/>
    <x v="13"/>
    <n v="0.51762426190297917"/>
    <n v="221.14334273000557"/>
    <n v="206.08420243374016"/>
    <n v="46.492305831481787"/>
    <n v="13.520609966764738"/>
    <n v="12.987012987012987"/>
    <n v="21.859398936347546"/>
    <n v="299.05928161462197"/>
    <n v="26.598459421154082"/>
    <n v="25.9714918690917"/>
    <n v="1.7479322804126725"/>
    <n v="0.43291626740671368"/>
    <n v="0.73946323128997027"/>
    <x v="13"/>
    <n v="3.039835126275715E-2"/>
    <n v="26.598459421154082"/>
    <x v="13"/>
    <x v="13"/>
    <x v="1"/>
    <s v=""/>
    <s v=""/>
    <s v=""/>
    <s v=""/>
    <s v=""/>
    <s v=""/>
    <s v=""/>
    <n v="0"/>
    <n v="206.08420243374016"/>
  </r>
  <r>
    <x v="0"/>
    <n v="2"/>
    <n v="1"/>
    <x v="0"/>
    <x v="0"/>
    <n v="12.767483164737854"/>
    <n v="50.349850955605206"/>
    <x v="14"/>
    <n v="0.31679852862843044"/>
    <n v="203.6510431593407"/>
    <n v="439.18983126340891"/>
    <n v="32.521842746990245"/>
    <n v="12.515145422033093"/>
    <n v="12.987012987012987"/>
    <n v="29.375583056266752"/>
    <n v="449.98861209592468"/>
    <n v="35.24489566892364"/>
    <n v="21.982762085496244"/>
    <n v="0.92273908405027905"/>
    <n v="0.58079522105011394"/>
    <n v="0.45256932661204352"/>
    <x v="14"/>
    <n v="2.0202531456443098E-2"/>
    <n v="35.24489566892364"/>
    <x v="14"/>
    <x v="14"/>
    <x v="1"/>
    <s v=""/>
    <n v="300"/>
    <s v=""/>
    <s v=""/>
    <s v=""/>
    <s v=""/>
    <s v=""/>
    <n v="300"/>
    <n v="139.18983126340891"/>
  </r>
  <r>
    <x v="1"/>
    <n v="3"/>
    <n v="1"/>
    <x v="0"/>
    <x v="0"/>
    <n v="4.1786155255126269"/>
    <n v="6.6677259234508277"/>
    <x v="15"/>
    <n v="0.12285402002774824"/>
    <n v="3.4229418828252358"/>
    <n v="24.438921180769412"/>
    <n v="21.194717458351452"/>
    <n v="3.0551846931726372"/>
    <n v="28.571428571428573"/>
    <n v="14.905929881153659"/>
    <n v="19.503304144516253"/>
    <n v="4.6674081464155792"/>
    <n v="18.252894893187786"/>
    <n v="4.5410036563072635"/>
    <n v="0.22892892058848921"/>
    <n v="0.1755057428967832"/>
    <x v="15"/>
    <n v="1.0254672670745077"/>
    <n v="4.6674081464155792"/>
    <x v="15"/>
    <x v="15"/>
    <x v="1"/>
    <n v="1000"/>
    <s v=""/>
    <s v=""/>
    <s v=""/>
    <s v=""/>
    <s v=""/>
    <s v=""/>
    <n v="1000"/>
    <n v="-975.5610788192306"/>
  </r>
  <r>
    <x v="2"/>
    <n v="3"/>
    <n v="1"/>
    <x v="0"/>
    <x v="0"/>
    <n v="8.8928238633712624"/>
    <n v="19.075995572975181"/>
    <x v="16"/>
    <n v="0.36280842437272792"/>
    <n v="61.546628331940802"/>
    <n v="108.09284031697743"/>
    <n v="40.360021321155635"/>
    <n v="6.6146234866903875"/>
    <n v="12.987012987012987"/>
    <n v="39.104345002534302"/>
    <n v="118.74762805424275"/>
    <n v="13.353196901082624"/>
    <n v="35.008061425575917"/>
    <n v="3.0224987783924164"/>
    <n v="0.25402217378636144"/>
    <n v="0.51829774910389714"/>
    <x v="16"/>
    <n v="7.6556553085476806E-2"/>
    <n v="13.353196901082624"/>
    <x v="16"/>
    <x v="16"/>
    <x v="1"/>
    <s v=""/>
    <s v=""/>
    <s v=""/>
    <s v=""/>
    <s v=""/>
    <s v=""/>
    <s v=""/>
    <n v="0"/>
    <n v="108.09284031697743"/>
  </r>
  <r>
    <x v="3"/>
    <n v="3"/>
    <n v="1"/>
    <x v="0"/>
    <x v="0"/>
    <n v="10.99841201922411"/>
    <n v="41.131284188205491"/>
    <x v="17"/>
    <n v="0.37259579460108228"/>
    <n v="168.55444231485509"/>
    <n v="283.82436806682676"/>
    <n v="11.080532966081041"/>
    <n v="8.1425324972190243"/>
    <n v="12.987012987012987"/>
    <n v="22.957940437880879"/>
    <n v="316.66516726717731"/>
    <n v="28.791898931743845"/>
    <n v="30.607431752677975"/>
    <n v="0.38484898103974846"/>
    <n v="0.35933795779065364"/>
    <n v="0.53227970657297474"/>
    <x v="17"/>
    <n v="2.8708269903392602E-2"/>
    <n v="28.791898931743845"/>
    <x v="17"/>
    <x v="17"/>
    <x v="1"/>
    <s v=""/>
    <s v=""/>
    <s v=""/>
    <s v=""/>
    <s v=""/>
    <s v=""/>
    <s v=""/>
    <n v="0"/>
    <n v="283.82436806682676"/>
  </r>
  <r>
    <x v="4"/>
    <n v="3"/>
    <n v="1"/>
    <x v="0"/>
    <x v="0"/>
    <n v="8.2899432686292975"/>
    <n v="28.036358780917315"/>
    <x v="18"/>
    <n v="0.26885609849292408"/>
    <n v="62.487487026575096"/>
    <n v="169.93233672616628"/>
    <n v="41.695511951717563"/>
    <n v="6.377447594510274"/>
    <n v="12.987012987012987"/>
    <n v="31.258024509731296"/>
    <n v="162.69387662691898"/>
    <n v="19.625451146642121"/>
    <n v="27.0701989538492"/>
    <n v="2.1245632337400604"/>
    <n v="0.30623872705045352"/>
    <n v="0.38408014070417723"/>
    <x v="18"/>
    <n v="5.5877389360853971E-2"/>
    <n v="19.625451146642121"/>
    <x v="18"/>
    <x v="18"/>
    <x v="1"/>
    <s v=""/>
    <s v=""/>
    <s v=""/>
    <s v=""/>
    <s v=""/>
    <s v=""/>
    <s v=""/>
    <n v="0"/>
    <n v="169.93233672616628"/>
  </r>
  <r>
    <x v="5"/>
    <n v="3"/>
    <n v="1"/>
    <x v="0"/>
    <x v="0"/>
    <n v="14.574848648338195"/>
    <n v="56.382767694231291"/>
    <x v="19"/>
    <n v="0.32311618996417446"/>
    <n v="265.52729014461789"/>
    <n v="556.24301537321548"/>
    <n v="45.364670543083257"/>
    <n v="8.2198072978148584"/>
    <n v="12.987012987012987"/>
    <n v="18.813353163745003"/>
    <n v="575.23921386248333"/>
    <n v="39.467937385961903"/>
    <n v="28.407129479790349"/>
    <n v="1.1494056580524201"/>
    <n v="0.51307009596682984"/>
    <n v="0.46159455709167774"/>
    <x v="19"/>
    <n v="1.5803701958820845E-2"/>
    <n v="39.467937385961903"/>
    <x v="19"/>
    <x v="19"/>
    <x v="1"/>
    <s v=""/>
    <s v=""/>
    <s v=""/>
    <n v="100"/>
    <s v=""/>
    <s v=""/>
    <s v=""/>
    <n v="100"/>
    <n v="456.24301537321548"/>
  </r>
  <r>
    <x v="6"/>
    <n v="3"/>
    <n v="1"/>
    <x v="0"/>
    <x v="0"/>
    <n v="16.321754577514859"/>
    <n v="71.608305203707104"/>
    <x v="20"/>
    <n v="0.30966748841646119"/>
    <n v="361.93105618451409"/>
    <n v="806.8421270621734"/>
    <n v="17.82043709613518"/>
    <n v="7.1530848325964316"/>
    <n v="12.987012987012987"/>
    <n v="29.551488075959064"/>
    <n v="818.14122827268125"/>
    <n v="50.12581364259497"/>
    <n v="26.525505961531252"/>
    <n v="0.35551417126508378"/>
    <n v="0.61532302536228967"/>
    <n v="0.44238212630923029"/>
    <x v="20"/>
    <n v="1.1111662359446758E-2"/>
    <n v="50.12581364259497"/>
    <x v="20"/>
    <x v="20"/>
    <x v="1"/>
    <s v=""/>
    <s v=""/>
    <s v=""/>
    <s v=""/>
    <s v=""/>
    <s v=""/>
    <s v=""/>
    <n v="0"/>
    <n v="806.8421270621734"/>
  </r>
  <r>
    <x v="0"/>
    <n v="3"/>
    <n v="1"/>
    <x v="0"/>
    <x v="0"/>
    <n v="13.892050108302623"/>
    <n v="50.155409072357315"/>
    <x v="21"/>
    <n v="0.51131900475460801"/>
    <n v="356.26737425149651"/>
    <n v="340.49408178410732"/>
    <n v="34.149029051011908"/>
    <n v="10.228027437209471"/>
    <n v="12.987012987012987"/>
    <n v="25.701599641167935"/>
    <n v="487.73301922492266"/>
    <n v="35.108786350650121"/>
    <n v="25.612169363451329"/>
    <n v="0.97266333019738693"/>
    <n v="0.54240036879213505"/>
    <n v="0.73045572107801149"/>
    <x v="21"/>
    <n v="1.8639109374542329E-2"/>
    <n v="35.108786350650121"/>
    <x v="21"/>
    <x v="21"/>
    <x v="1"/>
    <s v=""/>
    <s v=""/>
    <s v=""/>
    <s v=""/>
    <s v=""/>
    <s v=""/>
    <s v=""/>
    <n v="0"/>
    <n v="340.49408178410732"/>
  </r>
  <r>
    <x v="1"/>
    <n v="4"/>
    <n v="1"/>
    <x v="0"/>
    <x v="0"/>
    <n v="7.8972022567366285"/>
    <n v="29.057494314594052"/>
    <x v="22"/>
    <n v="0.19495880030232582"/>
    <n v="44.737763172380077"/>
    <n v="184.73514650394381"/>
    <n v="30.623702176179219"/>
    <n v="2.8944195603519294"/>
    <n v="28.571428571428573"/>
    <n v="29.51346190296432"/>
    <n v="160.63103677342673"/>
    <n v="20.340246020215837"/>
    <n v="19.329010843560063"/>
    <n v="1.50557186701394"/>
    <n v="0.40856732507694654"/>
    <n v="0.27851257186046541"/>
    <x v="22"/>
    <n v="0.12450893925443809"/>
    <n v="20.340246020215837"/>
    <x v="22"/>
    <x v="22"/>
    <x v="1"/>
    <n v="1000"/>
    <s v=""/>
    <s v=""/>
    <s v=""/>
    <s v=""/>
    <s v=""/>
    <s v=""/>
    <n v="1000"/>
    <n v="-815.26485349605616"/>
  </r>
  <r>
    <x v="2"/>
    <n v="4"/>
    <n v="1"/>
    <x v="0"/>
    <x v="0"/>
    <n v="11.387260536758729"/>
    <n v="48.723865838931154"/>
    <x v="23"/>
    <n v="0.29905140328159469"/>
    <n v="165.92309519749173"/>
    <n v="388.90825946849577"/>
    <n v="72.642025055027389"/>
    <n v="14.207313009518359"/>
    <n v="12.987012987012987"/>
    <n v="42.619785681498001"/>
    <n v="388.38194826619127"/>
    <n v="34.106706087251808"/>
    <n v="61.519263653991239"/>
    <n v="2.1298458100642872"/>
    <n v="0.18510072878643677"/>
    <n v="0.42721629040227815"/>
    <x v="23"/>
    <n v="2.3407136020334073E-2"/>
    <n v="34.106706087251808"/>
    <x v="23"/>
    <x v="23"/>
    <x v="1"/>
    <s v=""/>
    <s v=""/>
    <s v=""/>
    <s v=""/>
    <s v=""/>
    <s v=""/>
    <s v=""/>
    <n v="0"/>
    <n v="388.90825946849577"/>
  </r>
  <r>
    <x v="3"/>
    <n v="4"/>
    <n v="1"/>
    <x v="0"/>
    <x v="0"/>
    <n v="13.291160321798269"/>
    <n v="117.57123123164216"/>
    <x v="24"/>
    <n v="0.152978101789598"/>
    <n v="239.05246736473913"/>
    <n v="1323.6056161662325"/>
    <n v="44.527586967277493"/>
    <n v="9.5856276971265952"/>
    <n v="12.987012987012987"/>
    <n v="31.405386198392833"/>
    <n v="1093.8606584716802"/>
    <n v="82.299861862149513"/>
    <n v="44.401486291940614"/>
    <n v="0.54104084696837329"/>
    <n v="0.29934043726393839"/>
    <n v="0.21854014541371145"/>
    <x v="24"/>
    <n v="8.3108474744952657E-3"/>
    <n v="82.299861862149513"/>
    <x v="24"/>
    <x v="24"/>
    <x v="1"/>
    <s v=""/>
    <s v=""/>
    <s v=""/>
    <s v=""/>
    <s v=""/>
    <n v="83"/>
    <s v=""/>
    <n v="83"/>
    <n v="1240.6056161662325"/>
  </r>
  <r>
    <x v="4"/>
    <n v="4"/>
    <n v="1"/>
    <x v="0"/>
    <x v="0"/>
    <n v="15.536745757215304"/>
    <n v="70.240454971124706"/>
    <x v="25"/>
    <n v="0.5483522423594045"/>
    <n v="598.4212386718325"/>
    <n v="492.88685208566176"/>
    <n v="50.853132162896408"/>
    <n v="14.693402194655292"/>
    <n v="12.987012987012987"/>
    <n v="60.275227822509656"/>
    <n v="763.91566353024598"/>
    <n v="49.168318479787288"/>
    <n v="43.810886955553791"/>
    <n v="1.0342662457289795"/>
    <n v="0.35463207519576939"/>
    <n v="0.78336034622772077"/>
    <x v="25"/>
    <n v="1.1900409331702558E-2"/>
    <n v="49.168318479787288"/>
    <x v="25"/>
    <x v="25"/>
    <x v="1"/>
    <s v=""/>
    <s v=""/>
    <s v=""/>
    <s v=""/>
    <s v=""/>
    <s v=""/>
    <s v=""/>
    <n v="0"/>
    <n v="492.88685208566176"/>
  </r>
  <r>
    <x v="5"/>
    <n v="4"/>
    <n v="1"/>
    <x v="0"/>
    <x v="0"/>
    <n v="8.2798464154411349"/>
    <n v="49.582238428723684"/>
    <x v="26"/>
    <n v="0.65251055763237753"/>
    <n v="267.87732498802114"/>
    <n v="142.65599413559437"/>
    <n v="37.931775527799502"/>
    <n v="15.40375554673261"/>
    <n v="12.987012987012987"/>
    <n v="66.065495410643393"/>
    <n v="287.37332338653084"/>
    <n v="34.707566900106578"/>
    <n v="54.846462517419383"/>
    <n v="1.0928964175729363"/>
    <n v="0.15096409203804956"/>
    <n v="0.93215793947482506"/>
    <x v="26"/>
    <n v="3.1634491969462955E-2"/>
    <n v="34.707566900106578"/>
    <x v="26"/>
    <x v="26"/>
    <x v="1"/>
    <s v=""/>
    <s v=""/>
    <s v=""/>
    <s v=""/>
    <s v=""/>
    <s v=""/>
    <s v=""/>
    <n v="0"/>
    <n v="142.65599413559437"/>
  </r>
  <r>
    <x v="6"/>
    <n v="4"/>
    <n v="1"/>
    <x v="0"/>
    <x v="0"/>
    <n v="16.508339456429443"/>
    <n v="50.919568321160916"/>
    <x v="27"/>
    <n v="0.48376781139411573"/>
    <n v="406.65402194315379"/>
    <n v="433.94349687742169"/>
    <n v="69.965372029556406"/>
    <n v="15.737721832892973"/>
    <n v="12.987012987012987"/>
    <n v="41.929469742803477"/>
    <n v="588.4182631744028"/>
    <n v="35.643697824812641"/>
    <n v="52.256721390889084"/>
    <n v="1.9629100317658799"/>
    <n v="0.31590844234073318"/>
    <n v="0.69109687342016535"/>
    <x v="27"/>
    <n v="1.5449739853187752E-2"/>
    <n v="35.643697824812641"/>
    <x v="27"/>
    <x v="27"/>
    <x v="1"/>
    <s v=""/>
    <s v=""/>
    <s v=""/>
    <s v=""/>
    <s v=""/>
    <s v=""/>
    <s v=""/>
    <n v="0"/>
    <n v="433.94349687742169"/>
  </r>
  <r>
    <x v="0"/>
    <n v="4"/>
    <n v="1"/>
    <x v="0"/>
    <x v="0"/>
    <n v="10.970620953831924"/>
    <n v="94.283258342258677"/>
    <x v="28"/>
    <n v="0.24933334441415855"/>
    <n v="257.89691992631214"/>
    <n v="776.44896963881934"/>
    <n v="48.601564284201189"/>
    <n v="14.845973658119274"/>
    <n v="12.987012987012987"/>
    <n v="43.587324012372505"/>
    <n v="724.04212269559207"/>
    <n v="65.998280839581071"/>
    <n v="57.900264105500419"/>
    <n v="0.73640651947184399"/>
    <n v="0.18947445444881372"/>
    <n v="0.35619049202022651"/>
    <x v="28"/>
    <n v="1.2555773767780038E-2"/>
    <n v="65.998280839581071"/>
    <x v="28"/>
    <x v="28"/>
    <x v="1"/>
    <s v=""/>
    <s v=""/>
    <s v=""/>
    <s v=""/>
    <s v=""/>
    <s v=""/>
    <s v=""/>
    <n v="0"/>
    <n v="776.44896963881934"/>
  </r>
  <r>
    <x v="1"/>
    <n v="5"/>
    <n v="1"/>
    <x v="0"/>
    <x v="0"/>
    <n v="7.3724797018319936"/>
    <n v="25.009178207076488"/>
    <x v="29"/>
    <n v="0.23280064168165271"/>
    <n v="42.923702856348598"/>
    <n v="141.45595583482185"/>
    <n v="36.309951792277595"/>
    <n v="3.6669294375142747"/>
    <n v="28.571428571428573"/>
    <n v="29.591619125359777"/>
    <n v="129.0657610838193"/>
    <n v="17.506424744953538"/>
    <n v="29.889544556204473"/>
    <n v="2.0740929299538688"/>
    <n v="0.24665747877050251"/>
    <n v="0.33257234525950391"/>
    <x v="29"/>
    <n v="0.15495976494502969"/>
    <n v="17.506424744953538"/>
    <x v="29"/>
    <x v="29"/>
    <x v="1"/>
    <n v="1000"/>
    <s v=""/>
    <s v=""/>
    <s v=""/>
    <s v=""/>
    <s v=""/>
    <s v=""/>
    <n v="1000"/>
    <n v="-858.54404416517809"/>
  </r>
  <r>
    <x v="2"/>
    <n v="5"/>
    <n v="1"/>
    <x v="0"/>
    <x v="0"/>
    <n v="8.7648832159991059"/>
    <n v="32.199326815748179"/>
    <x v="30"/>
    <n v="0.5216418155673892"/>
    <n v="147.21949504212316"/>
    <n v="135.003844131698"/>
    <n v="71.663319832317015"/>
    <n v="7.7333283644123165"/>
    <n v="12.987012987012987"/>
    <n v="49.634748552070064"/>
    <n v="197.55633742167481"/>
    <n v="22.539528771023726"/>
    <n v="67.101300794781892"/>
    <n v="3.1794506691038569"/>
    <n v="0.13062165877834522"/>
    <n v="0.74520259366769892"/>
    <x v="30"/>
    <n v="4.6016793030055868E-2"/>
    <n v="22.539528771023726"/>
    <x v="30"/>
    <x v="30"/>
    <x v="1"/>
    <s v=""/>
    <s v=""/>
    <s v=""/>
    <s v=""/>
    <s v=""/>
    <s v=""/>
    <s v=""/>
    <n v="0"/>
    <n v="135.003844131698"/>
  </r>
  <r>
    <x v="3"/>
    <n v="5"/>
    <n v="2"/>
    <x v="1"/>
    <x v="0"/>
    <n v="14.527800914189736"/>
    <n v="50.953442607060374"/>
    <x v="31"/>
    <n v="0.44355669442035472"/>
    <n v="328.33905954508208"/>
    <n v="411.90241054288384"/>
    <n v="62.029815334441757"/>
    <n v="13.816093946208319"/>
    <n v="12.987012987012987"/>
    <n v="58.166916841892409"/>
    <n v="518.16902906157611"/>
    <n v="35.667409824942254"/>
    <n v="60.882166778633007"/>
    <n v="1.7391174643431564"/>
    <n v="0.23862161422428813"/>
    <n v="0.63365242060050686"/>
    <x v="31"/>
    <n v="1.7544292655570469E-2"/>
    <n v="35.667409824942254"/>
    <x v="31"/>
    <x v="31"/>
    <x v="0"/>
    <s v=""/>
    <s v=""/>
    <s v=""/>
    <s v=""/>
    <s v=""/>
    <s v=""/>
    <s v=""/>
    <n v="3000"/>
    <n v="-2588.0975894571161"/>
  </r>
  <r>
    <x v="4"/>
    <n v="5"/>
    <n v="2"/>
    <x v="1"/>
    <x v="0"/>
    <n v="27.67687283260215"/>
    <n v="60.853953648789521"/>
    <x v="32"/>
    <n v="0.53931912139269855"/>
    <n v="908.34668586460043"/>
    <n v="775.90045063401271"/>
    <n v="71.998444631239607"/>
    <n v="27.688764778270887"/>
    <n v="12.987012987012987"/>
    <n v="59.793775800603761"/>
    <n v="1178.9729955490291"/>
    <n v="42.597767554152661"/>
    <n v="50.564861730026678"/>
    <n v="1.6901929083422309"/>
    <n v="0.54735387155556947"/>
    <n v="0.77045588770385509"/>
    <x v="32"/>
    <n v="7.7108713475456643E-3"/>
    <n v="42.597767554152661"/>
    <x v="32"/>
    <x v="32"/>
    <x v="1"/>
    <s v=""/>
    <s v=""/>
    <s v=""/>
    <s v=""/>
    <s v=""/>
    <s v=""/>
    <s v=""/>
    <n v="0"/>
    <n v="775.90045063401271"/>
  </r>
  <r>
    <x v="5"/>
    <n v="5"/>
    <n v="2"/>
    <x v="1"/>
    <x v="0"/>
    <n v="12.249160823142189"/>
    <n v="31.610516250668773"/>
    <x v="33"/>
    <n v="0.38032024684572152"/>
    <n v="147.26087327200943"/>
    <n v="239.94142398498204"/>
    <n v="85.175187000548163"/>
    <n v="11.761877759638585"/>
    <n v="12.987012987012987"/>
    <n v="42.852576932800886"/>
    <n v="271.04160807989399"/>
    <n v="22.127361375468141"/>
    <n v="39.350598176248369"/>
    <n v="3.8493151332078401"/>
    <n v="0.31128270956083359"/>
    <n v="0.54331463835103078"/>
    <x v="33"/>
    <n v="3.354064032939693E-2"/>
    <n v="22.127361375468141"/>
    <x v="33"/>
    <x v="33"/>
    <x v="1"/>
    <s v=""/>
    <s v=""/>
    <s v=""/>
    <s v=""/>
    <s v=""/>
    <s v=""/>
    <s v=""/>
    <n v="0"/>
    <n v="239.94142398498204"/>
  </r>
  <r>
    <x v="6"/>
    <n v="5"/>
    <n v="2"/>
    <x v="1"/>
    <x v="0"/>
    <n v="11.039963086790973"/>
    <n v="74.643981390104173"/>
    <x v="34"/>
    <n v="0.34362987149636071"/>
    <n v="283.17396831277875"/>
    <n v="540.89283088508364"/>
    <n v="67.828520872633732"/>
    <n v="15.519974587802178"/>
    <n v="12.987012987012987"/>
    <n v="67.294672320120142"/>
    <n v="576.84675943850368"/>
    <n v="52.25078697307292"/>
    <n v="59.819463402754231"/>
    <n v="1.2981339574385491"/>
    <n v="0.18455469940378413"/>
    <n v="0.49089981642337244"/>
    <x v="34"/>
    <n v="1.5759660502831084E-2"/>
    <n v="52.25078697307292"/>
    <x v="34"/>
    <x v="34"/>
    <x v="1"/>
    <s v=""/>
    <s v=""/>
    <s v=""/>
    <s v=""/>
    <s v=""/>
    <s v=""/>
    <s v=""/>
    <n v="0"/>
    <n v="540.89283088508364"/>
  </r>
  <r>
    <x v="0"/>
    <n v="5"/>
    <n v="2"/>
    <x v="1"/>
    <x v="0"/>
    <n v="4.785792171934955"/>
    <n v="29.833149308107394"/>
    <x v="35"/>
    <n v="0.32245035681508061"/>
    <n v="46.037931088129589"/>
    <n v="96.737321334777477"/>
    <n v="80.399401039785985"/>
    <n v="22.218668593876558"/>
    <n v="12.987012987012987"/>
    <n v="57.263106681423608"/>
    <n v="99.942676696034951"/>
    <n v="20.883204515675175"/>
    <n v="59.902766914642029"/>
    <n v="3.8499551627451267"/>
    <n v="7.9892673050552601E-2"/>
    <n v="0.46064336687868662"/>
    <x v="35"/>
    <n v="9.0961232893112587E-2"/>
    <n v="20.883204515675175"/>
    <x v="35"/>
    <x v="35"/>
    <x v="1"/>
    <s v=""/>
    <s v=""/>
    <s v=""/>
    <s v=""/>
    <s v=""/>
    <s v=""/>
    <n v="1000"/>
    <n v="1000"/>
    <n v="-903.26267866522255"/>
  </r>
  <r>
    <x v="1"/>
    <n v="6"/>
    <n v="2"/>
    <x v="1"/>
    <x v="0"/>
    <n v="13.198729113113764"/>
    <n v="40.640735318273002"/>
    <x v="36"/>
    <n v="0.2586072045559778"/>
    <n v="138.71847075861379"/>
    <n v="397.68758566502686"/>
    <n v="21.14099688740065"/>
    <n v="1.5151629440362413"/>
    <n v="28.571428571428573"/>
    <n v="27.99643250498584"/>
    <n v="375.48423949654841"/>
    <n v="28.448514722791099"/>
    <n v="20.711790201036081"/>
    <n v="0.74313183283568263"/>
    <n v="0.63725679842264504"/>
    <n v="0.36943886365139683"/>
    <x v="36"/>
    <n v="5.326455253306004E-2"/>
    <n v="28.448514722791099"/>
    <x v="36"/>
    <x v="36"/>
    <x v="1"/>
    <n v="1000"/>
    <s v=""/>
    <s v=""/>
    <s v=""/>
    <s v=""/>
    <s v=""/>
    <s v=""/>
    <n v="1000"/>
    <n v="-602.31241433497314"/>
  </r>
  <r>
    <x v="2"/>
    <n v="6"/>
    <n v="2"/>
    <x v="1"/>
    <x v="0"/>
    <n v="11.068019958396093"/>
    <n v="55.63862229537731"/>
    <x v="37"/>
    <n v="0.8163703010762845"/>
    <n v="502.72849060763389"/>
    <n v="113.08089141526403"/>
    <n v="42.285954694782227"/>
    <n v="5.1663941021844044"/>
    <n v="12.987012987012987"/>
    <n v="65.84248541737"/>
    <n v="431.06656741602853"/>
    <n v="38.947035606764118"/>
    <n v="69.857196409484288"/>
    <n v="1.085729736191738"/>
    <n v="0.15843779205678835"/>
    <n v="1.1662432872518351"/>
    <x v="37"/>
    <n v="2.1089339276305609E-2"/>
    <n v="38.947035606764118"/>
    <x v="37"/>
    <x v="37"/>
    <x v="1"/>
    <s v=""/>
    <s v=""/>
    <s v=""/>
    <s v=""/>
    <s v=""/>
    <s v=""/>
    <s v=""/>
    <n v="0"/>
    <n v="113.08089141526403"/>
  </r>
  <r>
    <x v="3"/>
    <n v="6"/>
    <n v="2"/>
    <x v="1"/>
    <x v="0"/>
    <n v="12.001406345525737"/>
    <n v="143.42934275409618"/>
    <x v="38"/>
    <n v="0.63449284770340342"/>
    <n v="1092.1866898621529"/>
    <n v="629.16713440144304"/>
    <n v="82.913108848954678"/>
    <n v="11.637558914456459"/>
    <n v="12.987012987012987"/>
    <n v="51.535649826144123"/>
    <n v="1204.9476769845171"/>
    <n v="100.40053992786733"/>
    <n v="66.017298307993713"/>
    <n v="0.82582333629404303"/>
    <n v="0.18179184324591705"/>
    <n v="0.90641835386200498"/>
    <x v="38"/>
    <n v="7.544650497737674E-3"/>
    <n v="100.40053992786733"/>
    <x v="38"/>
    <x v="38"/>
    <x v="1"/>
    <s v=""/>
    <s v=""/>
    <s v=""/>
    <s v=""/>
    <s v=""/>
    <s v=""/>
    <s v=""/>
    <n v="0"/>
    <n v="629.16713440144304"/>
  </r>
  <r>
    <x v="4"/>
    <n v="6"/>
    <n v="2"/>
    <x v="1"/>
    <x v="0"/>
    <n v="23.869920955845124"/>
    <n v="87.181604728560529"/>
    <x v="39"/>
    <n v="1.1161917978862474"/>
    <n v="2322.815238116978"/>
    <n v="-241.79722444250456"/>
    <n v="84.057910083099273"/>
    <n v="14.931208342627137"/>
    <n v="12.987012987012987"/>
    <n v="64.272331523766795"/>
    <n v="1456.7126095721312"/>
    <n v="61.027123309992362"/>
    <n v="66.351728668596053"/>
    <n v="1.3773860789098662"/>
    <n v="0.35974829043365436"/>
    <n v="1.5945597112660679"/>
    <x v="39"/>
    <n v="6.2407018592221088E-3"/>
    <n v="61.027123309992362"/>
    <x v="39"/>
    <x v="39"/>
    <x v="1"/>
    <s v=""/>
    <s v=""/>
    <s v=""/>
    <s v=""/>
    <s v=""/>
    <s v=""/>
    <s v=""/>
    <n v="0"/>
    <n v="-241.79722444250456"/>
  </r>
  <r>
    <x v="5"/>
    <n v="6"/>
    <n v="2"/>
    <x v="1"/>
    <x v="0"/>
    <n v="26.92499050146505"/>
    <n v="71.683508937655532"/>
    <x v="40"/>
    <n v="0.53427399243850004"/>
    <n v="1031.1903704579697"/>
    <n v="898.88742680009045"/>
    <n v="88.294868949525437"/>
    <n v="9.5812709262722873"/>
    <n v="12.987012987012987"/>
    <n v="73.402602061347295"/>
    <n v="1351.054458080642"/>
    <n v="50.178456256358864"/>
    <n v="60.940971189115132"/>
    <n v="1.7596170854366664"/>
    <n v="0.44182083048709619"/>
    <n v="0.76324856062642876"/>
    <x v="40"/>
    <n v="6.7287510407418897E-3"/>
    <n v="50.178456256358864"/>
    <x v="40"/>
    <x v="40"/>
    <x v="1"/>
    <s v=""/>
    <s v=""/>
    <n v="300"/>
    <s v=""/>
    <s v=""/>
    <s v=""/>
    <s v=""/>
    <n v="300"/>
    <n v="598.88742680009045"/>
  </r>
  <r>
    <x v="6"/>
    <n v="6"/>
    <n v="2"/>
    <x v="1"/>
    <x v="0"/>
    <n v="25.376058354637586"/>
    <n v="82.493166465621641"/>
    <x v="41"/>
    <n v="0.86271088534016838"/>
    <n v="1805.9570448763761"/>
    <n v="287.39436121407107"/>
    <n v="54.315023291939617"/>
    <n v="9.8620794316462668"/>
    <n v="12.987012987012987"/>
    <n v="56.962352895862722"/>
    <n v="1465.3459842633129"/>
    <n v="57.745216525935142"/>
    <n v="58.543038481610765"/>
    <n v="0.94059779423539058"/>
    <n v="0.43345987862602281"/>
    <n v="1.2324441219145266"/>
    <x v="41"/>
    <n v="6.2039335341540162E-3"/>
    <n v="57.745216525935142"/>
    <x v="41"/>
    <x v="41"/>
    <x v="1"/>
    <s v=""/>
    <s v=""/>
    <s v=""/>
    <s v=""/>
    <s v=""/>
    <s v=""/>
    <s v=""/>
    <n v="0"/>
    <n v="287.39436121407107"/>
  </r>
  <r>
    <x v="0"/>
    <n v="6"/>
    <n v="2"/>
    <x v="1"/>
    <x v="0"/>
    <n v="15.601070418332139"/>
    <n v="111.39908601963208"/>
    <x v="42"/>
    <n v="0.7619962164227656"/>
    <n v="1324.307503324869"/>
    <n v="413.63748220525031"/>
    <n v="80.615616222197232"/>
    <n v="20.39657828343973"/>
    <n v="12.987012987012987"/>
    <n v="54.691836985954296"/>
    <n v="1216.5614898710835"/>
    <n v="77.979360213742453"/>
    <n v="72.609245247622553"/>
    <n v="1.0338070997406079"/>
    <n v="0.21486341532854544"/>
    <n v="1.0885660234610937"/>
    <x v="42"/>
    <n v="7.4726260584431579E-3"/>
    <n v="77.979360213742453"/>
    <x v="42"/>
    <x v="42"/>
    <x v="1"/>
    <s v=""/>
    <s v=""/>
    <s v=""/>
    <s v=""/>
    <n v="480"/>
    <s v=""/>
    <s v=""/>
    <n v="480"/>
    <n v="-66.362517794749692"/>
  </r>
  <r>
    <x v="1"/>
    <n v="7"/>
    <n v="2"/>
    <x v="1"/>
    <x v="0"/>
    <n v="10.191014296968246"/>
    <n v="61.790238444917435"/>
    <x v="43"/>
    <n v="0.3203885996254196"/>
    <n v="201.75036829584184"/>
    <n v="427.95483510938874"/>
    <n v="40.442440487563928"/>
    <n v="12.276891532730437"/>
    <n v="28.571428571428573"/>
    <n v="28.125778551891063"/>
    <n v="440.79364238366139"/>
    <n v="43.253166911442207"/>
    <n v="36.212203046908968"/>
    <n v="0.93501686409152329"/>
    <n v="0.28142486342979178"/>
    <n v="0.45769799946488515"/>
    <x v="43"/>
    <n v="4.5372705222894855E-2"/>
    <n v="43.253166911442207"/>
    <x v="43"/>
    <x v="43"/>
    <x v="1"/>
    <n v="1000"/>
    <s v=""/>
    <s v=""/>
    <s v=""/>
    <s v=""/>
    <s v=""/>
    <s v=""/>
    <n v="1000"/>
    <n v="-572.0451648906112"/>
  </r>
  <r>
    <x v="2"/>
    <n v="7"/>
    <n v="2"/>
    <x v="1"/>
    <x v="0"/>
    <n v="31.74947172255261"/>
    <n v="24.876840533027369"/>
    <x v="44"/>
    <n v="0.85066458909454656"/>
    <n v="671.87747340075612"/>
    <n v="117.94907164904691"/>
    <n v="75.002514952569967"/>
    <n v="36.366235070162411"/>
    <n v="12.987012987012987"/>
    <n v="54.981916358113565"/>
    <n v="552.87858153486206"/>
    <n v="17.413788373119157"/>
    <n v="58.847424012160054"/>
    <n v="4.307076286073845"/>
    <n v="0.53952186107572009"/>
    <n v="1.2152351272779238"/>
    <x v="44"/>
    <n v="1.6442867194586479E-2"/>
    <n v="17.413788373119157"/>
    <x v="44"/>
    <x v="44"/>
    <x v="1"/>
    <s v=""/>
    <s v=""/>
    <s v=""/>
    <s v=""/>
    <s v=""/>
    <s v=""/>
    <s v=""/>
    <n v="0"/>
    <n v="117.94907164904691"/>
  </r>
  <r>
    <x v="3"/>
    <n v="7"/>
    <n v="2"/>
    <x v="1"/>
    <x v="0"/>
    <n v="5.687225629645499"/>
    <n v="120.41249592590228"/>
    <x v="45"/>
    <n v="0.87579011689882091"/>
    <n v="599.75248618932767"/>
    <n v="85.060546770047949"/>
    <n v="55.080737420446603"/>
    <n v="20.47685073813803"/>
    <n v="12.987012987012987"/>
    <n v="65.971084907076332"/>
    <n v="479.36912307156291"/>
    <n v="84.288747148131577"/>
    <n v="78.346154036741837"/>
    <n v="0.65347676035148627"/>
    <n v="7.2590999514518251E-2"/>
    <n v="1.251128738426887"/>
    <x v="45"/>
    <n v="1.896431925498036E-2"/>
    <n v="84.288747148131577"/>
    <x v="45"/>
    <x v="45"/>
    <x v="1"/>
    <s v=""/>
    <n v="300"/>
    <s v=""/>
    <s v=""/>
    <s v=""/>
    <s v=""/>
    <s v=""/>
    <n v="300"/>
    <n v="-214.93945322995205"/>
  </r>
  <r>
    <x v="4"/>
    <n v="7"/>
    <n v="2"/>
    <x v="1"/>
    <x v="0"/>
    <n v="24.311549812075629"/>
    <n v="78.697819913453827"/>
    <x v="46"/>
    <n v="0.80865566573052994"/>
    <n v="1547.1733658227888"/>
    <n v="366.0926031049014"/>
    <n v="66.33963320987904"/>
    <n v="27.931312649398265"/>
    <n v="12.987012987012987"/>
    <n v="59.594932099993457"/>
    <n v="1339.2861782493831"/>
    <n v="55.088473939417675"/>
    <n v="82.907412576192328"/>
    <n v="1.2042379914686796"/>
    <n v="0.293237348225446"/>
    <n v="1.1552223796150429"/>
    <x v="46"/>
    <n v="6.7878764363805064E-3"/>
    <n v="55.088473939417675"/>
    <x v="46"/>
    <x v="46"/>
    <x v="1"/>
    <s v=""/>
    <s v=""/>
    <s v=""/>
    <s v=""/>
    <s v=""/>
    <s v=""/>
    <s v=""/>
    <n v="0"/>
    <n v="366.0926031049014"/>
  </r>
  <r>
    <x v="5"/>
    <n v="7"/>
    <n v="2"/>
    <x v="1"/>
    <x v="0"/>
    <n v="20.867586131522664"/>
    <n v="175.65860274351772"/>
    <x v="47"/>
    <n v="0.93996462669575165"/>
    <n v="3445.5070977846603"/>
    <n v="220.0639247086192"/>
    <n v="80.661208207635482"/>
    <n v="16.356815909734092"/>
    <n v="12.987012987012987"/>
    <n v="63.328390589958019"/>
    <n v="2565.8997157452955"/>
    <n v="122.9610219204624"/>
    <n v="67.154940832872967"/>
    <n v="0.65599006049096886"/>
    <n v="0.31073791254548744"/>
    <n v="1.3428066095653597"/>
    <x v="47"/>
    <n v="3.5429713153339393E-3"/>
    <n v="122.9610219204624"/>
    <x v="47"/>
    <x v="47"/>
    <x v="1"/>
    <s v=""/>
    <s v=""/>
    <s v=""/>
    <s v=""/>
    <s v=""/>
    <s v=""/>
    <s v=""/>
    <n v="0"/>
    <n v="220.0639247086192"/>
  </r>
  <r>
    <x v="6"/>
    <n v="7"/>
    <n v="2"/>
    <x v="1"/>
    <x v="0"/>
    <n v="34.426599178912532"/>
    <n v="130.31981145329726"/>
    <x v="48"/>
    <n v="1.0623816900526992"/>
    <n v="4766.3413648150326"/>
    <n v="-279.87345084091339"/>
    <n v="100.42608330182415"/>
    <n v="24.910147795376329"/>
    <n v="12.987012987012987"/>
    <n v="63.607449135023401"/>
    <n v="3140.5275397818832"/>
    <n v="91.223868017308064"/>
    <n v="54.112418031366282"/>
    <n v="1.1008750832925669"/>
    <n v="0.63620515274252099"/>
    <n v="1.5176881286467132"/>
    <x v="48"/>
    <n v="2.894707648874964E-3"/>
    <n v="91.223868017308064"/>
    <x v="48"/>
    <x v="48"/>
    <x v="1"/>
    <s v=""/>
    <s v=""/>
    <s v=""/>
    <s v=""/>
    <s v=""/>
    <s v=""/>
    <s v=""/>
    <n v="0"/>
    <n v="-279.87345084091339"/>
  </r>
  <r>
    <x v="0"/>
    <n v="7"/>
    <n v="2"/>
    <x v="1"/>
    <x v="0"/>
    <n v="22.294276942173045"/>
    <n v="68.599810117005589"/>
    <x v="49"/>
    <n v="0.53069874167376929"/>
    <n v="811.64172116487066"/>
    <n v="717.74144376413619"/>
    <n v="133.59858316575045"/>
    <n v="17.217959502711778"/>
    <n v="12.987012987012987"/>
    <n v="71.697243967645193"/>
    <n v="1070.5682154503047"/>
    <n v="48.019867081903904"/>
    <n v="56.424003956122007"/>
    <n v="2.7821522899653455"/>
    <n v="0.39512043419517229"/>
    <n v="0.75814105953395616"/>
    <x v="49"/>
    <n v="8.4916672844478694E-3"/>
    <n v="48.019867081903904"/>
    <x v="49"/>
    <x v="49"/>
    <x v="1"/>
    <s v=""/>
    <s v=""/>
    <s v=""/>
    <s v=""/>
    <s v=""/>
    <s v=""/>
    <s v=""/>
    <n v="0"/>
    <n v="717.74144376413619"/>
  </r>
  <r>
    <x v="1"/>
    <n v="8"/>
    <n v="2"/>
    <x v="1"/>
    <x v="0"/>
    <n v="6.101097120120718"/>
    <n v="66.492259370938655"/>
    <x v="50"/>
    <n v="0.31006452911247523"/>
    <n v="125.78565486403855"/>
    <n v="279.89007729431512"/>
    <n v="47.283785299965288"/>
    <n v="14.032116735204657"/>
    <n v="28.571428571428573"/>
    <n v="28.537781957225864"/>
    <n v="283.97301251084752"/>
    <n v="46.544581559657054"/>
    <n v="39.259800991074478"/>
    <n v="1.0158816282269243"/>
    <n v="0.15540315962140949"/>
    <n v="0.44294932730353609"/>
    <x v="50"/>
    <n v="7.04292278451496E-2"/>
    <n v="46.544581559657054"/>
    <x v="50"/>
    <x v="50"/>
    <x v="1"/>
    <n v="1000"/>
    <s v=""/>
    <s v=""/>
    <n v="100"/>
    <s v=""/>
    <s v=""/>
    <s v=""/>
    <n v="1100"/>
    <n v="-820.10992270568488"/>
  </r>
  <r>
    <x v="2"/>
    <n v="8"/>
    <n v="2"/>
    <x v="1"/>
    <x v="0"/>
    <n v="19.783364875251358"/>
    <n v="128.39981995129742"/>
    <x v="51"/>
    <n v="0.85415544704104085"/>
    <n v="2169.7090003037551"/>
    <n v="370.47148770934064"/>
    <n v="88.914682495303367"/>
    <n v="22.528124315271455"/>
    <n v="12.987012987012987"/>
    <n v="78.438442368172261"/>
    <n v="1778.126341609167"/>
    <n v="89.879873965908189"/>
    <n v="73.831431350497496"/>
    <n v="0.98926131704444842"/>
    <n v="0.26795315373657663"/>
    <n v="1.220222067201487"/>
    <x v="51"/>
    <n v="5.1126339440435986E-3"/>
    <n v="89.879873965908189"/>
    <x v="51"/>
    <x v="51"/>
    <x v="1"/>
    <s v=""/>
    <s v=""/>
    <s v=""/>
    <s v=""/>
    <s v=""/>
    <s v=""/>
    <s v=""/>
    <n v="0"/>
    <n v="370.47148770934064"/>
  </r>
  <r>
    <x v="3"/>
    <n v="8"/>
    <n v="2"/>
    <x v="1"/>
    <x v="0"/>
    <n v="10.19862401651427"/>
    <n v="129.68247172216272"/>
    <x v="52"/>
    <n v="0.99077254520483016"/>
    <n v="1310.3786978977541"/>
    <n v="12.204072728827214"/>
    <n v="75.807147186193916"/>
    <n v="3.8821679767802539"/>
    <n v="12.987012987012987"/>
    <n v="91.957371166519764"/>
    <n v="925.80793943860692"/>
    <n v="90.777730205513905"/>
    <n v="78.936923354841383"/>
    <n v="0.8350852903522954"/>
    <n v="0.12919966453048698"/>
    <n v="1.4153893502926147"/>
    <x v="52"/>
    <n v="9.819433063429606E-3"/>
    <n v="90.777730205513905"/>
    <x v="52"/>
    <x v="52"/>
    <x v="1"/>
    <s v=""/>
    <s v=""/>
    <s v=""/>
    <s v=""/>
    <s v=""/>
    <s v=""/>
    <s v=""/>
    <n v="0"/>
    <n v="12.204072728827214"/>
  </r>
  <r>
    <x v="4"/>
    <n v="8"/>
    <n v="2"/>
    <x v="1"/>
    <x v="0"/>
    <n v="27.418462878570544"/>
    <n v="104.50719973317973"/>
    <x v="53"/>
    <n v="0.84637672095689964"/>
    <n v="2425.2305191748455"/>
    <n v="440.19625725270043"/>
    <n v="97.861367075655409"/>
    <n v="39.232896081285006"/>
    <n v="12.987012987012987"/>
    <n v="68.295131712379074"/>
    <n v="2005.798743499282"/>
    <n v="73.155039813225798"/>
    <n v="76.391604342962978"/>
    <n v="1.337725566488762"/>
    <n v="0.35891984615841194"/>
    <n v="1.2091096013669995"/>
    <x v="53"/>
    <n v="4.5323136832009607E-3"/>
    <n v="73.155039813225798"/>
    <x v="53"/>
    <x v="53"/>
    <x v="1"/>
    <s v=""/>
    <s v=""/>
    <s v=""/>
    <s v=""/>
    <s v=""/>
    <s v=""/>
    <s v=""/>
    <n v="0"/>
    <n v="440.19625725270043"/>
  </r>
  <r>
    <x v="5"/>
    <n v="8"/>
    <n v="2"/>
    <x v="1"/>
    <x v="0"/>
    <n v="36.667998404099635"/>
    <n v="90.653015736050236"/>
    <x v="54"/>
    <n v="0.88418154027313967"/>
    <n v="2939.0765901233117"/>
    <n v="384.98804621299723"/>
    <n v="26.272768686627053"/>
    <n v="31.948947371572622"/>
    <n v="12.987012987012987"/>
    <n v="80.694244948876602"/>
    <n v="2326.845245435416"/>
    <n v="63.457111015235157"/>
    <n v="94.916095090173911"/>
    <n v="0.41402402766680213"/>
    <n v="0.38632013221007078"/>
    <n v="1.2631164861044855"/>
    <x v="54"/>
    <n v="3.906967645889976E-3"/>
    <n v="63.457111015235157"/>
    <x v="54"/>
    <x v="54"/>
    <x v="1"/>
    <s v=""/>
    <s v=""/>
    <s v=""/>
    <s v=""/>
    <s v=""/>
    <s v=""/>
    <s v=""/>
    <n v="0"/>
    <n v="384.98804621299723"/>
  </r>
  <r>
    <x v="6"/>
    <n v="8"/>
    <n v="2"/>
    <x v="1"/>
    <x v="0"/>
    <n v="6.8756671821168442"/>
    <n v="151.06293349775797"/>
    <x v="55"/>
    <n v="0.95761808034714235"/>
    <n v="994.63811512857274"/>
    <n v="44.020339156261116"/>
    <n v="119.37790163038881"/>
    <n v="33.517103695608313"/>
    <n v="12.987012987012987"/>
    <n v="87.650306710831828"/>
    <n v="727.06091799938361"/>
    <n v="105.74405344843058"/>
    <n v="81.801739210145939"/>
    <n v="1.128932528471752"/>
    <n v="8.4052823919226027E-2"/>
    <n v="1.3680258290673464"/>
    <x v="55"/>
    <n v="1.2503641532437309E-2"/>
    <n v="105.74405344843058"/>
    <x v="55"/>
    <x v="55"/>
    <x v="1"/>
    <s v=""/>
    <s v=""/>
    <s v=""/>
    <s v=""/>
    <s v=""/>
    <n v="83"/>
    <s v=""/>
    <n v="83"/>
    <n v="-38.979660843738884"/>
  </r>
  <r>
    <x v="0"/>
    <n v="8"/>
    <n v="2"/>
    <x v="1"/>
    <x v="0"/>
    <n v="20.095052368837795"/>
    <n v="91.96407586108063"/>
    <x v="56"/>
    <n v="1.0158186011987194"/>
    <n v="1877.2560580653558"/>
    <n v="-29.233137585168834"/>
    <n v="52.5047587425003"/>
    <n v="26.881430683402712"/>
    <n v="12.987012987012987"/>
    <n v="86.582749965187247"/>
    <n v="1293.6160443361307"/>
    <n v="64.374853102756433"/>
    <n v="91.975328410091535"/>
    <n v="0.81560976393516815"/>
    <n v="0.218483072756639"/>
    <n v="1.4511694302838851"/>
    <x v="56"/>
    <n v="7.0275172689083665E-3"/>
    <n v="64.374853102756433"/>
    <x v="56"/>
    <x v="56"/>
    <x v="1"/>
    <s v=""/>
    <s v=""/>
    <s v=""/>
    <s v=""/>
    <s v=""/>
    <s v=""/>
    <s v=""/>
    <n v="0"/>
    <n v="-29.233137585168834"/>
  </r>
  <r>
    <x v="1"/>
    <n v="9"/>
    <n v="2"/>
    <x v="1"/>
    <x v="0"/>
    <n v="12.218060513076532"/>
    <n v="40.369524222626595"/>
    <x v="57"/>
    <n v="0.42390991370388464"/>
    <n v="209.08817696998477"/>
    <n v="284.14911286617581"/>
    <n v="35.294668108409077"/>
    <n v="14.497992774334152"/>
    <n v="28.571428571428573"/>
    <n v="27.569152082057897"/>
    <n v="345.26610288531236"/>
    <n v="28.258666955838613"/>
    <n v="28.761862900106465"/>
    <n v="1.248985600190059"/>
    <n v="0.42480073545692709"/>
    <n v="0.60558559100554954"/>
    <x v="57"/>
    <n v="5.7926335174129248E-2"/>
    <n v="28.258666955838613"/>
    <x v="57"/>
    <x v="57"/>
    <x v="1"/>
    <n v="1000"/>
    <s v=""/>
    <s v=""/>
    <s v=""/>
    <s v=""/>
    <s v=""/>
    <s v=""/>
    <n v="1000"/>
    <n v="-715.85088713382424"/>
  </r>
  <r>
    <x v="2"/>
    <n v="9"/>
    <n v="2"/>
    <x v="1"/>
    <x v="0"/>
    <n v="29.381766714157862"/>
    <n v="61.484481026634775"/>
    <x v="58"/>
    <n v="0.80997380900652827"/>
    <n v="1463.2360546095074"/>
    <n v="343.28662345614089"/>
    <n v="68.177683096775468"/>
    <n v="14.125267556590574"/>
    <n v="12.987012987012987"/>
    <n v="77.980697004377106"/>
    <n v="1264.5658746459537"/>
    <n v="43.039136718644343"/>
    <n v="81.348625665220155"/>
    <n v="1.5840857483380058"/>
    <n v="0.36118332023302713"/>
    <n v="1.1571054414378976"/>
    <x v="58"/>
    <n v="7.1889565211099137E-3"/>
    <n v="43.039136718644343"/>
    <x v="58"/>
    <x v="58"/>
    <x v="1"/>
    <s v=""/>
    <s v=""/>
    <s v=""/>
    <s v=""/>
    <s v=""/>
    <s v=""/>
    <s v=""/>
    <n v="0"/>
    <n v="343.28662345614089"/>
  </r>
  <r>
    <x v="3"/>
    <n v="9"/>
    <n v="3"/>
    <x v="2"/>
    <x v="0"/>
    <n v="36.076636689969163"/>
    <n v="75.453338264777784"/>
    <x v="59"/>
    <n v="1.2314755177723093"/>
    <n v="3352.2027969672276"/>
    <n v="-630.10012534349107"/>
    <n v="80.196227744482016"/>
    <n v="23.660325509673946"/>
    <n v="12.987012987012987"/>
    <n v="71.989565761216312"/>
    <n v="1905.4718701366155"/>
    <n v="52.817336785344452"/>
    <n v="71.197723067876041"/>
    <n v="1.518369395836985"/>
    <n v="0.50671053982408476"/>
    <n v="1.7592507396747277"/>
    <x v="59"/>
    <n v="4.7709489882195449E-3"/>
    <n v="52.817336785344452"/>
    <x v="59"/>
    <x v="59"/>
    <x v="0"/>
    <s v=""/>
    <s v=""/>
    <s v=""/>
    <s v=""/>
    <s v=""/>
    <s v=""/>
    <s v=""/>
    <n v="3000"/>
    <n v="-3630.1001253434911"/>
  </r>
  <r>
    <x v="4"/>
    <n v="9"/>
    <n v="3"/>
    <x v="2"/>
    <x v="0"/>
    <n v="16.956200954133884"/>
    <n v="94.058385890793005"/>
    <x v="60"/>
    <n v="0.63487937591734256"/>
    <n v="1012.5519067123325"/>
    <n v="582.32098587342489"/>
    <n v="89.7942643136887"/>
    <n v="15.669870875481916"/>
    <n v="12.987012987012987"/>
    <n v="62.428959903920962"/>
    <n v="1116.4110248100301"/>
    <n v="65.840870123555092"/>
    <n v="69.914674052727335"/>
    <n v="1.3638073759533151"/>
    <n v="0.24252706865723322"/>
    <n v="0.90697053702477515"/>
    <x v="60"/>
    <n v="8.1429768148841147E-3"/>
    <n v="65.840870123555092"/>
    <x v="60"/>
    <x v="60"/>
    <x v="1"/>
    <s v=""/>
    <s v=""/>
    <s v=""/>
    <s v=""/>
    <s v=""/>
    <s v=""/>
    <s v=""/>
    <n v="0"/>
    <n v="582.32098587342489"/>
  </r>
  <r>
    <x v="5"/>
    <n v="9"/>
    <n v="3"/>
    <x v="2"/>
    <x v="0"/>
    <n v="14.005224562539437"/>
    <n v="119.94132907744513"/>
    <x v="61"/>
    <n v="0.7463161872618711"/>
    <n v="1253.6658480739195"/>
    <n v="426.1393999851407"/>
    <n v="98.074224066796575"/>
    <n v="17.581742916421771"/>
    <n v="12.987012987012987"/>
    <n v="88.461373415541289"/>
    <n v="1175.8636736413421"/>
    <n v="83.958930354211589"/>
    <n v="75.757226996564782"/>
    <n v="1.1681214095157528"/>
    <n v="0.18486981530058519"/>
    <n v="1.0661659818026732"/>
    <x v="61"/>
    <n v="7.7312611101905413E-3"/>
    <n v="83.958930354211589"/>
    <x v="61"/>
    <x v="61"/>
    <x v="1"/>
    <s v=""/>
    <s v=""/>
    <s v=""/>
    <s v=""/>
    <s v=""/>
    <s v=""/>
    <s v=""/>
    <n v="0"/>
    <n v="426.1393999851407"/>
  </r>
  <r>
    <x v="6"/>
    <n v="9"/>
    <n v="3"/>
    <x v="2"/>
    <x v="0"/>
    <n v="25.557871374812489"/>
    <n v="41.650414742073515"/>
    <x v="62"/>
    <n v="1.0987718828471493"/>
    <n v="1169.6382112277076"/>
    <n v="-105.14226854219896"/>
    <n v="83.057151364891851"/>
    <n v="21.354037061473676"/>
    <n v="12.987012987012987"/>
    <n v="55.523620663595715"/>
    <n v="745.14715987985608"/>
    <n v="29.155290319451456"/>
    <n v="72.699993061875773"/>
    <n v="2.8487849187863801"/>
    <n v="0.35155259716544818"/>
    <n v="1.5696741183530707"/>
    <x v="62"/>
    <n v="1.2200152641492809E-2"/>
    <n v="29.155290319451456"/>
    <x v="62"/>
    <x v="62"/>
    <x v="1"/>
    <s v=""/>
    <s v=""/>
    <s v=""/>
    <s v=""/>
    <s v=""/>
    <s v=""/>
    <s v=""/>
    <n v="0"/>
    <n v="-105.14226854219896"/>
  </r>
  <r>
    <x v="0"/>
    <n v="9"/>
    <n v="3"/>
    <x v="2"/>
    <x v="0"/>
    <n v="20.23351233776728"/>
    <n v="17.393641927642619"/>
    <x v="63"/>
    <n v="0.65977660738233568"/>
    <n v="232.19812967532388"/>
    <n v="119.73633886633931"/>
    <n v="82.765256425706468"/>
    <n v="9.54305645467314"/>
    <n v="12.987012987012987"/>
    <n v="76.97327435610201"/>
    <n v="246.35412797916422"/>
    <n v="12.175549349349833"/>
    <n v="75.703438313815852"/>
    <n v="6.797660955653396"/>
    <n v="0.26727336021242076"/>
    <n v="0.94253801054619391"/>
    <x v="63"/>
    <n v="3.6901793225392873E-2"/>
    <n v="12.175549349349833"/>
    <x v="63"/>
    <x v="63"/>
    <x v="1"/>
    <s v=""/>
    <s v=""/>
    <s v=""/>
    <s v=""/>
    <s v=""/>
    <s v=""/>
    <n v="1000"/>
    <n v="1000"/>
    <n v="-880.26366113366066"/>
  </r>
  <r>
    <x v="1"/>
    <n v="10"/>
    <n v="3"/>
    <x v="2"/>
    <x v="0"/>
    <n v="7.0034144937273668"/>
    <n v="25.732004839801963"/>
    <x v="64"/>
    <n v="0.37238631754060064"/>
    <n v="67.108444197269847"/>
    <n v="113.10345145046196"/>
    <n v="15.916685535977724"/>
    <n v="5.4443594401224127"/>
    <n v="28.571428571428573"/>
    <n v="10.380312431642672"/>
    <n v="126.14832695341225"/>
    <n v="18.012403387861372"/>
    <n v="11.774549401877955"/>
    <n v="0.88365140360469829"/>
    <n v="0.5947925695237537"/>
    <n v="0.53198045362942958"/>
    <x v="64"/>
    <n v="0.1585435216068001"/>
    <n v="18.012403387861372"/>
    <x v="64"/>
    <x v="64"/>
    <x v="1"/>
    <n v="1000"/>
    <s v=""/>
    <s v=""/>
    <s v=""/>
    <s v=""/>
    <s v=""/>
    <s v=""/>
    <n v="1000"/>
    <n v="-886.89654854953801"/>
  </r>
  <r>
    <x v="2"/>
    <n v="10"/>
    <n v="3"/>
    <x v="2"/>
    <x v="0"/>
    <n v="16.684610157698671"/>
    <n v="67.523612041713179"/>
    <x v="65"/>
    <n v="0.4622645457046754"/>
    <n v="520.78961478186045"/>
    <n v="605.81552857381155"/>
    <n v="38.367862344882404"/>
    <n v="6.9538732860306363"/>
    <n v="12.987012987012987"/>
    <n v="26.288108195173095"/>
    <n v="788.6236003489704"/>
    <n v="47.266528429199226"/>
    <n v="29.590964714593461"/>
    <n v="0.81173429951289566"/>
    <n v="0.56384137248050836"/>
    <n v="0.66037792243525062"/>
    <x v="65"/>
    <n v="1.1527564083659571E-2"/>
    <n v="47.266528429199226"/>
    <x v="65"/>
    <x v="65"/>
    <x v="1"/>
    <s v=""/>
    <s v=""/>
    <s v=""/>
    <s v=""/>
    <s v=""/>
    <s v=""/>
    <s v=""/>
    <n v="0"/>
    <n v="605.81552857381155"/>
  </r>
  <r>
    <x v="3"/>
    <n v="10"/>
    <n v="3"/>
    <x v="2"/>
    <x v="0"/>
    <n v="35.269549938598452"/>
    <n v="64.602618117621134"/>
    <x v="66"/>
    <n v="0.87392531386083316"/>
    <n v="1991.243429603446"/>
    <n v="287.2618362601977"/>
    <n v="30.663964952230462"/>
    <n v="15.47853865430438"/>
    <n v="12.987012987012987"/>
    <n v="35.49439648024623"/>
    <n v="1594.9536861045506"/>
    <n v="45.221832682334792"/>
    <n v="28.958006611499719"/>
    <n v="0.67807877596718591"/>
    <n v="1.2179550343977168"/>
    <n v="1.2484647340869046"/>
    <x v="66"/>
    <n v="5.6997950286019616E-3"/>
    <n v="45.221832682334792"/>
    <x v="66"/>
    <x v="66"/>
    <x v="1"/>
    <s v=""/>
    <s v=""/>
    <s v=""/>
    <s v=""/>
    <s v=""/>
    <s v=""/>
    <s v=""/>
    <n v="0"/>
    <n v="287.2618362601977"/>
  </r>
  <r>
    <x v="4"/>
    <n v="10"/>
    <n v="3"/>
    <x v="2"/>
    <x v="0"/>
    <n v="20.438733784298105"/>
    <n v="54.233331450433624"/>
    <x v="67"/>
    <n v="0.65789575987448501"/>
    <n v="729.25154435361947"/>
    <n v="379.20907939739527"/>
    <n v="51.803932131541544"/>
    <n v="16.208370084171293"/>
    <n v="12.987012987012987"/>
    <n v="32.399206303090068"/>
    <n v="775.92243662571025"/>
    <n v="37.963332015303536"/>
    <n v="32.6101165414074"/>
    <n v="1.3645781173965097"/>
    <n v="0.62676052562846807"/>
    <n v="0.93985108553497865"/>
    <x v="67"/>
    <n v="1.1716260107702449E-2"/>
    <n v="37.963332015303536"/>
    <x v="67"/>
    <x v="67"/>
    <x v="1"/>
    <s v=""/>
    <s v=""/>
    <s v=""/>
    <s v=""/>
    <s v=""/>
    <s v=""/>
    <s v=""/>
    <n v="0"/>
    <n v="379.20907939739527"/>
  </r>
  <r>
    <x v="5"/>
    <n v="10"/>
    <n v="3"/>
    <x v="2"/>
    <x v="0"/>
    <n v="15.006482852914182"/>
    <n v="102.07876410447851"/>
    <x v="68"/>
    <n v="0.67079285254727017"/>
    <n v="1027.5494853324712"/>
    <n v="504.29373784805716"/>
    <n v="35.098758935431661"/>
    <n v="8.9342019860922353"/>
    <n v="12.987012987012987"/>
    <n v="25.096421540376699"/>
    <n v="1072.2902562263698"/>
    <n v="71.455134873134952"/>
    <n v="34.466739466638231"/>
    <n v="0.49119995361771784"/>
    <n v="0.4353902656629175"/>
    <n v="0.95827550363895742"/>
    <x v="68"/>
    <n v="8.478030121155852E-3"/>
    <n v="71.455134873134952"/>
    <x v="68"/>
    <x v="68"/>
    <x v="1"/>
    <s v=""/>
    <s v=""/>
    <n v="300"/>
    <s v=""/>
    <s v=""/>
    <s v=""/>
    <s v=""/>
    <n v="300"/>
    <n v="204.29373784805716"/>
  </r>
  <r>
    <x v="6"/>
    <n v="10"/>
    <n v="3"/>
    <x v="2"/>
    <x v="0"/>
    <n v="26.040405064199287"/>
    <n v="66.010709585516651"/>
    <x v="69"/>
    <n v="0.75896636233289594"/>
    <n v="1304.6219013617888"/>
    <n v="414.32371482028748"/>
    <n v="27.232528390354645"/>
    <n v="14.319482116731534"/>
    <n v="12.987012987012987"/>
    <n v="31.006297833483824"/>
    <n v="1203.2619313274533"/>
    <n v="46.207496709861651"/>
    <n v="22.951637216122926"/>
    <n v="0.58935303423486807"/>
    <n v="1.1345772338152236"/>
    <n v="1.0842376604755657"/>
    <x v="69"/>
    <n v="7.5552204006652879E-3"/>
    <n v="46.207496709861651"/>
    <x v="69"/>
    <x v="69"/>
    <x v="1"/>
    <s v=""/>
    <s v=""/>
    <s v=""/>
    <s v=""/>
    <s v=""/>
    <s v=""/>
    <s v=""/>
    <n v="0"/>
    <n v="414.32371482028748"/>
  </r>
  <r>
    <x v="0"/>
    <n v="10"/>
    <n v="3"/>
    <x v="2"/>
    <x v="0"/>
    <n v="4.7657465551176026"/>
    <n v="7.5623885887999638"/>
    <x v="70"/>
    <n v="0.60201037487311271"/>
    <n v="21.696711188912371"/>
    <n v="14.343716176621722"/>
    <n v="27.976953268479082"/>
    <n v="17.602229534307593"/>
    <n v="12.987012987012987"/>
    <n v="39.595781466877938"/>
    <n v="25.228299155873863"/>
    <n v="5.2936720121599734"/>
    <n v="29.964075619932615"/>
    <n v="5.2849804831530669"/>
    <n v="0.15904867600678949"/>
    <n v="0.860014821247304"/>
    <x v="70"/>
    <n v="0.36034569888126877"/>
    <n v="5.2936720121599734"/>
    <x v="70"/>
    <x v="70"/>
    <x v="1"/>
    <s v=""/>
    <s v=""/>
    <s v=""/>
    <s v=""/>
    <n v="480"/>
    <s v=""/>
    <s v=""/>
    <n v="480"/>
    <n v="-465.65628382337826"/>
  </r>
  <r>
    <x v="1"/>
    <n v="11"/>
    <n v="3"/>
    <x v="2"/>
    <x v="0"/>
    <n v="9.896644420754857"/>
    <n v="34.840723364457425"/>
    <x v="71"/>
    <n v="0.22558080990506282"/>
    <n v="77.781673248100148"/>
    <n v="267.0245772518208"/>
    <n v="7.7931436843644502"/>
    <n v="6.6352154257160878"/>
    <n v="28.571428571428573"/>
    <n v="13.535116138769464"/>
    <n v="241.36437534994465"/>
    <n v="24.388506355120196"/>
    <n v="13.427652783710002"/>
    <n v="0.31954165502752629"/>
    <n v="0.73703457932432903"/>
    <n v="0.32225829986437549"/>
    <x v="71"/>
    <n v="8.2862269839957911E-2"/>
    <n v="24.388506355120196"/>
    <x v="71"/>
    <x v="71"/>
    <x v="1"/>
    <n v="1000"/>
    <s v=""/>
    <s v=""/>
    <s v=""/>
    <s v=""/>
    <s v=""/>
    <s v=""/>
    <n v="1000"/>
    <n v="-732.9754227481792"/>
  </r>
  <r>
    <x v="2"/>
    <n v="11"/>
    <n v="3"/>
    <x v="2"/>
    <x v="0"/>
    <n v="15.756243031757851"/>
    <n v="71.998391494313282"/>
    <x v="72"/>
    <n v="0.52596374739752305"/>
    <n v="596.66597932339948"/>
    <n v="537.75817495664785"/>
    <n v="40.210191807773285"/>
    <n v="12.53534279385989"/>
    <n v="12.987012987012987"/>
    <n v="39.321187169039902"/>
    <n v="794.09690799603311"/>
    <n v="50.398874046019294"/>
    <n v="30.942255610777288"/>
    <n v="0.79783909003715625"/>
    <n v="0.5092144292890497"/>
    <n v="0.75137678199646141"/>
    <x v="72"/>
    <n v="1.1448110425024478E-2"/>
    <n v="50.398874046019294"/>
    <x v="72"/>
    <x v="72"/>
    <x v="1"/>
    <s v=""/>
    <s v=""/>
    <s v=""/>
    <s v=""/>
    <s v=""/>
    <s v=""/>
    <s v=""/>
    <n v="0"/>
    <n v="537.75817495664785"/>
  </r>
  <r>
    <x v="3"/>
    <n v="11"/>
    <n v="3"/>
    <x v="2"/>
    <x v="0"/>
    <n v="22.110318358519649"/>
    <n v="111.36835688023415"/>
    <x v="73"/>
    <n v="0.39871578403874586"/>
    <n v="981.79368995790628"/>
    <n v="1480.5961357293027"/>
    <n v="32.103164581784753"/>
    <n v="15.953511651472407"/>
    <n v="12.987012987012987"/>
    <n v="36.514442277820642"/>
    <n v="1723.6728779810462"/>
    <n v="77.9578498161639"/>
    <n v="33.888543181072613"/>
    <n v="0.41180156530084844"/>
    <n v="0.65244227939750077"/>
    <n v="0.56959397719820837"/>
    <x v="73"/>
    <n v="5.2741498732389149E-3"/>
    <n v="77.9578498161639"/>
    <x v="73"/>
    <x v="73"/>
    <x v="1"/>
    <s v=""/>
    <n v="300"/>
    <s v=""/>
    <s v=""/>
    <s v=""/>
    <s v=""/>
    <s v=""/>
    <n v="300"/>
    <n v="1180.5961357293027"/>
  </r>
  <r>
    <x v="4"/>
    <n v="11"/>
    <n v="3"/>
    <x v="2"/>
    <x v="0"/>
    <n v="12.737707602066545"/>
    <n v="49.869675740040989"/>
    <x v="74"/>
    <n v="0.78792640033279571"/>
    <n v="500.51082168157598"/>
    <n v="134.7145261049377"/>
    <n v="29.695225391274949"/>
    <n v="9.8944265924877843"/>
    <n v="12.987012987012987"/>
    <n v="36.591067410343008"/>
    <n v="444.65774345055956"/>
    <n v="34.908773018028697"/>
    <n v="29.776380650950177"/>
    <n v="0.85065222360977277"/>
    <n v="0.42777890810111197"/>
    <n v="1.1256091433325655"/>
    <x v="74"/>
    <n v="2.0444733561510296E-2"/>
    <n v="34.908773018028697"/>
    <x v="74"/>
    <x v="74"/>
    <x v="1"/>
    <s v=""/>
    <s v=""/>
    <s v=""/>
    <s v=""/>
    <s v=""/>
    <s v=""/>
    <s v=""/>
    <n v="0"/>
    <n v="134.7145261049377"/>
  </r>
  <r>
    <x v="5"/>
    <n v="11"/>
    <n v="3"/>
    <x v="2"/>
    <x v="0"/>
    <n v="16.956660387434145"/>
    <n v="94.88004211406647"/>
    <x v="75"/>
    <n v="0.75562765575409785"/>
    <n v="1215.6905351273197"/>
    <n v="393.15811654635468"/>
    <n v="31.675190012477508"/>
    <n v="8.1982658439506473"/>
    <n v="12.987012987012987"/>
    <n v="30.835614593988925"/>
    <n v="1126.1940561715719"/>
    <n v="66.416029479846529"/>
    <n v="24.099737538509789"/>
    <n v="0.47692086173397519"/>
    <n v="0.70360352930560022"/>
    <n v="1.0794680796487113"/>
    <x v="75"/>
    <n v="8.0722403400112774E-3"/>
    <n v="66.416029479846529"/>
    <x v="75"/>
    <x v="75"/>
    <x v="1"/>
    <s v=""/>
    <s v=""/>
    <s v=""/>
    <s v=""/>
    <s v=""/>
    <s v=""/>
    <s v=""/>
    <n v="0"/>
    <n v="393.15811654635468"/>
  </r>
  <r>
    <x v="6"/>
    <n v="11"/>
    <n v="3"/>
    <x v="2"/>
    <x v="0"/>
    <n v="18.25169076161179"/>
    <n v="25.691214009062914"/>
    <x v="76"/>
    <n v="0.57626796639615652"/>
    <n v="270.21671340098436"/>
    <n v="198.69137998282065"/>
    <n v="37.81736202656537"/>
    <n v="13.314325012355313"/>
    <n v="12.987012987012987"/>
    <n v="29.127963062451514"/>
    <n v="328.23566536866349"/>
    <n v="17.98384980634404"/>
    <n v="22.998918465884703"/>
    <n v="2.1028513045757755"/>
    <n v="0.79358908936023742"/>
    <n v="0.82323995199450928"/>
    <x v="76"/>
    <n v="2.7696286692972503E-2"/>
    <n v="17.98384980634404"/>
    <x v="76"/>
    <x v="76"/>
    <x v="1"/>
    <s v=""/>
    <s v=""/>
    <s v=""/>
    <s v=""/>
    <s v=""/>
    <s v=""/>
    <s v=""/>
    <n v="0"/>
    <n v="198.69137998282065"/>
  </r>
  <r>
    <x v="0"/>
    <n v="11"/>
    <n v="3"/>
    <x v="2"/>
    <x v="0"/>
    <n v="2.7208643404800927"/>
    <n v="47.964387263573975"/>
    <x v="77"/>
    <n v="0.83930639023368847"/>
    <n v="109.53333711267668"/>
    <n v="20.971253805759275"/>
    <n v="46.320224617501999"/>
    <n v="6.4936080614752312"/>
    <n v="12.987012987012987"/>
    <n v="33.416375471378871"/>
    <n v="91.35321364290516"/>
    <n v="33.575071084501779"/>
    <n v="21.688212266515599"/>
    <n v="1.3796016842651859"/>
    <n v="0.12545360157143204"/>
    <n v="1.1990091289052693"/>
    <x v="77"/>
    <n v="9.951384005432988E-2"/>
    <n v="33.575071084501779"/>
    <x v="77"/>
    <x v="77"/>
    <x v="1"/>
    <s v=""/>
    <s v=""/>
    <s v=""/>
    <s v=""/>
    <s v=""/>
    <s v=""/>
    <s v=""/>
    <n v="0"/>
    <n v="20.971253805759275"/>
  </r>
  <r>
    <x v="1"/>
    <n v="12"/>
    <n v="3"/>
    <x v="2"/>
    <x v="0"/>
    <n v="5.7482674065192239"/>
    <n v="43.077302216725961"/>
    <x v="78"/>
    <n v="0.31110795466237606"/>
    <n v="77.036505780732199"/>
    <n v="170.58334651245195"/>
    <n v="12.345584457686027"/>
    <n v="1.2690280814105592"/>
    <n v="28.571428571428573"/>
    <n v="13.673651011533634"/>
    <n v="173.33389660522889"/>
    <n v="30.154111551708169"/>
    <n v="12.325803870397475"/>
    <n v="0.40941628926840906"/>
    <n v="0.46636044731530008"/>
    <n v="0.4444399352319659"/>
    <x v="78"/>
    <n v="0.11538424042673179"/>
    <n v="30.154111551708169"/>
    <x v="78"/>
    <x v="78"/>
    <x v="1"/>
    <n v="1000"/>
    <s v=""/>
    <s v=""/>
    <n v="100"/>
    <s v=""/>
    <s v=""/>
    <s v=""/>
    <n v="1100"/>
    <n v="-929.41665348754805"/>
  </r>
  <r>
    <x v="2"/>
    <n v="12"/>
    <n v="3"/>
    <x v="2"/>
    <x v="0"/>
    <n v="16.849415268073493"/>
    <n v="92.797398398102999"/>
    <x v="79"/>
    <n v="0.68762603569801839"/>
    <n v="1075.1596243533181"/>
    <n v="488.42227705317714"/>
    <n v="25.0041040038878"/>
    <n v="11.569480716770034"/>
    <n v="12.987012987012987"/>
    <n v="30.196148896801322"/>
    <n v="1094.5073309845466"/>
    <n v="64.958178878672086"/>
    <n v="32.263524662268459"/>
    <n v="0.38492618536289464"/>
    <n v="0.522243476013597"/>
    <n v="0.98232290814002632"/>
    <x v="79"/>
    <n v="8.305937140440629E-3"/>
    <n v="64.958178878672086"/>
    <x v="79"/>
    <x v="79"/>
    <x v="1"/>
    <s v=""/>
    <s v=""/>
    <s v=""/>
    <s v=""/>
    <s v=""/>
    <s v=""/>
    <s v=""/>
    <n v="0"/>
    <n v="488.42227705317714"/>
  </r>
  <r>
    <x v="3"/>
    <n v="12"/>
    <n v="3"/>
    <x v="2"/>
    <x v="0"/>
    <n v="12.885150615638935"/>
    <n v="73.528279653758332"/>
    <x v="80"/>
    <n v="0.92004284135248204"/>
    <n v="871.66971010058296"/>
    <n v="75.753247746912962"/>
    <n v="40.963561103881617"/>
    <n v="9.2238004092949488"/>
    <n v="12.987012987012987"/>
    <n v="30.263931080641004"/>
    <n v="663.19607049324713"/>
    <n v="51.469795757630834"/>
    <n v="34.104753778985717"/>
    <n v="0.7958757267422889"/>
    <n v="0.37781098491842396"/>
    <n v="1.3143469162178314"/>
    <x v="80"/>
    <n v="1.3707724601184374E-2"/>
    <n v="51.469795757630834"/>
    <x v="80"/>
    <x v="80"/>
    <x v="1"/>
    <s v=""/>
    <s v=""/>
    <s v=""/>
    <s v=""/>
    <s v=""/>
    <s v=""/>
    <s v=""/>
    <n v="0"/>
    <n v="75.753247746912962"/>
  </r>
  <r>
    <x v="4"/>
    <n v="12"/>
    <n v="3"/>
    <x v="2"/>
    <x v="0"/>
    <n v="4.3434594328286416"/>
    <n v="48.616740326883431"/>
    <x v="81"/>
    <n v="0.28150578815148625"/>
    <n v="59.444124535659185"/>
    <n v="151.72071483052326"/>
    <n v="41.854412708819282"/>
    <n v="14.779357693347874"/>
    <n v="12.987012987012987"/>
    <n v="32.357771311634735"/>
    <n v="147.81538755632772"/>
    <n v="34.031718228818406"/>
    <n v="27.635377826105621"/>
    <n v="1.2298648110390307"/>
    <n v="0.1571702569134269"/>
    <n v="0.40215112593069463"/>
    <x v="81"/>
    <n v="6.1501777597036948E-2"/>
    <n v="34.031718228818406"/>
    <x v="81"/>
    <x v="81"/>
    <x v="1"/>
    <s v=""/>
    <s v=""/>
    <s v=""/>
    <s v=""/>
    <s v=""/>
    <s v=""/>
    <s v=""/>
    <n v="0"/>
    <n v="151.72071483052326"/>
  </r>
  <r>
    <x v="5"/>
    <n v="12"/>
    <n v="3"/>
    <x v="2"/>
    <x v="0"/>
    <n v="21.752882756069543"/>
    <n v="19.497970492849305"/>
    <x v="82"/>
    <n v="0.47380947411448687"/>
    <n v="200.9601602471086"/>
    <n v="223.17690586514578"/>
    <n v="42.158304351991013"/>
    <n v="20.448059568281238"/>
    <n v="12.987012987012987"/>
    <n v="28.753546686838618"/>
    <n v="296.89594627857804"/>
    <n v="13.648579344994511"/>
    <n v="31.120462010996881"/>
    <n v="3.0888419436453787"/>
    <n v="0.69898971128329768"/>
    <n v="0.67687067730640993"/>
    <x v="82"/>
    <n v="3.0619849158799468E-2"/>
    <n v="13.648579344994511"/>
    <x v="82"/>
    <x v="82"/>
    <x v="1"/>
    <s v=""/>
    <s v=""/>
    <s v=""/>
    <s v=""/>
    <s v=""/>
    <s v=""/>
    <s v=""/>
    <n v="0"/>
    <n v="223.17690586514578"/>
  </r>
  <r>
    <x v="6"/>
    <n v="12"/>
    <n v="3"/>
    <x v="2"/>
    <x v="0"/>
    <n v="22.09802807385438"/>
    <n v="49.640570357750164"/>
    <x v="83"/>
    <n v="0.71899009524488744"/>
    <n v="788.70245267991697"/>
    <n v="308.25626468778967"/>
    <n v="51.56548835907445"/>
    <n v="9.5963593770606312"/>
    <n v="12.987012987012987"/>
    <n v="32.783627119639355"/>
    <n v="767.8711021573946"/>
    <n v="34.748399250425109"/>
    <n v="27.996063958062344"/>
    <n v="1.483967304146927"/>
    <n v="0.78932624625221859"/>
    <n v="1.0271287074926965"/>
    <x v="83"/>
    <n v="1.1839108237525103E-2"/>
    <n v="34.748399250425109"/>
    <x v="83"/>
    <x v="83"/>
    <x v="1"/>
    <s v=""/>
    <s v=""/>
    <s v=""/>
    <s v=""/>
    <s v=""/>
    <n v="83"/>
    <s v=""/>
    <n v="83"/>
    <n v="225.25626468778967"/>
  </r>
  <r>
    <x v="0"/>
    <n v="12"/>
    <n v="3"/>
    <x v="2"/>
    <x v="0"/>
    <n v="18.041295270133507"/>
    <n v="44.59956435341816"/>
    <x v="84"/>
    <n v="0.6469204740934118"/>
    <n v="520.53415015319354"/>
    <n v="284.09975926614447"/>
    <n v="26.970393961433391"/>
    <n v="10.36653107680957"/>
    <n v="12.987012987012987"/>
    <n v="30.714906175693756"/>
    <n v="563.2437365935366"/>
    <n v="31.219695047392712"/>
    <n v="32.857422730247684"/>
    <n v="0.86389037178266104"/>
    <n v="0.54907822254498251"/>
    <n v="0.92417210584773124"/>
    <x v="84"/>
    <n v="1.614027551533968E-2"/>
    <n v="31.219695047392712"/>
    <x v="84"/>
    <x v="84"/>
    <x v="1"/>
    <s v=""/>
    <s v=""/>
    <s v=""/>
    <s v=""/>
    <s v=""/>
    <s v=""/>
    <s v=""/>
    <n v="0"/>
    <n v="284.09975926614447"/>
  </r>
  <r>
    <x v="1"/>
    <n v="13"/>
    <n v="3"/>
    <x v="2"/>
    <x v="0"/>
    <n v="2.759224381213448"/>
    <n v="12.182142551431687"/>
    <x v="85"/>
    <n v="0.25775493350796952"/>
    <n v="8.6639848189023123"/>
    <n v="24.949279924425795"/>
    <n v="17.300827149731788"/>
    <n v="3.5240942134795294"/>
    <n v="28.571428571428573"/>
    <n v="12.970071636590085"/>
    <n v="23.529285320329674"/>
    <n v="8.5274997860021795"/>
    <n v="12.502195300751778"/>
    <n v="2.0288276263730847"/>
    <n v="0.22069919040918609"/>
    <n v="0.36822133358281361"/>
    <x v="85"/>
    <n v="0.85000456782763745"/>
    <n v="8.5274997860021795"/>
    <x v="85"/>
    <x v="85"/>
    <x v="1"/>
    <n v="1000"/>
    <s v=""/>
    <s v=""/>
    <s v=""/>
    <s v=""/>
    <s v=""/>
    <s v=""/>
    <n v="1000"/>
    <n v="-975.05072007557419"/>
  </r>
  <r>
    <x v="2"/>
    <n v="13"/>
    <n v="3"/>
    <x v="2"/>
    <x v="0"/>
    <n v="18.907750123501657"/>
    <n v="39.873222401582929"/>
    <x v="86"/>
    <n v="0.58448957148854908"/>
    <n v="440.65424293347058"/>
    <n v="313.25868285446808"/>
    <n v="54.799249819074412"/>
    <n v="12.629137923019636"/>
    <n v="12.987012987012987"/>
    <n v="34.251886673020429"/>
    <n v="527.73904805155701"/>
    <n v="27.911255681108049"/>
    <n v="30.576604575589034"/>
    <n v="1.9633387492546854"/>
    <n v="0.61837311192481925"/>
    <n v="0.83498510212649879"/>
    <x v="86"/>
    <n v="1.7226144482719728E-2"/>
    <n v="27.911255681108049"/>
    <x v="86"/>
    <x v="86"/>
    <x v="1"/>
    <s v=""/>
    <s v=""/>
    <s v=""/>
    <s v=""/>
    <s v=""/>
    <s v=""/>
    <s v=""/>
    <n v="0"/>
    <n v="313.25868285446808"/>
  </r>
  <r>
    <x v="3"/>
    <n v="13"/>
    <n v="3"/>
    <x v="2"/>
    <x v="0"/>
    <n v="17.985093407803522"/>
    <n v="45.782386421119028"/>
    <x v="87"/>
    <n v="0.79734363279095399"/>
    <n v="656.53314289472473"/>
    <n v="166.86735332125659"/>
    <n v="37.795412505852354"/>
    <n v="3.4401589164295605"/>
    <n v="12.987012987012987"/>
    <n v="28.02606662395138"/>
    <n v="576.38034735118686"/>
    <n v="32.047670494783318"/>
    <n v="32.621755415340502"/>
    <n v="1.1793497599772391"/>
    <n v="0.55132206034951647"/>
    <n v="1.1390623325585059"/>
    <x v="87"/>
    <n v="1.5772413359836548E-2"/>
    <n v="32.047670494783318"/>
    <x v="87"/>
    <x v="87"/>
    <x v="1"/>
    <s v=""/>
    <s v=""/>
    <s v=""/>
    <s v=""/>
    <s v=""/>
    <s v=""/>
    <s v=""/>
    <n v="0"/>
    <n v="166.86735332125659"/>
  </r>
  <r>
    <x v="4"/>
    <n v="13"/>
    <n v="3"/>
    <x v="2"/>
    <x v="0"/>
    <n v="20.027311529915675"/>
    <n v="14.11966050569248"/>
    <x v="88"/>
    <n v="0.56344457915161628"/>
    <n v="159.33020429628047"/>
    <n v="123.4486353478695"/>
    <n v="34.550084858402826"/>
    <n v="14.249250621092944"/>
    <n v="12.987012987012987"/>
    <n v="25.14064992514232"/>
    <n v="197.94518775090498"/>
    <n v="9.8837623539847357"/>
    <n v="36.525381588299872"/>
    <n v="3.4956409938846438"/>
    <n v="0.54831217797135889"/>
    <n v="0.80492082735945181"/>
    <x v="88"/>
    <n v="4.5926396060454511E-2"/>
    <n v="9.8837623539847357"/>
    <x v="88"/>
    <x v="88"/>
    <x v="1"/>
    <s v=""/>
    <s v=""/>
    <s v=""/>
    <s v=""/>
    <s v=""/>
    <s v=""/>
    <s v=""/>
    <n v="0"/>
    <n v="123.4486353478695"/>
  </r>
  <r>
    <x v="5"/>
    <n v="13"/>
    <n v="3"/>
    <x v="2"/>
    <x v="0"/>
    <n v="1.2430441637330754"/>
    <n v="84.151824533780768"/>
    <x v="89"/>
    <n v="0.41485098407562848"/>
    <n v="43.395252530516842"/>
    <n v="61.209181823689164"/>
    <n v="34.639162021925443"/>
    <n v="14.575981459028363"/>
    <n v="12.987012987012987"/>
    <n v="41.179095024647765"/>
    <n v="73.223104047944204"/>
    <n v="58.906277173646536"/>
    <n v="33.932346958941139"/>
    <n v="0.58803855351127665"/>
    <n v="3.6633014664066273E-2"/>
    <n v="0.59264426296518358"/>
    <x v="89"/>
    <n v="0.12415356067064089"/>
    <n v="58.906277173646536"/>
    <x v="89"/>
    <x v="89"/>
    <x v="1"/>
    <s v=""/>
    <s v=""/>
    <s v=""/>
    <s v=""/>
    <s v=""/>
    <s v=""/>
    <s v=""/>
    <n v="0"/>
    <n v="61.209181823689164"/>
  </r>
  <r>
    <x v="6"/>
    <n v="13"/>
    <n v="4"/>
    <x v="3"/>
    <x v="1"/>
    <n v="13.567359009403061"/>
    <n v="105.58567448601754"/>
    <x v="90"/>
    <n v="0.64382352614598204"/>
    <n v="922.28927418402043"/>
    <n v="510.22947781774849"/>
    <n v="39.094251125200685"/>
    <n v="3.5086074667683156"/>
    <n v="12.987012987012987"/>
    <n v="31.414717731074891"/>
    <n v="1002.7631264012382"/>
    <n v="73.909972140212275"/>
    <n v="33.113959665183359"/>
    <n v="0.52894420053407964"/>
    <n v="0.40971720526881111"/>
    <n v="0.91974789449426009"/>
    <x v="90"/>
    <n v="9.0658589766208861E-3"/>
    <n v="73.909972140212275"/>
    <x v="90"/>
    <x v="90"/>
    <x v="0"/>
    <s v=""/>
    <s v=""/>
    <s v=""/>
    <s v=""/>
    <s v=""/>
    <s v=""/>
    <s v=""/>
    <n v="3000"/>
    <n v="-2489.7705221822516"/>
  </r>
  <r>
    <x v="0"/>
    <n v="13"/>
    <n v="4"/>
    <x v="3"/>
    <x v="1"/>
    <n v="16.415465926649365"/>
    <n v="108.1032226885078"/>
    <x v="91"/>
    <n v="0.49389328542145294"/>
    <n v="876.44562375908288"/>
    <n v="898.11914484510532"/>
    <n v="24.359656295617235"/>
    <n v="2.4373241038359774"/>
    <n v="12.987012987012987"/>
    <n v="28.51248770834404"/>
    <n v="1242.1953380229318"/>
    <n v="75.672255881955451"/>
    <n v="23.980987406315421"/>
    <n v="0.32191000534749431"/>
    <n v="0.68452001781737859"/>
    <n v="0.70556183631636127"/>
    <x v="91"/>
    <n v="7.3184215176480289E-3"/>
    <n v="75.672255881955451"/>
    <x v="91"/>
    <x v="91"/>
    <x v="1"/>
    <s v=""/>
    <s v=""/>
    <s v=""/>
    <s v=""/>
    <s v=""/>
    <s v=""/>
    <s v=""/>
    <n v="0"/>
    <n v="898.11914484510532"/>
  </r>
  <r>
    <x v="1"/>
    <n v="14"/>
    <n v="4"/>
    <x v="3"/>
    <x v="1"/>
    <n v="12.788308734405284"/>
    <n v="18.090927944629197"/>
    <x v="92"/>
    <n v="0.24587493552140516"/>
    <n v="56.883749510801529"/>
    <n v="174.46862233699667"/>
    <n v="12.145399151869968"/>
    <n v="6.6955699597703369"/>
    <n v="28.571428571428573"/>
    <n v="16.006669696857077"/>
    <n v="161.94666029345873"/>
    <n v="12.663649561240439"/>
    <n v="13.108794045884117"/>
    <n v="0.95907574614535485"/>
    <n v="0.97555188445580476"/>
    <n v="0.35124990788772165"/>
    <x v="92"/>
    <n v="0.12349745257950115"/>
    <n v="12.663649561240439"/>
    <x v="92"/>
    <x v="92"/>
    <x v="1"/>
    <n v="1000"/>
    <s v=""/>
    <s v=""/>
    <s v=""/>
    <s v=""/>
    <s v=""/>
    <s v=""/>
    <n v="1000"/>
    <n v="-825.53137766300335"/>
  </r>
  <r>
    <x v="2"/>
    <n v="14"/>
    <n v="4"/>
    <x v="3"/>
    <x v="1"/>
    <n v="19.028807251434309"/>
    <n v="66.328180371697414"/>
    <x v="93"/>
    <n v="0.33508825278356913"/>
    <n v="422.93035138837701"/>
    <n v="839.21580824302146"/>
    <n v="43.779874150952701"/>
    <n v="18.166874829395276"/>
    <n v="12.987012987012987"/>
    <n v="26.581501237317966"/>
    <n v="883.50231174197882"/>
    <n v="46.429726260188183"/>
    <n v="36.482717566830047"/>
    <n v="0.94292768183930398"/>
    <n v="0.52158415053858898"/>
    <n v="0.47869750397652733"/>
    <x v="93"/>
    <n v="1.028962682959457E-2"/>
    <n v="46.429726260188183"/>
    <x v="93"/>
    <x v="93"/>
    <x v="1"/>
    <s v=""/>
    <s v=""/>
    <s v=""/>
    <s v=""/>
    <s v=""/>
    <s v=""/>
    <s v=""/>
    <n v="0"/>
    <n v="839.21580824302146"/>
  </r>
  <r>
    <x v="3"/>
    <n v="14"/>
    <n v="4"/>
    <x v="3"/>
    <x v="1"/>
    <n v="17.650596470389836"/>
    <n v="108.22852052839411"/>
    <x v="94"/>
    <n v="0.32532581002540079"/>
    <n v="621.46922551219325"/>
    <n v="1288.8287169217938"/>
    <n v="24.368912729331658"/>
    <n v="6.6554587892311279"/>
    <n v="12.987012987012987"/>
    <n v="31.665727705091687"/>
    <n v="1337.2085597037908"/>
    <n v="75.759964369875874"/>
    <n v="28.883381922180693"/>
    <n v="0.32165950620511868"/>
    <n v="0.61109867666968887"/>
    <n v="0.464751157179144"/>
    <x v="94"/>
    <n v="6.7984227478493304E-3"/>
    <n v="75.759964369875874"/>
    <x v="94"/>
    <x v="94"/>
    <x v="1"/>
    <s v=""/>
    <s v=""/>
    <s v=""/>
    <s v=""/>
    <s v=""/>
    <s v=""/>
    <n v="1000"/>
    <n v="1000"/>
    <n v="288.82871692179378"/>
  </r>
  <r>
    <x v="4"/>
    <n v="14"/>
    <n v="4"/>
    <x v="3"/>
    <x v="1"/>
    <n v="14.115119678837461"/>
    <n v="36.609521740037309"/>
    <x v="95"/>
    <n v="0.70897726600299582"/>
    <n v="366.36242880615117"/>
    <n v="150.38535193947729"/>
    <n v="42.548060962857896"/>
    <n v="12.76728807049229"/>
    <n v="12.987012987012987"/>
    <n v="30.035376853794453"/>
    <n v="361.72344652193988"/>
    <n v="25.626665218026112"/>
    <n v="27.525273389027042"/>
    <n v="1.6603042417290044"/>
    <n v="0.51280579412753291"/>
    <n v="1.0128246657185656"/>
    <x v="95"/>
    <n v="2.5132208537545525E-2"/>
    <n v="25.626665218026112"/>
    <x v="95"/>
    <x v="95"/>
    <x v="1"/>
    <s v=""/>
    <s v=""/>
    <s v=""/>
    <s v=""/>
    <s v=""/>
    <s v=""/>
    <s v=""/>
    <n v="0"/>
    <n v="150.38535193947729"/>
  </r>
  <r>
    <x v="5"/>
    <n v="14"/>
    <n v="4"/>
    <x v="3"/>
    <x v="1"/>
    <n v="19.723834551617827"/>
    <n v="70.82237083395529"/>
    <x v="96"/>
    <n v="0.74914207568861513"/>
    <n v="1046.4681188643176"/>
    <n v="350.42060601794037"/>
    <n v="40.516345038606524"/>
    <n v="11.820868135282756"/>
    <n v="12.987012987012987"/>
    <n v="32.174231220848782"/>
    <n v="977.82210741758047"/>
    <n v="49.575659583768697"/>
    <n v="25.290422673913906"/>
    <n v="0.81726285396456455"/>
    <n v="0.77989343262191502"/>
    <n v="1.0702029652694502"/>
    <x v="96"/>
    <n v="9.2970991573488766E-3"/>
    <n v="49.575659583768697"/>
    <x v="96"/>
    <x v="96"/>
    <x v="1"/>
    <s v=""/>
    <s v=""/>
    <s v=""/>
    <s v=""/>
    <s v=""/>
    <s v=""/>
    <s v=""/>
    <n v="0"/>
    <n v="350.42060601794037"/>
  </r>
  <r>
    <x v="6"/>
    <n v="14"/>
    <n v="4"/>
    <x v="3"/>
    <x v="1"/>
    <n v="25.907810103172306"/>
    <n v="70.941605023892592"/>
    <x v="97"/>
    <n v="0.42738767718128562"/>
    <n v="785.51360462740183"/>
    <n v="1052.4280267458616"/>
    <n v="33.251620518193171"/>
    <n v="12.547860232595646"/>
    <n v="12.987012987012987"/>
    <n v="33.203603364126636"/>
    <n v="1286.5591419612845"/>
    <n v="49.659123516724812"/>
    <n v="29.95962027291052"/>
    <n v="0.66959741057439892"/>
    <n v="0.86475762600362927"/>
    <n v="0.61055382454469376"/>
    <x v="97"/>
    <n v="7.0660638865388875E-3"/>
    <n v="49.659123516724812"/>
    <x v="97"/>
    <x v="97"/>
    <x v="1"/>
    <s v=""/>
    <s v=""/>
    <s v=""/>
    <s v=""/>
    <s v=""/>
    <s v=""/>
    <s v=""/>
    <n v="0"/>
    <n v="1052.4280267458616"/>
  </r>
  <r>
    <x v="0"/>
    <n v="14"/>
    <n v="4"/>
    <x v="3"/>
    <x v="1"/>
    <n v="13.203030931682287"/>
    <n v="22.839353421375847"/>
    <x v="98"/>
    <n v="0.75663127900592009"/>
    <n v="228.16117075668802"/>
    <n v="73.387518925360951"/>
    <n v="34.800195317831736"/>
    <n v="10.001852903304581"/>
    <n v="12.987012987012987"/>
    <n v="32.736147368843966"/>
    <n v="211.08408277743428"/>
    <n v="15.987547394963093"/>
    <n v="36.322279634542198"/>
    <n v="2.1767063113630303"/>
    <n v="0.36349675913860618"/>
    <n v="1.0809018271513144"/>
    <x v="98"/>
    <n v="4.3067714871208397E-2"/>
    <n v="15.987547394963093"/>
    <x v="98"/>
    <x v="98"/>
    <x v="1"/>
    <s v=""/>
    <s v=""/>
    <s v=""/>
    <s v=""/>
    <s v=""/>
    <s v=""/>
    <s v=""/>
    <n v="0"/>
    <n v="73.387518925360951"/>
  </r>
  <r>
    <x v="1"/>
    <n v="15"/>
    <n v="4"/>
    <x v="3"/>
    <x v="1"/>
    <n v="8.926963800037198"/>
    <n v="35.731028979831791"/>
    <x v="99"/>
    <n v="0.2345069053735937"/>
    <n v="74.800574329792028"/>
    <n v="244.16902791124642"/>
    <n v="24.446507822359159"/>
    <n v="8.5491147620660541"/>
    <n v="28.571428571428573"/>
    <n v="22.614160665514163"/>
    <n v="223.27872156872689"/>
    <n v="25.011720285882252"/>
    <n v="20.355140996668908"/>
    <n v="0.97740209561506552"/>
    <n v="0.43856064674266243"/>
    <n v="0.33500986481941963"/>
    <x v="99"/>
    <n v="8.9574142396922699E-2"/>
    <n v="25.011720285882252"/>
    <x v="99"/>
    <x v="99"/>
    <x v="1"/>
    <n v="1000"/>
    <s v=""/>
    <n v="300"/>
    <s v=""/>
    <s v=""/>
    <s v=""/>
    <s v=""/>
    <n v="1300"/>
    <n v="-1055.8309720887537"/>
  </r>
  <r>
    <x v="2"/>
    <n v="15"/>
    <n v="4"/>
    <x v="3"/>
    <x v="1"/>
    <n v="18.548857017520294"/>
    <n v="60.147813039794457"/>
    <x v="100"/>
    <n v="0.59981184539392762"/>
    <n v="669.19399134657465"/>
    <n v="446.47919264511552"/>
    <n v="38.429735439844805"/>
    <n v="9.9047899808665463"/>
    <n v="12.987012987012987"/>
    <n v="38.09514049364752"/>
    <n v="780.97122879418305"/>
    <n v="42.103469127856123"/>
    <n v="50.783778563314499"/>
    <n v="0.9127451071346343"/>
    <n v="0.3652516126659337"/>
    <n v="0.85687406484846818"/>
    <x v="100"/>
    <n v="1.1640517288896063E-2"/>
    <n v="42.103469127856123"/>
    <x v="100"/>
    <x v="100"/>
    <x v="1"/>
    <s v=""/>
    <s v=""/>
    <s v=""/>
    <s v=""/>
    <s v=""/>
    <s v=""/>
    <s v=""/>
    <n v="0"/>
    <n v="446.47919264511552"/>
  </r>
  <r>
    <x v="3"/>
    <n v="15"/>
    <n v="4"/>
    <x v="3"/>
    <x v="1"/>
    <n v="6.8044545199975621"/>
    <n v="64.096849502848869"/>
    <x v="101"/>
    <n v="0.58449763636469254"/>
    <n v="254.92519399635293"/>
    <n v="181.21890332091053"/>
    <n v="40.685175215369917"/>
    <n v="6.8562540582903786"/>
    <n v="12.987012987012987"/>
    <n v="40.881653390167436"/>
    <n v="305.30086812208441"/>
    <n v="44.867794651994203"/>
    <n v="36.7105467610834"/>
    <n v="0.90677902782907593"/>
    <n v="0.18535421344393915"/>
    <n v="0.83499662337813219"/>
    <x v="101"/>
    <n v="2.9776885820297756E-2"/>
    <n v="44.867794651994203"/>
    <x v="101"/>
    <x v="101"/>
    <x v="1"/>
    <s v=""/>
    <s v=""/>
    <s v=""/>
    <s v=""/>
    <n v="480"/>
    <s v=""/>
    <s v=""/>
    <n v="480"/>
    <n v="-298.7810966790895"/>
  </r>
  <r>
    <x v="4"/>
    <n v="15"/>
    <n v="4"/>
    <x v="3"/>
    <x v="1"/>
    <n v="14.337530296352025"/>
    <n v="64.24021105295185"/>
    <x v="102"/>
    <n v="0.91636566461267899"/>
    <n v="844.01490446831258"/>
    <n v="77.031067747432758"/>
    <n v="55.203778455713703"/>
    <n v="15.570292598872307"/>
    <n v="12.987012987012987"/>
    <n v="43.711796871571984"/>
    <n v="644.73218055102166"/>
    <n v="44.968147737066289"/>
    <n v="42.306575013561435"/>
    <n v="1.2276195759384236"/>
    <n v="0.33889602955937959"/>
    <n v="1.3090938065895417"/>
    <x v="102"/>
    <n v="1.4100287476172705E-2"/>
    <n v="44.968147737066289"/>
    <x v="102"/>
    <x v="102"/>
    <x v="1"/>
    <s v=""/>
    <s v=""/>
    <s v=""/>
    <s v=""/>
    <s v=""/>
    <s v=""/>
    <s v=""/>
    <n v="0"/>
    <n v="77.031067747432758"/>
  </r>
  <r>
    <x v="5"/>
    <n v="15"/>
    <n v="4"/>
    <x v="3"/>
    <x v="1"/>
    <n v="24.463033674064604"/>
    <n v="50.059561909477324"/>
    <x v="103"/>
    <n v="0.74265471551113227"/>
    <n v="909.46146187858801"/>
    <n v="315.14728682187763"/>
    <n v="51.742610932048109"/>
    <n v="11.593313391574972"/>
    <n v="12.987012987012987"/>
    <n v="37.929468224561141"/>
    <n v="857.22612409032592"/>
    <n v="35.041693336634125"/>
    <n v="37.67652452400597"/>
    <n v="1.4766013284510457"/>
    <n v="0.64929114304260582"/>
    <n v="1.0609353078730461"/>
    <x v="103"/>
    <n v="1.0605030382801518E-2"/>
    <n v="35.041693336634125"/>
    <x v="103"/>
    <x v="103"/>
    <x v="1"/>
    <s v=""/>
    <s v=""/>
    <s v=""/>
    <s v=""/>
    <s v=""/>
    <s v=""/>
    <s v=""/>
    <n v="0"/>
    <n v="315.14728682187763"/>
  </r>
  <r>
    <x v="6"/>
    <n v="15"/>
    <n v="4"/>
    <x v="3"/>
    <x v="1"/>
    <n v="2.6306686541323199"/>
    <n v="61.07028903383862"/>
    <x v="104"/>
    <n v="0.59264771203440059"/>
    <n v="95.212230102676486"/>
    <n v="65.443464957443538"/>
    <n v="35.867077828891112"/>
    <n v="17.310908807586014"/>
    <n v="12.987012987012987"/>
    <n v="44.084093627753717"/>
    <n v="112.45898654208401"/>
    <n v="42.74920232368703"/>
    <n v="40.611317283970351"/>
    <n v="0.83901162780334315"/>
    <n v="6.4776737866877029E-2"/>
    <n v="0.84663958862057231"/>
    <x v="104"/>
    <n v="8.0837551274811834E-2"/>
    <n v="42.74920232368703"/>
    <x v="104"/>
    <x v="104"/>
    <x v="1"/>
    <s v=""/>
    <n v="300"/>
    <s v=""/>
    <s v=""/>
    <s v=""/>
    <s v=""/>
    <s v=""/>
    <n v="300"/>
    <n v="-234.55653504255645"/>
  </r>
  <r>
    <x v="0"/>
    <n v="15"/>
    <n v="4"/>
    <x v="3"/>
    <x v="1"/>
    <n v="24.447642321557815"/>
    <n v="61.785742269249049"/>
    <x v="105"/>
    <n v="0.83595717044676954"/>
    <n v="1262.726453535226"/>
    <n v="247.78927403533066"/>
    <n v="45.301624729698318"/>
    <n v="10.863452150124216"/>
    <n v="12.987012987012987"/>
    <n v="43.903940852554449"/>
    <n v="1057.3610092993897"/>
    <n v="43.250019588474338"/>
    <n v="45.587902043233719"/>
    <n v="1.0474359355381822"/>
    <n v="0.53627478400678896"/>
    <n v="1.1942245292096707"/>
    <x v="105"/>
    <n v="8.5977343697709752E-3"/>
    <n v="43.250019588474338"/>
    <x v="105"/>
    <x v="105"/>
    <x v="1"/>
    <s v=""/>
    <s v=""/>
    <s v=""/>
    <s v=""/>
    <s v=""/>
    <s v=""/>
    <s v=""/>
    <n v="0"/>
    <n v="247.78927403533066"/>
  </r>
  <r>
    <x v="1"/>
    <n v="16"/>
    <n v="4"/>
    <x v="3"/>
    <x v="1"/>
    <n v="8.2401495843252768"/>
    <n v="41.79296279832927"/>
    <x v="106"/>
    <n v="0.33395706333127373"/>
    <n v="115.00822197878968"/>
    <n v="229.37204305158502"/>
    <n v="27.229281232803363"/>
    <n v="14.131270766253017"/>
    <n v="28.571428571428573"/>
    <n v="25.628934331644309"/>
    <n v="241.06618552126227"/>
    <n v="29.255073958830486"/>
    <n v="26.519117298248538"/>
    <n v="0.9307541410123269"/>
    <n v="0.31072488166374601"/>
    <n v="0.47708151904467683"/>
    <x v="106"/>
    <n v="8.2964767359443622E-2"/>
    <n v="29.255073958830486"/>
    <x v="106"/>
    <x v="106"/>
    <x v="1"/>
    <n v="1000"/>
    <s v=""/>
    <s v=""/>
    <s v=""/>
    <s v=""/>
    <s v=""/>
    <s v=""/>
    <n v="1000"/>
    <n v="-770.62795694841498"/>
  </r>
  <r>
    <x v="2"/>
    <n v="16"/>
    <n v="4"/>
    <x v="3"/>
    <x v="1"/>
    <n v="0.16906770131868543"/>
    <n v="57.693264235702287"/>
    <x v="107"/>
    <n v="0.76625690700154003"/>
    <n v="7.4741216437318849"/>
    <n v="2.2799459221698255"/>
    <n v="66.808851293013163"/>
    <n v="27.653432109795993"/>
    <n v="12.987012987012987"/>
    <n v="62.832884709561874"/>
    <n v="6.8278472961311971"/>
    <n v="40.385284964991598"/>
    <n v="44.066286366893479"/>
    <n v="1.6542869847501906"/>
    <n v="3.8366677852323893E-3"/>
    <n v="1.0946527242879143"/>
    <x v="107"/>
    <n v="1.3314458710961787"/>
    <n v="40.385284964991598"/>
    <x v="107"/>
    <x v="107"/>
    <x v="1"/>
    <s v=""/>
    <s v=""/>
    <s v=""/>
    <s v=""/>
    <s v=""/>
    <s v=""/>
    <s v=""/>
    <n v="0"/>
    <n v="2.2799459221698255"/>
  </r>
  <r>
    <x v="3"/>
    <n v="16"/>
    <n v="4"/>
    <x v="3"/>
    <x v="1"/>
    <n v="13.740251147763859"/>
    <n v="127.65558294379504"/>
    <x v="108"/>
    <n v="1.0182977928352266"/>
    <n v="1786.1144604434294"/>
    <n v="-32.094690381485179"/>
    <n v="54.534353105483405"/>
    <n v="21.127123566380423"/>
    <n v="12.987012987012987"/>
    <n v="61.652364746054388"/>
    <n v="1227.8138390433608"/>
    <n v="89.358908060656518"/>
    <n v="51.060308233375345"/>
    <n v="0.61028446171774697"/>
    <n v="0.2690984763539403"/>
    <n v="1.4547111326217523"/>
    <x v="108"/>
    <n v="7.4041428772232956E-3"/>
    <n v="89.358908060656518"/>
    <x v="108"/>
    <x v="108"/>
    <x v="1"/>
    <s v=""/>
    <s v=""/>
    <s v=""/>
    <s v=""/>
    <s v=""/>
    <s v=""/>
    <s v=""/>
    <n v="0"/>
    <n v="-32.094690381485179"/>
  </r>
  <r>
    <x v="4"/>
    <n v="16"/>
    <n v="4"/>
    <x v="3"/>
    <x v="1"/>
    <n v="21.52324233021638"/>
    <n v="147.84232229148935"/>
    <x v="109"/>
    <n v="0.70303036205129099"/>
    <n v="2237.0750423749878"/>
    <n v="944.97108696668874"/>
    <n v="46.246575863713119"/>
    <n v="11.377060117246597"/>
    <n v="12.987012987012987"/>
    <n v="49.313812221768501"/>
    <n v="2227.4322905391732"/>
    <n v="103.48962560404253"/>
    <n v="55.674222750267433"/>
    <n v="0.44687161243248935"/>
    <n v="0.38659259648331584"/>
    <n v="1.0043290886447016"/>
    <x v="109"/>
    <n v="4.0813402631909136E-3"/>
    <n v="103.48962560404253"/>
    <x v="109"/>
    <x v="109"/>
    <x v="1"/>
    <s v=""/>
    <s v=""/>
    <s v=""/>
    <n v="100"/>
    <s v=""/>
    <s v=""/>
    <s v=""/>
    <n v="100"/>
    <n v="844.97108696668874"/>
  </r>
  <r>
    <x v="5"/>
    <n v="16"/>
    <n v="4"/>
    <x v="3"/>
    <x v="1"/>
    <n v="20.924383404942819"/>
    <n v="49.381558977145055"/>
    <x v="110"/>
    <n v="0.32888310044728958"/>
    <n v="339.82789365873055"/>
    <n v="693.45077951284861"/>
    <n v="30.192700570013884"/>
    <n v="13.921661850549636"/>
    <n v="12.987012987012987"/>
    <n v="62.821216452987059"/>
    <n v="723.29507122010534"/>
    <n v="34.567091284001535"/>
    <n v="45.522984158125546"/>
    <n v="0.87345216066784814"/>
    <n v="0.45964437068231956"/>
    <n v="0.46983300063898514"/>
    <x v="110"/>
    <n v="1.2568741932077458E-2"/>
    <n v="34.567091284001535"/>
    <x v="110"/>
    <x v="110"/>
    <x v="1"/>
    <s v=""/>
    <s v=""/>
    <s v=""/>
    <s v=""/>
    <s v=""/>
    <s v=""/>
    <s v=""/>
    <n v="0"/>
    <n v="693.45077951284861"/>
  </r>
  <r>
    <x v="6"/>
    <n v="16"/>
    <n v="4"/>
    <x v="3"/>
    <x v="1"/>
    <n v="15.28069224484077"/>
    <n v="85.071413248431242"/>
    <x v="111"/>
    <n v="0.803586357051296"/>
    <n v="1044.6221528988935"/>
    <n v="255.32793178405404"/>
    <n v="51.657264228532718"/>
    <n v="24.850848170537645"/>
    <n v="12.987012987012987"/>
    <n v="51.066183147988227"/>
    <n v="909.96505927806322"/>
    <n v="59.549989273901865"/>
    <n v="63.924087714570348"/>
    <n v="0.86746051272878766"/>
    <n v="0.23904435387597733"/>
    <n v="1.1479805100732801"/>
    <x v="111"/>
    <n v="9.9903935851355895E-3"/>
    <n v="59.549989273901865"/>
    <x v="111"/>
    <x v="111"/>
    <x v="1"/>
    <s v=""/>
    <s v=""/>
    <s v=""/>
    <s v=""/>
    <s v=""/>
    <s v=""/>
    <s v=""/>
    <n v="0"/>
    <n v="255.32793178405404"/>
  </r>
  <r>
    <x v="0"/>
    <n v="16"/>
    <n v="4"/>
    <x v="3"/>
    <x v="1"/>
    <n v="26.861469920124932"/>
    <n v="108.75384945448293"/>
    <x v="112"/>
    <n v="0.67577404047953959"/>
    <n v="1974.1307680404952"/>
    <n v="947.15748777889348"/>
    <n v="60.029559320145196"/>
    <n v="9.0180598934455354"/>
    <n v="12.987012987012987"/>
    <n v="50.287819761528951"/>
    <n v="2044.901779073572"/>
    <n v="76.127694618138051"/>
    <n v="54.576445391962551"/>
    <n v="0.78853772758071483"/>
    <n v="0.49218064179901333"/>
    <n v="0.96539148639934236"/>
    <x v="112"/>
    <n v="4.4456458417419251E-3"/>
    <n v="76.127694618138051"/>
    <x v="112"/>
    <x v="112"/>
    <x v="1"/>
    <s v=""/>
    <s v=""/>
    <s v=""/>
    <s v=""/>
    <s v=""/>
    <s v=""/>
    <s v=""/>
    <n v="0"/>
    <n v="947.15748777889348"/>
  </r>
  <r>
    <x v="1"/>
    <n v="17"/>
    <n v="4"/>
    <x v="3"/>
    <x v="1"/>
    <n v="2.4447704009222622"/>
    <n v="64.414986583519351"/>
    <x v="113"/>
    <n v="0.41168973669360848"/>
    <n v="64.832839041229391"/>
    <n v="92.64701353396336"/>
    <n v="29.682165726604627"/>
    <n v="7.5974464741991286"/>
    <n v="28.571428571428573"/>
    <n v="28.401695402187691"/>
    <n v="110.23589680263493"/>
    <n v="45.090490608463547"/>
    <n v="31.225755792357589"/>
    <n v="0.65827994608320461"/>
    <n v="7.8293393991142796E-2"/>
    <n v="0.58812819527658355"/>
    <x v="113"/>
    <n v="0.18142910413118668"/>
    <n v="45.090490608463547"/>
    <x v="113"/>
    <x v="113"/>
    <x v="1"/>
    <n v="1000"/>
    <s v=""/>
    <s v=""/>
    <s v=""/>
    <s v=""/>
    <s v=""/>
    <s v=""/>
    <n v="1000"/>
    <n v="-907.35298646603667"/>
  </r>
  <r>
    <x v="2"/>
    <n v="17"/>
    <n v="4"/>
    <x v="3"/>
    <x v="1"/>
    <n v="17.310379313357586"/>
    <n v="127.60663171084491"/>
    <x v="114"/>
    <n v="1.0447307161682655"/>
    <n v="2307.7257354907297"/>
    <n v="-98.806537676079643"/>
    <n v="52.763644625618859"/>
    <n v="29.200341342346682"/>
    <n v="12.987012987012987"/>
    <n v="75.887544243428152"/>
    <n v="1546.2434384702549"/>
    <n v="89.32464219759143"/>
    <n v="67.485333940370737"/>
    <n v="0.59069528102785496"/>
    <n v="0.25650579618755148"/>
    <n v="1.4924724516689507"/>
    <x v="114"/>
    <n v="5.8793517661766114E-3"/>
    <n v="89.32464219759143"/>
    <x v="114"/>
    <x v="114"/>
    <x v="1"/>
    <s v=""/>
    <s v=""/>
    <s v=""/>
    <s v=""/>
    <s v=""/>
    <n v="83"/>
    <s v=""/>
    <n v="83"/>
    <n v="-181.80653767607964"/>
  </r>
  <r>
    <x v="3"/>
    <n v="17"/>
    <n v="4"/>
    <x v="3"/>
    <x v="1"/>
    <n v="27.32940150249447"/>
    <n v="110.48843564064214"/>
    <x v="115"/>
    <n v="0.80465086299614785"/>
    <n v="2429.7099212012199"/>
    <n v="589.87289780440869"/>
    <n v="74.820374680756444"/>
    <n v="25.064941242234859"/>
    <n v="12.987012987012987"/>
    <n v="76.358198928092961"/>
    <n v="2113.70797330394"/>
    <n v="77.341904948449496"/>
    <n v="80.827843290818407"/>
    <n v="0.9673976188022041"/>
    <n v="0.33811865305082239"/>
    <n v="1.1495012328516399"/>
    <x v="115"/>
    <n v="4.3009295540003467E-3"/>
    <n v="77.341904948449496"/>
    <x v="115"/>
    <x v="115"/>
    <x v="1"/>
    <s v=""/>
    <s v=""/>
    <s v=""/>
    <s v=""/>
    <s v=""/>
    <s v=""/>
    <s v=""/>
    <n v="0"/>
    <n v="589.87289780440869"/>
  </r>
  <r>
    <x v="4"/>
    <n v="17"/>
    <n v="4"/>
    <x v="3"/>
    <x v="1"/>
    <n v="37.763244649850577"/>
    <n v="48.40256470216346"/>
    <x v="116"/>
    <n v="0.71938152998042837"/>
    <n v="1314.9128196830093"/>
    <n v="512.9250728450113"/>
    <n v="77.963496665595073"/>
    <n v="26.591846500695329"/>
    <n v="12.987012987012987"/>
    <n v="49.011922826979031"/>
    <n v="1279.4865247696143"/>
    <n v="33.881795291514422"/>
    <n v="66.939304187712366"/>
    <n v="2.3010438495011143"/>
    <n v="0.56414157733032644"/>
    <n v="1.0276878999720407"/>
    <x v="116"/>
    <n v="7.1051229652817245E-3"/>
    <n v="33.881795291514422"/>
    <x v="116"/>
    <x v="116"/>
    <x v="1"/>
    <s v=""/>
    <s v=""/>
    <s v=""/>
    <s v=""/>
    <s v=""/>
    <s v=""/>
    <s v=""/>
    <n v="0"/>
    <n v="512.9250728450113"/>
  </r>
  <r>
    <x v="5"/>
    <n v="17"/>
    <n v="4"/>
    <x v="3"/>
    <x v="1"/>
    <n v="10.323547393480052"/>
    <n v="115.1680224857907"/>
    <x v="117"/>
    <n v="0.4877747547478492"/>
    <n v="579.93615505073058"/>
    <n v="609.00638329470598"/>
    <n v="56.85488518791405"/>
    <n v="13.609972883771704"/>
    <n v="12.987012987012987"/>
    <n v="71.076562873273232"/>
    <n v="832.25977684180555"/>
    <n v="80.617615740053481"/>
    <n v="57.960856825414155"/>
    <n v="0.70524146200551396"/>
    <n v="0.17811240135003448"/>
    <n v="0.69682107821121309"/>
    <x v="117"/>
    <n v="1.0923162867976826E-2"/>
    <n v="80.617615740053481"/>
    <x v="117"/>
    <x v="117"/>
    <x v="1"/>
    <s v=""/>
    <s v=""/>
    <s v=""/>
    <s v=""/>
    <s v=""/>
    <s v=""/>
    <s v=""/>
    <n v="0"/>
    <n v="609.00638329470598"/>
  </r>
  <r>
    <x v="6"/>
    <n v="17"/>
    <n v="4"/>
    <x v="3"/>
    <x v="1"/>
    <n v="40.943289025514304"/>
    <n v="76.023570130187494"/>
    <x v="118"/>
    <n v="1.1660797239716014"/>
    <n v="3629.6038885731396"/>
    <n v="-516.94888398141711"/>
    <n v="58.951832957406786"/>
    <n v="18.23725029363823"/>
    <n v="12.987012987012987"/>
    <n v="68.371320244078078"/>
    <n v="2178.8585032142055"/>
    <n v="53.21649909113124"/>
    <n v="47.749437873191695"/>
    <n v="1.1077736033791701"/>
    <n v="0.85746117334925498"/>
    <n v="1.665828177102288"/>
    <x v="118"/>
    <n v="4.1723265083521369E-3"/>
    <n v="53.21649909113124"/>
    <x v="118"/>
    <x v="118"/>
    <x v="1"/>
    <s v=""/>
    <s v=""/>
    <s v=""/>
    <s v=""/>
    <s v=""/>
    <s v=""/>
    <s v=""/>
    <n v="0"/>
    <n v="-516.94888398141711"/>
  </r>
  <r>
    <x v="0"/>
    <n v="17"/>
    <n v="4"/>
    <x v="3"/>
    <x v="1"/>
    <n v="3.3212199100440811"/>
    <n v="51.93811059599787"/>
    <x v="119"/>
    <n v="0.91176334913721524"/>
    <n v="157.27725117158016"/>
    <n v="15.220635829919416"/>
    <n v="81.026511318317262"/>
    <n v="29.30795314595785"/>
    <n v="12.987012987012987"/>
    <n v="50.570661368832383"/>
    <n v="120.7485209010497"/>
    <n v="36.356677417198505"/>
    <n v="68.333613385729635"/>
    <n v="2.2286555613574226"/>
    <n v="4.8603019004665481E-2"/>
    <n v="1.3025190701960219"/>
    <x v="119"/>
    <n v="7.5287954030996834E-2"/>
    <n v="36.356677417198505"/>
    <x v="119"/>
    <x v="119"/>
    <x v="1"/>
    <s v=""/>
    <s v=""/>
    <s v=""/>
    <s v=""/>
    <s v=""/>
    <s v=""/>
    <s v=""/>
    <n v="0"/>
    <n v="15.220635829919416"/>
  </r>
  <r>
    <x v="1"/>
    <n v="18"/>
    <n v="5"/>
    <x v="4"/>
    <x v="1"/>
    <n v="14.407873666374094"/>
    <n v="54.295802084674854"/>
    <x v="120"/>
    <n v="0.36437587322580511"/>
    <n v="285.04652952600168"/>
    <n v="497.24052752444481"/>
    <n v="32.967063946532981"/>
    <n v="10.473558419674283"/>
    <n v="28.571428571428573"/>
    <n v="33.147755569760719"/>
    <n v="547.60093993531245"/>
    <n v="38.007061459272393"/>
    <n v="32.344816889833623"/>
    <n v="0.86739312856006578"/>
    <n v="0.44544613486133744"/>
    <n v="0.52053696175115027"/>
    <x v="120"/>
    <n v="3.6522946805684041E-2"/>
    <n v="38.007061459272393"/>
    <x v="120"/>
    <x v="120"/>
    <x v="0"/>
    <n v="1000"/>
    <s v=""/>
    <s v=""/>
    <s v=""/>
    <s v=""/>
    <s v=""/>
    <s v=""/>
    <n v="4000"/>
    <n v="-3502.7594724755554"/>
  </r>
  <r>
    <x v="2"/>
    <n v="18"/>
    <n v="5"/>
    <x v="4"/>
    <x v="1"/>
    <n v="36.181828065921465"/>
    <n v="60.232192428051192"/>
    <x v="121"/>
    <n v="0.65544969031834943"/>
    <n v="1428.4286089358698"/>
    <n v="750.88222152937533"/>
    <n v="94.436822770634961"/>
    <n v="23.163413676135605"/>
    <n v="12.987012987012987"/>
    <n v="85.414337501064537"/>
    <n v="1525.5175813256715"/>
    <n v="42.162534699635835"/>
    <n v="85.485514632877354"/>
    <n v="2.2398279288330034"/>
    <n v="0.4232509825940276"/>
    <n v="0.93635670045478492"/>
    <x v="121"/>
    <n v="5.9592293148198984E-3"/>
    <n v="42.162534699635835"/>
    <x v="121"/>
    <x v="121"/>
    <x v="1"/>
    <s v=""/>
    <s v=""/>
    <s v=""/>
    <s v=""/>
    <s v=""/>
    <s v=""/>
    <s v=""/>
    <n v="0"/>
    <n v="750.88222152937533"/>
  </r>
  <r>
    <x v="3"/>
    <n v="18"/>
    <n v="5"/>
    <x v="4"/>
    <x v="1"/>
    <n v="27.197978974292997"/>
    <n v="93.677868112037075"/>
    <x v="122"/>
    <n v="0.72349144727796411"/>
    <n v="1843.3467341966248"/>
    <n v="704.501953071152"/>
    <n v="87.064492469945463"/>
    <n v="27.674590925582343"/>
    <n v="12.987012987012987"/>
    <n v="83.482367148679629"/>
    <n v="1783.4940810874436"/>
    <n v="65.574507678425945"/>
    <n v="73.567288048982178"/>
    <n v="1.3277185838268937"/>
    <n v="0.36970207405476446"/>
    <n v="1.0335592103970916"/>
    <x v="122"/>
    <n v="5.097246571946077E-3"/>
    <n v="65.574507678425945"/>
    <x v="122"/>
    <x v="122"/>
    <x v="1"/>
    <s v=""/>
    <s v=""/>
    <s v=""/>
    <s v=""/>
    <s v=""/>
    <s v=""/>
    <s v=""/>
    <n v="0"/>
    <n v="704.501953071152"/>
  </r>
  <r>
    <x v="4"/>
    <n v="18"/>
    <n v="5"/>
    <x v="4"/>
    <x v="1"/>
    <n v="33.424291409656838"/>
    <n v="108.81093355964366"/>
    <x v="123"/>
    <n v="0.39876359960100249"/>
    <n v="1450.2746410763773"/>
    <n v="2186.6537107779614"/>
    <n v="79.201536017927694"/>
    <n v="35.560402098874057"/>
    <n v="12.987012987012987"/>
    <n v="78.040442846807039"/>
    <n v="2545.8498462980369"/>
    <n v="76.167653491750556"/>
    <n v="80.667759751651303"/>
    <n v="1.0398316396409104"/>
    <n v="0.41434510531293922"/>
    <n v="0.56966228514428929"/>
    <x v="123"/>
    <n v="3.5708740262621282E-3"/>
    <n v="76.167653491750556"/>
    <x v="123"/>
    <x v="123"/>
    <x v="1"/>
    <s v=""/>
    <s v=""/>
    <s v=""/>
    <s v=""/>
    <s v=""/>
    <s v=""/>
    <s v=""/>
    <n v="0"/>
    <n v="2186.6537107779614"/>
  </r>
  <r>
    <x v="5"/>
    <n v="18"/>
    <n v="5"/>
    <x v="4"/>
    <x v="1"/>
    <n v="24.015384903278783"/>
    <n v="88.176240029485683"/>
    <x v="124"/>
    <n v="0.97283312647351894"/>
    <n v="2060.058143253143"/>
    <n v="57.528200378853853"/>
    <n v="59.986059179308299"/>
    <n v="8.7575695245196297"/>
    <n v="12.987012987012987"/>
    <n v="50.383220775527619"/>
    <n v="1482.3104405423978"/>
    <n v="61.723368020639981"/>
    <n v="77.800318828466715"/>
    <n v="0.97185330455799601"/>
    <n v="0.3086797749020494"/>
    <n v="1.3897616092478842"/>
    <x v="124"/>
    <n v="6.1329319704329964E-3"/>
    <n v="61.723368020639981"/>
    <x v="124"/>
    <x v="124"/>
    <x v="1"/>
    <s v=""/>
    <s v=""/>
    <s v=""/>
    <s v=""/>
    <s v=""/>
    <s v=""/>
    <n v="1000"/>
    <n v="1000"/>
    <n v="-942.47179962114615"/>
  </r>
  <r>
    <x v="6"/>
    <n v="18"/>
    <n v="5"/>
    <x v="4"/>
    <x v="1"/>
    <n v="32.888019430107349"/>
    <n v="45.371068196659074"/>
    <x v="125"/>
    <n v="0.65125027451985573"/>
    <n v="971.77258741501566"/>
    <n v="520.39198500143345"/>
    <n v="113.26159483346471"/>
    <n v="22.221997396320084"/>
    <n v="12.987012987012987"/>
    <n v="52.611971384943978"/>
    <n v="1044.5152006915143"/>
    <n v="31.75974773766135"/>
    <n v="60.562594088000395"/>
    <n v="3.5661994474583572"/>
    <n v="0.54304178883618259"/>
    <n v="0.93035753502836538"/>
    <x v="125"/>
    <n v="8.7034722758371676E-3"/>
    <n v="31.75974773766135"/>
    <x v="125"/>
    <x v="125"/>
    <x v="1"/>
    <s v=""/>
    <s v=""/>
    <s v=""/>
    <s v=""/>
    <s v=""/>
    <s v=""/>
    <s v=""/>
    <n v="0"/>
    <n v="520.39198500143345"/>
  </r>
  <r>
    <x v="0"/>
    <n v="18"/>
    <n v="5"/>
    <x v="4"/>
    <x v="1"/>
    <n v="21.130129901589633"/>
    <n v="59.310675206167133"/>
    <x v="126"/>
    <n v="0.88117351279350098"/>
    <n v="1104.3238948975727"/>
    <n v="148.91837675973034"/>
    <n v="85.279449572428547"/>
    <n v="32.115539493806494"/>
    <n v="12.987012987012987"/>
    <n v="86.107013077831269"/>
    <n v="877.2695901601121"/>
    <n v="41.517472644316989"/>
    <n v="69.984918163349676"/>
    <n v="2.054061679115764"/>
    <n v="0.30192404958266061"/>
    <n v="1.2588193039907156"/>
    <x v="126"/>
    <n v="1.0362731357472328E-2"/>
    <n v="41.517472644316989"/>
    <x v="126"/>
    <x v="126"/>
    <x v="1"/>
    <s v=""/>
    <s v=""/>
    <s v=""/>
    <s v=""/>
    <s v=""/>
    <s v=""/>
    <s v=""/>
    <n v="0"/>
    <n v="148.91837675973034"/>
  </r>
  <r>
    <x v="1"/>
    <n v="19"/>
    <n v="5"/>
    <x v="4"/>
    <x v="1"/>
    <n v="11.653595406342724"/>
    <n v="48.441419126349047"/>
    <x v="127"/>
    <n v="0.38574242101152345"/>
    <n v="217.75803833090038"/>
    <n v="346.75866107664342"/>
    <n v="20.288317114841213"/>
    <n v="5.0451081790538632"/>
    <n v="28.571428571428573"/>
    <n v="37.03892574199196"/>
    <n v="395.16168958528061"/>
    <n v="33.90899338844433"/>
    <n v="39.766398221855788"/>
    <n v="0.59831670266434878"/>
    <n v="0.29305131788218769"/>
    <n v="0.55106060144503355"/>
    <x v="127"/>
    <n v="5.0612193760457537E-2"/>
    <n v="33.90899338844433"/>
    <x v="127"/>
    <x v="127"/>
    <x v="1"/>
    <n v="1000"/>
    <s v=""/>
    <s v=""/>
    <s v=""/>
    <s v=""/>
    <s v=""/>
    <s v=""/>
    <n v="1000"/>
    <n v="-653.24133892335658"/>
  </r>
  <r>
    <x v="2"/>
    <n v="19"/>
    <n v="5"/>
    <x v="4"/>
    <x v="1"/>
    <n v="16.080982635941979"/>
    <n v="67.983151195550136"/>
    <x v="128"/>
    <n v="1.141795621746347"/>
    <n v="1248.2519343690597"/>
    <n v="-155.01606045679978"/>
    <n v="116.81978565108471"/>
    <n v="27.190434073850522"/>
    <n v="12.987012987012987"/>
    <n v="78.764033401109899"/>
    <n v="765.26511173858182"/>
    <n v="47.588205836885088"/>
    <n v="83.404934624808192"/>
    <n v="2.454805420727566"/>
    <n v="0.19280612961668586"/>
    <n v="1.6311366024947815"/>
    <x v="128"/>
    <n v="1.1879424465406163E-2"/>
    <n v="47.588205836885088"/>
    <x v="128"/>
    <x v="128"/>
    <x v="1"/>
    <s v=""/>
    <s v=""/>
    <s v=""/>
    <s v=""/>
    <s v=""/>
    <s v=""/>
    <s v=""/>
    <n v="0"/>
    <n v="-155.01606045679978"/>
  </r>
  <r>
    <x v="3"/>
    <n v="19"/>
    <n v="5"/>
    <x v="4"/>
    <x v="1"/>
    <n v="21.309434609212492"/>
    <n v="85.360198137370219"/>
    <x v="129"/>
    <n v="0.94459617412472552"/>
    <n v="1718.19924440819"/>
    <n v="100.77831602952256"/>
    <n v="99.048818812182247"/>
    <n v="30.293877791578872"/>
    <n v="12.987012987012987"/>
    <n v="96.130135615477442"/>
    <n v="1273.2842923063988"/>
    <n v="59.75213869615915"/>
    <n v="93.357491082434251"/>
    <n v="1.6576614824759248"/>
    <n v="0.22825629054658672"/>
    <n v="1.3494231058924651"/>
    <x v="129"/>
    <n v="7.1397323801442808E-3"/>
    <n v="59.75213869615915"/>
    <x v="129"/>
    <x v="129"/>
    <x v="1"/>
    <s v=""/>
    <s v=""/>
    <n v="300"/>
    <s v=""/>
    <s v=""/>
    <s v=""/>
    <s v=""/>
    <n v="300"/>
    <n v="-199.22168397047744"/>
  </r>
  <r>
    <x v="4"/>
    <n v="19"/>
    <n v="5"/>
    <x v="4"/>
    <x v="1"/>
    <n v="27.245063396872386"/>
    <n v="119.61341237632955"/>
    <x v="130"/>
    <n v="0.66265822845292488"/>
    <n v="2159.520336442486"/>
    <n v="1099.3546668668528"/>
    <n v="80.823266006039347"/>
    <n v="38.615173083779325"/>
    <n v="12.987012987012987"/>
    <n v="73.672849595720109"/>
    <n v="2281.2125023165372"/>
    <n v="83.729388663430697"/>
    <n v="74.925595486640646"/>
    <n v="0.9652914860148667"/>
    <n v="0.3636282530678081"/>
    <n v="0.94665461207560686"/>
    <x v="130"/>
    <n v="3.9851215446511049E-3"/>
    <n v="83.729388663430697"/>
    <x v="130"/>
    <x v="130"/>
    <x v="1"/>
    <s v=""/>
    <s v=""/>
    <s v=""/>
    <s v=""/>
    <s v=""/>
    <s v=""/>
    <s v=""/>
    <n v="0"/>
    <n v="1099.3546668668528"/>
  </r>
  <r>
    <x v="5"/>
    <n v="19"/>
    <n v="5"/>
    <x v="4"/>
    <x v="1"/>
    <n v="21.592205735795115"/>
    <n v="48.304963744574778"/>
    <x v="131"/>
    <n v="0.92782142298073089"/>
    <n v="967.72768599161589"/>
    <n v="75.283029241366762"/>
    <n v="78.311345944263024"/>
    <n v="19.74339844881343"/>
    <n v="12.987012987012987"/>
    <n v="84.278205140686893"/>
    <n v="730.10750066308776"/>
    <n v="33.813474621202339"/>
    <n v="102.78108609286895"/>
    <n v="2.3159804433454712"/>
    <n v="0.2100795638244691"/>
    <n v="1.3254591756867586"/>
    <x v="131"/>
    <n v="1.2451466506853682E-2"/>
    <n v="33.813474621202339"/>
    <x v="131"/>
    <x v="131"/>
    <x v="1"/>
    <s v=""/>
    <s v=""/>
    <s v=""/>
    <s v=""/>
    <n v="480"/>
    <s v=""/>
    <s v=""/>
    <n v="480"/>
    <n v="-404.71697075863324"/>
  </r>
  <r>
    <x v="6"/>
    <n v="19"/>
    <n v="5"/>
    <x v="4"/>
    <x v="1"/>
    <n v="23.581037448966612"/>
    <n v="64.736157190307438"/>
    <x v="132"/>
    <n v="0.97446478356269461"/>
    <n v="1487.5650709555614"/>
    <n v="38.980676051267437"/>
    <n v="96.44109209176402"/>
    <n v="24.219618748071582"/>
    <n v="12.987012987012987"/>
    <n v="75.842949057215222"/>
    <n v="1068.5820229047802"/>
    <n v="45.315310033215205"/>
    <n v="66.863620141234748"/>
    <n v="2.1282231550677828"/>
    <n v="0.35267365720188104"/>
    <n v="1.3920925479467066"/>
    <x v="132"/>
    <n v="8.5074508985251464E-3"/>
    <n v="45.315310033215205"/>
    <x v="132"/>
    <x v="132"/>
    <x v="1"/>
    <s v=""/>
    <s v=""/>
    <s v=""/>
    <s v=""/>
    <s v=""/>
    <s v=""/>
    <s v=""/>
    <n v="0"/>
    <n v="38.980676051267437"/>
  </r>
  <r>
    <x v="0"/>
    <n v="19"/>
    <n v="5"/>
    <x v="4"/>
    <x v="1"/>
    <n v="33.845362802089774"/>
    <n v="108.35492916755783"/>
    <x v="133"/>
    <n v="0.52438846176846154"/>
    <n v="1923.0960403349929"/>
    <n v="1744.2158487357408"/>
    <n v="108.5191198720246"/>
    <n v="13.74610537077727"/>
    <n v="12.987012987012987"/>
    <n v="93.73822671892907"/>
    <n v="2567.1183223495136"/>
    <n v="75.848450417290479"/>
    <n v="67.887381147897955"/>
    <n v="1.4307361491894961"/>
    <n v="0.49855160458104891"/>
    <n v="0.74912637395494508"/>
    <x v="133"/>
    <n v="3.5412894730106493E-3"/>
    <n v="75.848450417290479"/>
    <x v="133"/>
    <x v="133"/>
    <x v="1"/>
    <s v=""/>
    <s v=""/>
    <s v=""/>
    <s v=""/>
    <s v=""/>
    <s v=""/>
    <s v=""/>
    <n v="0"/>
    <n v="1744.2158487357408"/>
  </r>
  <r>
    <x v="1"/>
    <n v="20"/>
    <n v="5"/>
    <x v="4"/>
    <x v="1"/>
    <n v="10.363570292957419"/>
    <n v="12.842329503286829"/>
    <x v="134"/>
    <n v="0.43889054074786127"/>
    <n v="58.412988616950017"/>
    <n v="74.679395915683969"/>
    <n v="56.515010946084338"/>
    <n v="14.815388229544702"/>
    <n v="28.571428571428573"/>
    <n v="38.20066862687149"/>
    <n v="93.164669172843787"/>
    <n v="8.9896306523007787"/>
    <n v="39.128981497815445"/>
    <n v="6.2866888676477561"/>
    <n v="0.26485663301857254"/>
    <n v="0.626986486782659"/>
    <x v="134"/>
    <n v="0.21467365448263431"/>
    <n v="8.9896306523007787"/>
    <x v="134"/>
    <x v="134"/>
    <x v="1"/>
    <n v="1000"/>
    <n v="300"/>
    <s v=""/>
    <s v=""/>
    <s v=""/>
    <s v=""/>
    <s v=""/>
    <n v="1300"/>
    <n v="-1225.3206040843161"/>
  </r>
  <r>
    <x v="2"/>
    <n v="20"/>
    <n v="5"/>
    <x v="4"/>
    <x v="1"/>
    <n v="22.977190451702679"/>
    <n v="63.093065563304464"/>
    <x v="135"/>
    <n v="0.59352155782844329"/>
    <n v="860.42902359801474"/>
    <n v="589.27236003179564"/>
    <n v="102.90388699331075"/>
    <n v="19.364258230515272"/>
    <n v="12.987012987012987"/>
    <n v="98.025905354615929"/>
    <n v="1014.7909685408672"/>
    <n v="44.16514589431312"/>
    <n v="87.665417380820642"/>
    <n v="2.3299795553615743"/>
    <n v="0.26210096453301784"/>
    <n v="0.84788793975491905"/>
    <x v="135"/>
    <n v="8.9584055955687046E-3"/>
    <n v="44.16514589431312"/>
    <x v="135"/>
    <x v="135"/>
    <x v="1"/>
    <s v=""/>
    <s v=""/>
    <s v=""/>
    <s v=""/>
    <s v=""/>
    <s v=""/>
    <s v=""/>
    <n v="0"/>
    <n v="589.27236003179564"/>
  </r>
  <r>
    <x v="3"/>
    <n v="20"/>
    <n v="5"/>
    <x v="4"/>
    <x v="1"/>
    <n v="32.767007968238886"/>
    <n v="95.420067408027606"/>
    <x v="136"/>
    <n v="1.0185455120524578"/>
    <n v="3184.6150654604148"/>
    <n v="-57.984956371682529"/>
    <n v="57.885704767713889"/>
    <n v="28.968774393336368"/>
    <n v="12.987012987012987"/>
    <n v="99.174874106520477"/>
    <n v="2188.6410763621125"/>
    <n v="66.79404718561932"/>
    <n v="85.707723311394915"/>
    <n v="0.86662969541059065"/>
    <n v="0.38231102988454346"/>
    <n v="1.455065017217797"/>
    <x v="136"/>
    <n v="4.153677452686624E-3"/>
    <n v="66.79404718561932"/>
    <x v="136"/>
    <x v="136"/>
    <x v="1"/>
    <s v=""/>
    <s v=""/>
    <s v=""/>
    <s v=""/>
    <s v=""/>
    <s v=""/>
    <s v=""/>
    <n v="0"/>
    <n v="-57.984956371682529"/>
  </r>
  <r>
    <x v="4"/>
    <n v="20"/>
    <n v="5"/>
    <x v="4"/>
    <x v="1"/>
    <n v="28.794465290977715"/>
    <n v="89.09244078527864"/>
    <x v="137"/>
    <n v="0.64736433672609572"/>
    <n v="1660.7285266538101"/>
    <n v="904.6406672263829"/>
    <n v="105.7799972459039"/>
    <n v="21.927290362733306"/>
    <n v="12.987012987012987"/>
    <n v="68.431407825595912"/>
    <n v="1795.758435716135"/>
    <n v="62.364708549695038"/>
    <n v="85.332939908194604"/>
    <n v="1.6961515527906874"/>
    <n v="0.33743669586394454"/>
    <n v="0.92480619532299402"/>
    <x v="137"/>
    <n v="5.062434295225072E-3"/>
    <n v="62.364708549695038"/>
    <x v="137"/>
    <x v="137"/>
    <x v="1"/>
    <s v=""/>
    <s v=""/>
    <s v=""/>
    <s v=""/>
    <s v=""/>
    <s v=""/>
    <s v=""/>
    <n v="0"/>
    <n v="904.6406672263829"/>
  </r>
  <r>
    <x v="5"/>
    <n v="20"/>
    <n v="5"/>
    <x v="4"/>
    <x v="1"/>
    <n v="21.362874565447314"/>
    <n v="142.48256603420486"/>
    <x v="138"/>
    <n v="0.65690840638738868"/>
    <n v="1999.5222351262591"/>
    <n v="1044.3149508255233"/>
    <n v="120.06265659567867"/>
    <n v="55.139460139137896"/>
    <n v="12.987012987012987"/>
    <n v="88.719645004446704"/>
    <n v="2130.6860301662477"/>
    <n v="99.737796223943405"/>
    <n v="86.394319464561022"/>
    <n v="1.2037829302554413"/>
    <n v="0.24727175001604557"/>
    <n v="0.9384405805534124"/>
    <x v="138"/>
    <n v="4.2666582322313197E-3"/>
    <n v="99.737796223943405"/>
    <x v="138"/>
    <x v="138"/>
    <x v="1"/>
    <s v=""/>
    <s v=""/>
    <s v=""/>
    <s v=""/>
    <s v=""/>
    <s v=""/>
    <s v=""/>
    <n v="0"/>
    <n v="1044.3149508255233"/>
  </r>
  <r>
    <x v="6"/>
    <n v="20"/>
    <n v="5"/>
    <x v="4"/>
    <x v="1"/>
    <n v="28.577428694273912"/>
    <n v="47.658573611430029"/>
    <x v="139"/>
    <n v="0.93978080993970359"/>
    <n v="1279.943391725833"/>
    <n v="82.016097325613146"/>
    <n v="62.46301536907589"/>
    <n v="27.592188965309187"/>
    <n v="12.987012987012987"/>
    <n v="86.555487702965792"/>
    <n v="953.3716423360122"/>
    <n v="33.361001528001019"/>
    <n v="86.913733009071365"/>
    <n v="1.8723363360853709"/>
    <n v="0.32880222382452756"/>
    <n v="1.3425440141995768"/>
    <x v="139"/>
    <n v="9.5355354483105479E-3"/>
    <n v="33.361001528001019"/>
    <x v="139"/>
    <x v="139"/>
    <x v="1"/>
    <s v=""/>
    <s v=""/>
    <s v=""/>
    <n v="100"/>
    <s v=""/>
    <s v=""/>
    <s v=""/>
    <n v="100"/>
    <n v="-17.983902674386854"/>
  </r>
  <r>
    <x v="0"/>
    <n v="20"/>
    <n v="5"/>
    <x v="4"/>
    <x v="1"/>
    <n v="26.465993863857058"/>
    <n v="76.210791025576043"/>
    <x v="140"/>
    <n v="0.83069725005272332"/>
    <n v="1675.5116413446397"/>
    <n v="341.48268629794848"/>
    <n v="78.172595222205516"/>
    <n v="16.798010124089949"/>
    <n v="12.987012987012987"/>
    <n v="101.17630685040331"/>
    <n v="1411.8960293498117"/>
    <n v="53.347553717903232"/>
    <n v="80.275561046365411"/>
    <n v="1.4653454521190368"/>
    <n v="0.32968930417777931"/>
    <n v="1.1867103572181763"/>
    <x v="140"/>
    <n v="6.4387949976001564E-3"/>
    <n v="53.347553717903232"/>
    <x v="140"/>
    <x v="140"/>
    <x v="1"/>
    <s v=""/>
    <s v=""/>
    <s v=""/>
    <s v=""/>
    <s v=""/>
    <s v=""/>
    <s v=""/>
    <n v="0"/>
    <n v="341.48268629794848"/>
  </r>
  <r>
    <x v="1"/>
    <n v="21"/>
    <n v="5"/>
    <x v="4"/>
    <x v="1"/>
    <n v="1.8251984161089996"/>
    <n v="36.536318144010671"/>
    <x v="141"/>
    <n v="0.25738135846017152"/>
    <n v="17.1637409934924"/>
    <n v="49.522289013410386"/>
    <n v="21.118001571789009"/>
    <n v="3.2889020644864524"/>
    <n v="28.571428571428573"/>
    <n v="14.891186442817315"/>
    <n v="46.680221004831942"/>
    <n v="25.575422700807469"/>
    <n v="14.787218929439765"/>
    <n v="0.82571466438059182"/>
    <n v="0.12343081040581778"/>
    <n v="0.36768765494310224"/>
    <x v="141"/>
    <n v="0.42844698609995374"/>
    <n v="25.575422700807469"/>
    <x v="141"/>
    <x v="141"/>
    <x v="1"/>
    <n v="1000"/>
    <s v=""/>
    <s v=""/>
    <s v=""/>
    <s v=""/>
    <s v=""/>
    <s v=""/>
    <n v="1000"/>
    <n v="-950.47771098658961"/>
  </r>
  <r>
    <x v="2"/>
    <n v="21"/>
    <n v="5"/>
    <x v="4"/>
    <x v="1"/>
    <n v="12.06922685290035"/>
    <n v="85.738204206743831"/>
    <x v="142"/>
    <n v="0.64929630523267456"/>
    <n v="671.88781473743836"/>
    <n v="362.90602179404812"/>
    <n v="37.749711590782354"/>
    <n v="12.535134402420974"/>
    <n v="12.987012987012987"/>
    <n v="36.343111673363417"/>
    <n v="724.35568557204044"/>
    <n v="60.016742944720676"/>
    <n v="32.439430196634454"/>
    <n v="0.62898634178719581"/>
    <n v="0.37205421857725834"/>
    <n v="0.92756615033239231"/>
    <x v="142"/>
    <n v="1.255033855878385E-2"/>
    <n v="60.016742944720676"/>
    <x v="142"/>
    <x v="142"/>
    <x v="1"/>
    <s v=""/>
    <s v=""/>
    <s v=""/>
    <s v=""/>
    <s v=""/>
    <s v=""/>
    <s v=""/>
    <n v="0"/>
    <n v="362.90602179404812"/>
  </r>
  <r>
    <x v="3"/>
    <n v="21"/>
    <n v="5"/>
    <x v="4"/>
    <x v="1"/>
    <n v="17.069432763926145"/>
    <n v="61.152444086414562"/>
    <x v="143"/>
    <n v="0.67874543382736652"/>
    <n v="708.49995896607925"/>
    <n v="335.33757371672709"/>
    <n v="25.288391299843052"/>
    <n v="10.416792171554009"/>
    <n v="12.987012987012987"/>
    <n v="38.996651274440637"/>
    <n v="730.68627287796437"/>
    <n v="42.806710860490192"/>
    <n v="39.277951508599699"/>
    <n v="0.59075763569547624"/>
    <n v="0.43458052439901002"/>
    <n v="0.9696363340390951"/>
    <x v="143"/>
    <n v="1.2441603774904102E-2"/>
    <n v="42.806710860490192"/>
    <x v="143"/>
    <x v="143"/>
    <x v="1"/>
    <s v=""/>
    <s v=""/>
    <s v=""/>
    <s v=""/>
    <s v=""/>
    <s v=""/>
    <s v=""/>
    <n v="0"/>
    <n v="335.33757371672709"/>
  </r>
  <r>
    <x v="4"/>
    <n v="21"/>
    <n v="5"/>
    <x v="4"/>
    <x v="1"/>
    <n v="15.496590194069347"/>
    <n v="105.04750670339368"/>
    <x v="144"/>
    <n v="0.69071059731445439"/>
    <n v="1124.3926978313418"/>
    <n v="503.48546445990269"/>
    <n v="33.471300144941623"/>
    <n v="12.105697522281766"/>
    <n v="12.987012987012987"/>
    <n v="36.198651207525344"/>
    <n v="1139.5147136038711"/>
    <n v="73.533254692375579"/>
    <n v="39.263153250326432"/>
    <n v="0.45518589221934919"/>
    <n v="0.3946853197263393"/>
    <n v="0.98672942473493486"/>
    <x v="144"/>
    <n v="7.9778777600491412E-3"/>
    <n v="73.533254692375579"/>
    <x v="144"/>
    <x v="144"/>
    <x v="1"/>
    <s v=""/>
    <s v=""/>
    <s v=""/>
    <s v=""/>
    <s v=""/>
    <n v="83"/>
    <s v=""/>
    <n v="83"/>
    <n v="420.48546445990269"/>
  </r>
  <r>
    <x v="5"/>
    <n v="21"/>
    <n v="5"/>
    <x v="4"/>
    <x v="1"/>
    <n v="14.224237581204981"/>
    <n v="31.747258588180909"/>
    <x v="145"/>
    <n v="0.84574236138597758"/>
    <n v="381.92079962217002"/>
    <n v="69.659749088065439"/>
    <n v="38.105401327596688"/>
    <n v="9.4701557301889636"/>
    <n v="12.987012987012987"/>
    <n v="30.544581178789887"/>
    <n v="316.10638409716478"/>
    <n v="22.223081011726631"/>
    <n v="44.080393248913012"/>
    <n v="1.7146767951522701"/>
    <n v="0.32268853639493655"/>
    <n v="1.2082033734085396"/>
    <x v="145"/>
    <n v="2.8759017686003856E-2"/>
    <n v="22.223081011726631"/>
    <x v="145"/>
    <x v="145"/>
    <x v="1"/>
    <s v=""/>
    <s v=""/>
    <s v=""/>
    <s v=""/>
    <s v=""/>
    <s v=""/>
    <s v=""/>
    <n v="0"/>
    <n v="69.659749088065439"/>
  </r>
  <r>
    <x v="6"/>
    <n v="21"/>
    <n v="5"/>
    <x v="4"/>
    <x v="1"/>
    <n v="22.557331144244657"/>
    <n v="68.948860926134486"/>
    <x v="146"/>
    <n v="0.57814682194672429"/>
    <n v="899.19307493278632"/>
    <n v="656.10921299650056"/>
    <n v="27.773565197857877"/>
    <n v="13.633103151136879"/>
    <n v="12.987012987012987"/>
    <n v="32.661458380223031"/>
    <n v="1088.7116015505007"/>
    <n v="48.264202648294138"/>
    <n v="32.134227987293812"/>
    <n v="0.575448545172216"/>
    <n v="0.7019720888631289"/>
    <n v="0.82592403135246328"/>
    <x v="146"/>
    <n v="8.3501535925236507E-3"/>
    <n v="48.264202648294138"/>
    <x v="146"/>
    <x v="146"/>
    <x v="1"/>
    <s v=""/>
    <s v=""/>
    <s v=""/>
    <s v=""/>
    <s v=""/>
    <s v=""/>
    <s v=""/>
    <n v="0"/>
    <n v="656.10921299650056"/>
  </r>
  <r>
    <x v="0"/>
    <n v="21"/>
    <n v="5"/>
    <x v="4"/>
    <x v="1"/>
    <n v="10.646968644951567"/>
    <n v="73.195445138778794"/>
    <x v="147"/>
    <n v="0.4798044680213463"/>
    <n v="373.91623253610896"/>
    <n v="405.39337680974143"/>
    <n v="48.370842053648929"/>
    <n v="9.1261629749296578"/>
    <n v="12.987012987012987"/>
    <n v="29.637328526599628"/>
    <n v="545.51672654209528"/>
    <n v="51.236811597145156"/>
    <n v="33.093277313920453"/>
    <n v="0.94406424884455697"/>
    <n v="0.3217260274331607"/>
    <n v="0.68543495431620904"/>
    <x v="147"/>
    <n v="1.6664766905561755E-2"/>
    <n v="51.236811597145156"/>
    <x v="147"/>
    <x v="147"/>
    <x v="1"/>
    <s v=""/>
    <s v=""/>
    <s v=""/>
    <s v=""/>
    <s v=""/>
    <s v=""/>
    <s v=""/>
    <n v="0"/>
    <n v="405.39337680974143"/>
  </r>
  <r>
    <x v="1"/>
    <n v="22"/>
    <n v="5"/>
    <x v="4"/>
    <x v="1"/>
    <n v="4.604121162290256"/>
    <n v="21.424735042321554"/>
    <x v="148"/>
    <n v="0.34684108650359041"/>
    <n v="34.213124816479535"/>
    <n v="64.428951188334764"/>
    <n v="13.809109556851825"/>
    <n v="4.3992901605484018"/>
    <n v="28.571428571428573"/>
    <n v="13.157621929565764"/>
    <n v="69.049453203370007"/>
    <n v="14.997314529625088"/>
    <n v="14.081516028001603"/>
    <n v="0.92077215087900355"/>
    <n v="0.32696203683856162"/>
    <n v="0.49548726643370061"/>
    <x v="148"/>
    <n v="0.2896474783238962"/>
    <n v="14.997314529625088"/>
    <x v="148"/>
    <x v="148"/>
    <x v="1"/>
    <n v="1000"/>
    <s v=""/>
    <s v=""/>
    <s v=""/>
    <s v=""/>
    <s v=""/>
    <s v=""/>
    <n v="1000"/>
    <n v="-935.57104881166526"/>
  </r>
  <r>
    <x v="2"/>
    <n v="22"/>
    <n v="5"/>
    <x v="4"/>
    <x v="1"/>
    <n v="0.22517789344591144"/>
    <n v="68.730564136702824"/>
    <x v="149"/>
    <n v="0.7493857262964958"/>
    <n v="11.597945865098579"/>
    <n v="3.8786577825532724"/>
    <n v="28.028463407390234"/>
    <n v="17.222061191874072"/>
    <n v="12.987012987012987"/>
    <n v="29.353507563718953"/>
    <n v="10.833622553356296"/>
    <n v="48.11139489569198"/>
    <n v="37.831510696896871"/>
    <n v="0.5825743250254416"/>
    <n v="5.9521253393769883E-3"/>
    <n v="1.0705510375664227"/>
    <x v="149"/>
    <n v="0.83913843648657427"/>
    <n v="48.11139489569198"/>
    <x v="149"/>
    <x v="149"/>
    <x v="1"/>
    <s v=""/>
    <s v=""/>
    <s v=""/>
    <s v=""/>
    <s v=""/>
    <s v=""/>
    <s v=""/>
    <n v="0"/>
    <n v="3.8786577825532724"/>
  </r>
  <r>
    <x v="3"/>
    <n v="22"/>
    <n v="5"/>
    <x v="4"/>
    <x v="1"/>
    <n v="20.795194832562931"/>
    <n v="50.069764007138652"/>
    <x v="150"/>
    <n v="0.59724612248341113"/>
    <n v="621.85893246955004"/>
    <n v="419.35156527934498"/>
    <n v="37.221494601070169"/>
    <n v="19.242968484119729"/>
    <n v="12.987012987012987"/>
    <n v="33.191381982825519"/>
    <n v="728.84734842422642"/>
    <n v="35.04883480499705"/>
    <n v="27.48355207386221"/>
    <n v="1.0619895014530798"/>
    <n v="0.75664145510288194"/>
    <n v="0.85320874640487321"/>
    <x v="150"/>
    <n v="1.2472994668312514E-2"/>
    <n v="35.04883480499705"/>
    <x v="150"/>
    <x v="150"/>
    <x v="1"/>
    <s v=""/>
    <s v=""/>
    <s v=""/>
    <s v=""/>
    <s v=""/>
    <s v=""/>
    <s v=""/>
    <n v="0"/>
    <n v="419.35156527934498"/>
  </r>
  <r>
    <x v="4"/>
    <n v="22"/>
    <n v="6"/>
    <x v="5"/>
    <x v="1"/>
    <n v="22.258233724957506"/>
    <n v="55.473741056595898"/>
    <x v="151"/>
    <n v="0.57808223774902356"/>
    <n v="713.785594407031"/>
    <n v="520.96189962845176"/>
    <n v="33.627981290428174"/>
    <n v="13.128175207296925"/>
    <n v="12.987012987012987"/>
    <n v="32.84401840226375"/>
    <n v="864.32324582483784"/>
    <n v="38.831618739617127"/>
    <n v="33.598388850234755"/>
    <n v="0.86599483570124636"/>
    <n v="0.66247919875485295"/>
    <n v="0.82583176821289084"/>
    <x v="151"/>
    <n v="1.0517950471450628E-2"/>
    <n v="38.831618739617127"/>
    <x v="151"/>
    <x v="151"/>
    <x v="0"/>
    <s v=""/>
    <s v=""/>
    <s v=""/>
    <s v=""/>
    <s v=""/>
    <s v=""/>
    <s v=""/>
    <n v="3000"/>
    <n v="-2479.0381003715484"/>
  </r>
  <r>
    <x v="5"/>
    <n v="22"/>
    <n v="6"/>
    <x v="5"/>
    <x v="1"/>
    <n v="22.161915908735256"/>
    <n v="66.787419247105476"/>
    <x v="152"/>
    <n v="0.84668547431343699"/>
    <n v="1253.2106410817573"/>
    <n v="226.92652803404076"/>
    <n v="44.396813344584558"/>
    <n v="15.089843780674785"/>
    <n v="12.987012987012987"/>
    <n v="31.311694838539889"/>
    <n v="1036.0960183810587"/>
    <n v="46.751193472973831"/>
    <n v="30.573037968838232"/>
    <n v="0.94964021336160531"/>
    <n v="0.72488432230136679"/>
    <n v="1.2095506775906242"/>
    <x v="152"/>
    <n v="8.7741955664630382E-3"/>
    <n v="46.751193472973831"/>
    <x v="152"/>
    <x v="152"/>
    <x v="1"/>
    <s v=""/>
    <s v=""/>
    <s v=""/>
    <s v=""/>
    <s v=""/>
    <s v=""/>
    <s v=""/>
    <n v="0"/>
    <n v="226.92652803404076"/>
  </r>
  <r>
    <x v="6"/>
    <n v="22"/>
    <n v="6"/>
    <x v="5"/>
    <x v="1"/>
    <n v="19.023258958159893"/>
    <n v="96.551591998201005"/>
    <x v="153"/>
    <n v="0.42692664839509648"/>
    <n v="784.14724847639218"/>
    <n v="1052.5786889279841"/>
    <n v="36.121210592276327"/>
    <n v="19.0169046792792"/>
    <n v="12.987012987012987"/>
    <n v="33.646797966819335"/>
    <n v="1285.7081561830632"/>
    <n v="67.58611439874069"/>
    <n v="30.300445804174309"/>
    <n v="0.53444721469221435"/>
    <n v="0.62782109151473853"/>
    <n v="0.60989521199299512"/>
    <x v="153"/>
    <n v="7.070740779849807E-3"/>
    <n v="67.58611439874069"/>
    <x v="153"/>
    <x v="153"/>
    <x v="1"/>
    <s v=""/>
    <s v=""/>
    <s v=""/>
    <s v=""/>
    <s v=""/>
    <s v=""/>
    <s v=""/>
    <n v="0"/>
    <n v="1052.5786889279841"/>
  </r>
  <r>
    <x v="0"/>
    <n v="22"/>
    <n v="6"/>
    <x v="5"/>
    <x v="1"/>
    <n v="23.54270740956094"/>
    <n v="41.734344608179939"/>
    <x v="154"/>
    <n v="0.99785529665192774"/>
    <n v="980.43220836202738"/>
    <n v="2.1072556781400635"/>
    <n v="28.185747356201528"/>
    <n v="17.361124582002461"/>
    <n v="12.987012987012987"/>
    <n v="33.054955780703523"/>
    <n v="687.77762482811715"/>
    <n v="29.214041225725953"/>
    <n v="35.749084068175044"/>
    <n v="0.96480138226754786"/>
    <n v="0.65855414266457801"/>
    <n v="1.4255075666456112"/>
    <x v="154"/>
    <n v="1.3217802910033608E-2"/>
    <n v="29.214041225725953"/>
    <x v="154"/>
    <x v="154"/>
    <x v="1"/>
    <s v=""/>
    <s v=""/>
    <s v=""/>
    <s v=""/>
    <s v=""/>
    <s v=""/>
    <s v=""/>
    <n v="0"/>
    <n v="2.1072556781400635"/>
  </r>
  <r>
    <x v="1"/>
    <n v="23"/>
    <n v="6"/>
    <x v="5"/>
    <x v="1"/>
    <n v="5.4900949341694902"/>
    <n v="27.937863784371928"/>
    <x v="155"/>
    <n v="0.28738916006920756"/>
    <n v="44.080187477249936"/>
    <n v="109.30133695684763"/>
    <n v="20.072206615182942"/>
    <n v="5.6317005701084577"/>
    <n v="28.571428571428573"/>
    <n v="16.703821917190357"/>
    <n v="107.36706710386829"/>
    <n v="19.556504649060347"/>
    <n v="11.569493560461435"/>
    <n v="1.0263698434549946"/>
    <n v="0.47453200137746776"/>
    <n v="0.41055594295601083"/>
    <x v="155"/>
    <n v="0.18627685881231851"/>
    <n v="19.556504649060347"/>
    <x v="155"/>
    <x v="155"/>
    <x v="1"/>
    <n v="1000"/>
    <s v=""/>
    <s v=""/>
    <s v=""/>
    <s v=""/>
    <s v=""/>
    <n v="1000"/>
    <n v="2000"/>
    <n v="-1890.6986630431525"/>
  </r>
  <r>
    <x v="2"/>
    <n v="23"/>
    <n v="6"/>
    <x v="5"/>
    <x v="1"/>
    <n v="17.585405193459174"/>
    <n v="17.563178849845986"/>
    <x v="156"/>
    <n v="0.654953240489901"/>
    <n v="202.28598690930406"/>
    <n v="106.56962965042985"/>
    <n v="33.968910719959609"/>
    <n v="10.4981936866907"/>
    <n v="12.987012987012987"/>
    <n v="35.340357050490738"/>
    <n v="216.19893159181373"/>
    <n v="12.29422519489219"/>
    <n v="28.410418427175081"/>
    <n v="2.7629972756699197"/>
    <n v="0.61897733884265549"/>
    <n v="0.9356474864141443"/>
    <x v="156"/>
    <n v="4.2048815986162412E-2"/>
    <n v="12.29422519489219"/>
    <x v="156"/>
    <x v="156"/>
    <x v="1"/>
    <s v=""/>
    <s v=""/>
    <s v=""/>
    <s v=""/>
    <s v=""/>
    <s v=""/>
    <s v=""/>
    <n v="0"/>
    <n v="106.56962965042985"/>
  </r>
  <r>
    <x v="3"/>
    <n v="23"/>
    <n v="6"/>
    <x v="5"/>
    <x v="1"/>
    <n v="11.414878927872348"/>
    <n v="86.089874486203797"/>
    <x v="157"/>
    <n v="0.51405349067958961"/>
    <n v="505.16318959105178"/>
    <n v="477.54230458469118"/>
    <n v="30.461870243102712"/>
    <n v="18.091353632222564"/>
    <n v="12.987012987012987"/>
    <n v="37.238083079661628"/>
    <n v="687.89384592302008"/>
    <n v="60.262912140342657"/>
    <n v="30.871470506295381"/>
    <n v="0.50548287763063793"/>
    <n v="0.36975494657906233"/>
    <n v="0.73436212954227087"/>
    <x v="157"/>
    <n v="1.3215569734761698E-2"/>
    <n v="60.262912140342657"/>
    <x v="157"/>
    <x v="157"/>
    <x v="1"/>
    <s v=""/>
    <s v=""/>
    <s v=""/>
    <s v=""/>
    <s v=""/>
    <s v=""/>
    <s v=""/>
    <n v="0"/>
    <n v="477.54230458469118"/>
  </r>
  <r>
    <x v="4"/>
    <n v="23"/>
    <n v="6"/>
    <x v="5"/>
    <x v="1"/>
    <n v="1.0264280451801078"/>
    <n v="72.306975463709961"/>
    <x v="158"/>
    <n v="0.72383221414356691"/>
    <n v="53.721312298976841"/>
    <n v="20.496595179124995"/>
    <n v="35.573138134394995"/>
    <n v="15.829234091245063"/>
    <n v="12.987012987012987"/>
    <n v="36.630290503376735"/>
    <n v="51.952535234671281"/>
    <n v="50.614882824596968"/>
    <n v="35.809610852245875"/>
    <n v="0.70281972710816509"/>
    <n v="2.8663479461289179E-2"/>
    <n v="1.0340460202050956"/>
    <x v="158"/>
    <n v="0.17498489823153307"/>
    <n v="50.614882824596968"/>
    <x v="158"/>
    <x v="158"/>
    <x v="1"/>
    <s v=""/>
    <s v=""/>
    <s v=""/>
    <s v=""/>
    <s v=""/>
    <s v=""/>
    <s v=""/>
    <n v="0"/>
    <n v="20.496595179124995"/>
  </r>
  <r>
    <x v="5"/>
    <n v="23"/>
    <n v="6"/>
    <x v="5"/>
    <x v="1"/>
    <n v="19.638634765652974"/>
    <n v="47.278170190138553"/>
    <x v="159"/>
    <n v="0.54379122912294164"/>
    <n v="504.89858259734063"/>
    <n v="423.5801341551724"/>
    <n v="22.071897898186485"/>
    <n v="11.697890725525651"/>
    <n v="12.987012987012987"/>
    <n v="42.397041957742488"/>
    <n v="649.93510172675906"/>
    <n v="33.09471913309698"/>
    <n v="26.96787268005766"/>
    <n v="0.66693111397682414"/>
    <n v="0.72822335668231819"/>
    <n v="0.77684461303277386"/>
    <x v="159"/>
    <n v="1.3987410538000181E-2"/>
    <n v="33.09471913309698"/>
    <x v="159"/>
    <x v="159"/>
    <x v="1"/>
    <s v=""/>
    <s v=""/>
    <s v=""/>
    <s v=""/>
    <s v=""/>
    <s v=""/>
    <s v=""/>
    <n v="0"/>
    <n v="423.5801341551724"/>
  </r>
  <r>
    <x v="6"/>
    <n v="23"/>
    <n v="6"/>
    <x v="5"/>
    <x v="1"/>
    <n v="17.494948976511047"/>
    <n v="31.965401092721656"/>
    <x v="160"/>
    <n v="0.59368238788279737"/>
    <n v="332.00681911518478"/>
    <n v="227.22624201569107"/>
    <n v="34.062919848313335"/>
    <n v="8.3071706926944273"/>
    <n v="12.987012987012987"/>
    <n v="35.504254928994406"/>
    <n v="391.46314279161305"/>
    <n v="22.375780764905159"/>
    <n v="30.864879312308759"/>
    <n v="1.522312012537173"/>
    <n v="0.56682382586003344"/>
    <n v="0.84811769697542494"/>
    <x v="160"/>
    <n v="2.3222899162561619E-2"/>
    <n v="22.375780764905159"/>
    <x v="160"/>
    <x v="160"/>
    <x v="1"/>
    <s v=""/>
    <s v=""/>
    <n v="300"/>
    <s v=""/>
    <s v=""/>
    <s v=""/>
    <s v=""/>
    <n v="300"/>
    <n v="-72.773757984308929"/>
  </r>
  <r>
    <x v="0"/>
    <n v="23"/>
    <n v="6"/>
    <x v="5"/>
    <x v="1"/>
    <n v="8.2969607473509193"/>
    <n v="74.152230963815242"/>
    <x v="161"/>
    <n v="0.5401957544799868"/>
    <n v="332.3490364270981"/>
    <n v="282.88911320817635"/>
    <n v="35.451414842516201"/>
    <n v="7.6260933590724731"/>
    <n v="12.987012987012987"/>
    <n v="31.379332431012461"/>
    <n v="430.66670474469208"/>
    <n v="51.906561674670662"/>
    <n v="31.897439359814321"/>
    <n v="0.68298522766179992"/>
    <n v="0.26011369294438613"/>
    <n v="0.77170822068569545"/>
    <x v="161"/>
    <n v="2.1108920171338447E-2"/>
    <n v="51.906561674670662"/>
    <x v="161"/>
    <x v="161"/>
    <x v="1"/>
    <s v=""/>
    <s v=""/>
    <s v=""/>
    <s v=""/>
    <s v=""/>
    <s v=""/>
    <s v=""/>
    <n v="0"/>
    <n v="282.88911320817635"/>
  </r>
  <r>
    <x v="1"/>
    <n v="24"/>
    <n v="6"/>
    <x v="5"/>
    <x v="1"/>
    <n v="5.6218363696986344"/>
    <n v="2.7298506017636228"/>
    <x v="162"/>
    <n v="0.39479483765752699"/>
    <n v="6.0588269117716855"/>
    <n v="9.2879464850667528"/>
    <n v="20.35586443794115"/>
    <n v="5.7786035689627733"/>
    <n v="28.571428571428573"/>
    <n v="15.759535751738481"/>
    <n v="10.742741377786906"/>
    <n v="1.9108954212345359"/>
    <n v="13.437885144890402"/>
    <n v="10.652526669821745"/>
    <n v="0.41835722727815333"/>
    <n v="0.56399262522503857"/>
    <x v="162"/>
    <n v="1.8617221895851099"/>
    <n v="1.9108954212345359"/>
    <x v="162"/>
    <x v="162"/>
    <x v="1"/>
    <n v="1000"/>
    <s v=""/>
    <s v=""/>
    <s v=""/>
    <n v="480"/>
    <s v=""/>
    <s v=""/>
    <n v="1480"/>
    <n v="-1470.7120535149334"/>
  </r>
  <r>
    <x v="2"/>
    <n v="24"/>
    <n v="6"/>
    <x v="5"/>
    <x v="1"/>
    <n v="16.395358015497205"/>
    <n v="110.28230441546563"/>
    <x v="163"/>
    <n v="0.59101057086691733"/>
    <n v="1068.6167707996815"/>
    <n v="739.50109286592578"/>
    <n v="59.092759024949757"/>
    <n v="12.157790084569291"/>
    <n v="12.987012987012987"/>
    <n v="41.631030258934054"/>
    <n v="1265.682504565925"/>
    <n v="77.197613090825939"/>
    <n v="38.778941700901342"/>
    <n v="0.76547391375203366"/>
    <n v="0.4227902386288207"/>
    <n v="0.84430081552416758"/>
    <x v="163"/>
    <n v="7.1826141691252055E-3"/>
    <n v="77.197613090825939"/>
    <x v="163"/>
    <x v="163"/>
    <x v="1"/>
    <s v=""/>
    <s v=""/>
    <s v=""/>
    <s v=""/>
    <s v=""/>
    <s v=""/>
    <s v=""/>
    <n v="0"/>
    <n v="739.50109286592578"/>
  </r>
  <r>
    <x v="3"/>
    <n v="24"/>
    <n v="6"/>
    <x v="5"/>
    <x v="1"/>
    <n v="13.174823805906421"/>
    <n v="69.206325099748184"/>
    <x v="164"/>
    <n v="0.72260135557277971"/>
    <n v="658.85428734753884"/>
    <n v="252.92685209592253"/>
    <n v="31.931657283130018"/>
    <n v="17.197903382174527"/>
    <n v="12.987012987012987"/>
    <n v="34.366042463828663"/>
    <n v="638.24679761042296"/>
    <n v="48.444427569823723"/>
    <n v="28.694837486593809"/>
    <n v="0.65913994415779631"/>
    <n v="0.45913568292769324"/>
    <n v="1.0322876508182568"/>
    <x v="164"/>
    <n v="1.4243563970779303E-2"/>
    <n v="48.444427569823723"/>
    <x v="164"/>
    <x v="164"/>
    <x v="1"/>
    <s v=""/>
    <s v=""/>
    <s v=""/>
    <s v=""/>
    <s v=""/>
    <s v=""/>
    <s v=""/>
    <n v="0"/>
    <n v="252.92685209592253"/>
  </r>
  <r>
    <x v="4"/>
    <n v="24"/>
    <n v="6"/>
    <x v="5"/>
    <x v="1"/>
    <n v="19.020745866827141"/>
    <n v="6.0215591377441724"/>
    <x v="165"/>
    <n v="0.60092655976290843"/>
    <n v="68.826850750523334"/>
    <n v="45.707695330579341"/>
    <n v="34.937398332223992"/>
    <n v="13.282956093636541"/>
    <n v="12.987012987012987"/>
    <n v="37.33935766728348"/>
    <n v="80.174182256771871"/>
    <n v="4.2150913964209211"/>
    <n v="41.923408208064629"/>
    <n v="8.2886454993335867"/>
    <n v="0.45370227946229336"/>
    <n v="0.85846651394701201"/>
    <x v="165"/>
    <n v="0.11338948318542072"/>
    <n v="4.2150913964209211"/>
    <x v="165"/>
    <x v="165"/>
    <x v="1"/>
    <s v=""/>
    <n v="300"/>
    <s v=""/>
    <s v=""/>
    <s v=""/>
    <s v=""/>
    <s v=""/>
    <n v="300"/>
    <n v="-254.29230466942067"/>
  </r>
  <r>
    <x v="5"/>
    <n v="24"/>
    <n v="6"/>
    <x v="5"/>
    <x v="1"/>
    <n v="1.6945514025259625"/>
    <n v="45.722301807264188"/>
    <x v="166"/>
    <n v="0.52164097361563277"/>
    <n v="40.416111791426438"/>
    <n v="37.062678862788438"/>
    <n v="54.434277418717748"/>
    <n v="10.457302203497964"/>
    <n v="12.987012987012987"/>
    <n v="30.701330400036387"/>
    <n v="54.23515345795041"/>
    <n v="32.00561126508493"/>
    <n v="34.441081794657691"/>
    <n v="1.7007729353415084"/>
    <n v="4.9201456929521069E-2"/>
    <n v="0.74520139087947546"/>
    <x v="166"/>
    <n v="0.16762023358074302"/>
    <n v="32.00561126508493"/>
    <x v="166"/>
    <x v="166"/>
    <x v="1"/>
    <s v=""/>
    <s v=""/>
    <s v=""/>
    <s v=""/>
    <s v=""/>
    <s v=""/>
    <s v=""/>
    <n v="0"/>
    <n v="37.062678862788438"/>
  </r>
  <r>
    <x v="6"/>
    <n v="24"/>
    <n v="6"/>
    <x v="5"/>
    <x v="1"/>
    <n v="18.454457018110041"/>
    <n v="64.991103866891677"/>
    <x v="167"/>
    <n v="0.9976542648709531"/>
    <n v="1196.5621155507026"/>
    <n v="2.8134173203750379"/>
    <n v="40.125937643801521"/>
    <n v="5.8391978830482643"/>
    <n v="12.987012987012987"/>
    <n v="33.865748978233377"/>
    <n v="839.5628730097543"/>
    <n v="45.493772706824167"/>
    <n v="25.283247805015488"/>
    <n v="0.88200945440127332"/>
    <n v="0.72990848171211586"/>
    <n v="1.425220378387076"/>
    <x v="167"/>
    <n v="1.0828145673377662E-2"/>
    <n v="45.493772706824167"/>
    <x v="167"/>
    <x v="167"/>
    <x v="1"/>
    <s v=""/>
    <s v=""/>
    <s v=""/>
    <s v=""/>
    <s v=""/>
    <s v=""/>
    <s v=""/>
    <n v="0"/>
    <n v="2.8134173203750379"/>
  </r>
  <r>
    <x v="0"/>
    <n v="24"/>
    <n v="6"/>
    <x v="5"/>
    <x v="1"/>
    <n v="11.281401382663299"/>
    <n v="52.85965512805106"/>
    <x v="168"/>
    <n v="0.7580011938249569"/>
    <n v="452.01959964292911"/>
    <n v="144.31138680577129"/>
    <n v="25.084677289872943"/>
    <n v="18.287130256735196"/>
    <n v="12.987012987012987"/>
    <n v="32.855637418724143"/>
    <n v="417.43169051409023"/>
    <n v="37.001758589635742"/>
    <n v="27.516517704593273"/>
    <n v="0.67793202934141639"/>
    <n v="0.40998652168766686"/>
    <n v="1.0828588483213673"/>
    <x v="168"/>
    <n v="2.1778195804235973E-2"/>
    <n v="37.001758589635742"/>
    <x v="168"/>
    <x v="168"/>
    <x v="1"/>
    <s v=""/>
    <s v=""/>
    <s v=""/>
    <s v=""/>
    <s v=""/>
    <s v=""/>
    <s v=""/>
    <n v="0"/>
    <n v="144.31138680577129"/>
  </r>
  <r>
    <x v="1"/>
    <n v="25"/>
    <n v="6"/>
    <x v="5"/>
    <x v="1"/>
    <n v="1.2840917074873324"/>
    <n v="32.480933902351509"/>
    <x v="169"/>
    <n v="0.3203902646039164"/>
    <n v="13.362996670548506"/>
    <n v="28.345501204905226"/>
    <n v="20.681886872313644"/>
    <n v="6.2048241663814308"/>
    <n v="28.571428571428573"/>
    <n v="16.021962857496234"/>
    <n v="29.195948512817608"/>
    <n v="22.736653731646054"/>
    <n v="16.332713630036167"/>
    <n v="0.90962756069630069"/>
    <n v="7.8620842596900956E-2"/>
    <n v="0.45770037800559493"/>
    <x v="169"/>
    <n v="0.68502655398298151"/>
    <n v="22.736653731646054"/>
    <x v="169"/>
    <x v="169"/>
    <x v="1"/>
    <n v="1000"/>
    <s v=""/>
    <s v=""/>
    <s v=""/>
    <s v=""/>
    <s v=""/>
    <s v=""/>
    <n v="1000"/>
    <n v="-971.65449879509481"/>
  </r>
  <r>
    <x v="2"/>
    <n v="25"/>
    <n v="6"/>
    <x v="5"/>
    <x v="1"/>
    <n v="17.177849625893334"/>
    <n v="68.18308925924633"/>
    <x v="170"/>
    <n v="0.33488827067541144"/>
    <n v="392.23415447248027"/>
    <n v="779.00469985171617"/>
    <n v="33.168342483298169"/>
    <n v="13.254510876848977"/>
    <n v="12.987012987012987"/>
    <n v="25.291334805002258"/>
    <n v="819.86719802693744"/>
    <n v="47.728162481472431"/>
    <n v="27.542864799044821"/>
    <n v="0.69494279181968865"/>
    <n v="0.62367693960756965"/>
    <n v="0.47841181525058779"/>
    <x v="170"/>
    <n v="1.1088270286684162E-2"/>
    <n v="47.728162481472431"/>
    <x v="170"/>
    <x v="170"/>
    <x v="1"/>
    <s v=""/>
    <s v=""/>
    <s v=""/>
    <n v="100"/>
    <s v=""/>
    <s v=""/>
    <s v=""/>
    <n v="100"/>
    <n v="679.00469985171617"/>
  </r>
  <r>
    <x v="3"/>
    <n v="25"/>
    <n v="6"/>
    <x v="5"/>
    <x v="1"/>
    <n v="3.4024045862282004"/>
    <n v="45.50730429187437"/>
    <x v="171"/>
    <n v="0.53525225013633704"/>
    <n v="82.875386507216163"/>
    <n v="71.958874322339469"/>
    <n v="42.997292059082369"/>
    <n v="14.121441426740901"/>
    <n v="12.987012987012987"/>
    <n v="29.629248474318814"/>
    <n v="108.38398258068894"/>
    <n v="31.855113004312059"/>
    <n v="28.021768925986557"/>
    <n v="1.3497767863282122"/>
    <n v="0.12142005007659996"/>
    <n v="0.76464607162333864"/>
    <x v="171"/>
    <n v="8.3876868836602822E-2"/>
    <n v="31.855113004312059"/>
    <x v="171"/>
    <x v="171"/>
    <x v="1"/>
    <s v=""/>
    <s v=""/>
    <s v=""/>
    <s v=""/>
    <s v=""/>
    <s v=""/>
    <s v=""/>
    <n v="0"/>
    <n v="71.958874322339469"/>
  </r>
  <r>
    <x v="4"/>
    <n v="25"/>
    <n v="6"/>
    <x v="5"/>
    <x v="1"/>
    <n v="17.526147880955847"/>
    <n v="111.01746981532175"/>
    <x v="172"/>
    <n v="0.5649157243466858"/>
    <n v="1099.1613793815138"/>
    <n v="846.547213971367"/>
    <n v="48.855352085383586"/>
    <n v="15.106616730116199"/>
    <n v="12.987012987012987"/>
    <n v="27.14180743379141"/>
    <n v="1361.9960153470165"/>
    <n v="77.712228870725212"/>
    <n v="30.962142791752562"/>
    <n v="0.62867006641457646"/>
    <n v="0.56605087053678715"/>
    <n v="0.80702246335240835"/>
    <x v="172"/>
    <n v="6.6746958056208856E-3"/>
    <n v="77.712228870725212"/>
    <x v="172"/>
    <x v="172"/>
    <x v="1"/>
    <s v=""/>
    <s v=""/>
    <s v=""/>
    <s v=""/>
    <s v=""/>
    <s v=""/>
    <s v=""/>
    <n v="0"/>
    <n v="846.547213971367"/>
  </r>
  <r>
    <x v="5"/>
    <n v="25"/>
    <n v="6"/>
    <x v="5"/>
    <x v="1"/>
    <n v="19.465939508258508"/>
    <n v="38.420438911901833"/>
    <x v="173"/>
    <n v="0.42848510992041206"/>
    <n v="320.45970303778813"/>
    <n v="427.43023670203422"/>
    <n v="41.625724735521636"/>
    <n v="11.538134717578243"/>
    <n v="12.987012987012987"/>
    <n v="34.052105576715142"/>
    <n v="523.52295781787564"/>
    <n v="26.89430723833128"/>
    <n v="37.314023627287753"/>
    <n v="1.5477522572581572"/>
    <n v="0.52167891896876706"/>
    <n v="0.61212158560058871"/>
    <x v="173"/>
    <n v="1.7364871884131692E-2"/>
    <n v="26.89430723833128"/>
    <x v="173"/>
    <x v="173"/>
    <x v="1"/>
    <s v=""/>
    <s v=""/>
    <s v=""/>
    <s v=""/>
    <s v=""/>
    <s v=""/>
    <s v=""/>
    <n v="0"/>
    <n v="427.43023670203422"/>
  </r>
  <r>
    <x v="6"/>
    <n v="25"/>
    <n v="6"/>
    <x v="5"/>
    <x v="1"/>
    <n v="14.245556735432912"/>
    <n v="77.684162473553272"/>
    <x v="174"/>
    <n v="0.41020446480104567"/>
    <n v="453.95447084362394"/>
    <n v="652.69967311796745"/>
    <n v="44.787928394912967"/>
    <n v="19.081880584251369"/>
    <n v="12.987012987012987"/>
    <n v="36.982792409888987"/>
    <n v="774.65790077311397"/>
    <n v="54.378913731487287"/>
    <n v="33.789238969550595"/>
    <n v="0.82362675753449621"/>
    <n v="0.42160040207683852"/>
    <n v="0.58600637828720814"/>
    <x v="174"/>
    <n v="1.1735385493178731E-2"/>
    <n v="54.378913731487287"/>
    <x v="174"/>
    <x v="174"/>
    <x v="1"/>
    <s v=""/>
    <s v=""/>
    <s v=""/>
    <s v=""/>
    <s v=""/>
    <s v=""/>
    <s v=""/>
    <n v="0"/>
    <n v="652.69967311796745"/>
  </r>
  <r>
    <x v="0"/>
    <n v="25"/>
    <n v="6"/>
    <x v="5"/>
    <x v="1"/>
    <n v="13.833194263849686"/>
    <n v="103.47046909750536"/>
    <x v="175"/>
    <n v="0.58864258613806009"/>
    <n v="842.5400855165301"/>
    <n v="588.78701408091729"/>
    <n v="37.424525544511987"/>
    <n v="11.308784762538766"/>
    <n v="12.987012987012987"/>
    <n v="26.239096945339298"/>
    <n v="1001.9289697182131"/>
    <n v="72.429328368253749"/>
    <n v="34.369401062340636"/>
    <n v="0.51670402567084139"/>
    <n v="0.40248575291604494"/>
    <n v="0.84091798019722874"/>
    <x v="175"/>
    <n v="9.0734067640202646E-3"/>
    <n v="72.429328368253749"/>
    <x v="175"/>
    <x v="175"/>
    <x v="1"/>
    <s v=""/>
    <s v=""/>
    <s v=""/>
    <s v=""/>
    <s v=""/>
    <n v="83"/>
    <s v=""/>
    <n v="83"/>
    <n v="505.78701408091729"/>
  </r>
  <r>
    <x v="1"/>
    <n v="26"/>
    <n v="6"/>
    <x v="5"/>
    <x v="1"/>
    <n v="8.7022191867869907"/>
    <n v="7.3566813264083262"/>
    <x v="176"/>
    <n v="0.19056427131892859"/>
    <n v="12.199820485453461"/>
    <n v="51.81963290429465"/>
    <n v="11.165465088771979"/>
    <n v="6.4998853166615076"/>
    <n v="28.571428571428573"/>
    <n v="16.546771855810047"/>
    <n v="44.813617372823671"/>
    <n v="5.1496769284858281"/>
    <n v="14.224957272741651"/>
    <n v="2.1681874890071962"/>
    <n v="0.61175714063215358"/>
    <n v="0.27223467331275514"/>
    <x v="176"/>
    <n v="0.44629291658406944"/>
    <n v="5.1496769284858281"/>
    <x v="176"/>
    <x v="176"/>
    <x v="1"/>
    <n v="1000"/>
    <s v=""/>
    <s v=""/>
    <s v=""/>
    <s v=""/>
    <s v=""/>
    <s v=""/>
    <n v="1000"/>
    <n v="-948.18036709570538"/>
  </r>
  <r>
    <x v="2"/>
    <n v="26"/>
    <n v="6"/>
    <x v="5"/>
    <x v="1"/>
    <n v="18.578432862008864"/>
    <n v="82.301370328417676"/>
    <x v="177"/>
    <n v="0.43466332020076681"/>
    <n v="664.61346647148798"/>
    <n v="864.41701662634819"/>
    <n v="44.791321728652832"/>
    <n v="8.4927090609408236"/>
    <n v="12.987012987012987"/>
    <n v="38.172825307099899"/>
    <n v="1070.3213381684852"/>
    <n v="57.610959229892366"/>
    <n v="29.877989516766629"/>
    <n v="0.77747918672758598"/>
    <n v="0.62181000671357778"/>
    <n v="0.62094760028680984"/>
    <x v="177"/>
    <n v="8.4936259483206159E-3"/>
    <n v="57.610959229892366"/>
    <x v="177"/>
    <x v="177"/>
    <x v="1"/>
    <s v=""/>
    <s v=""/>
    <s v=""/>
    <s v=""/>
    <s v=""/>
    <s v=""/>
    <s v=""/>
    <n v="0"/>
    <n v="864.41701662634819"/>
  </r>
  <r>
    <x v="3"/>
    <n v="26"/>
    <n v="6"/>
    <x v="5"/>
    <x v="1"/>
    <n v="18.135780828463499"/>
    <n v="71.577430614376425"/>
    <x v="178"/>
    <n v="0.97881571081561247"/>
    <n v="1270.613001304089"/>
    <n v="27.499592582795231"/>
    <n v="34.572428945022594"/>
    <n v="6.3544854398821684"/>
    <n v="12.987012987012987"/>
    <n v="25.522696148587698"/>
    <n v="908.67881572081887"/>
    <n v="50.10420143006349"/>
    <n v="33.391240609769255"/>
    <n v="0.69001057712254976"/>
    <n v="0.54312988967404596"/>
    <n v="1.3983081583080179"/>
    <x v="178"/>
    <n v="1.0004535082836318E-2"/>
    <n v="50.10420143006349"/>
    <x v="178"/>
    <x v="178"/>
    <x v="1"/>
    <s v=""/>
    <s v=""/>
    <s v=""/>
    <s v=""/>
    <s v=""/>
    <s v=""/>
    <s v=""/>
    <n v="0"/>
    <n v="27.499592582795231"/>
  </r>
  <r>
    <x v="4"/>
    <n v="26"/>
    <n v="6"/>
    <x v="5"/>
    <x v="1"/>
    <n v="13.855644398832354"/>
    <n v="51.951912134696158"/>
    <x v="179"/>
    <n v="0.86059844330640023"/>
    <n v="619.48218530665042"/>
    <n v="100.34503507108298"/>
    <n v="33.721530217220582"/>
    <n v="5.7377588382096798"/>
    <n v="12.987012987012987"/>
    <n v="28.342560643535293"/>
    <n v="503.87905426441336"/>
    <n v="36.366338494287305"/>
    <n v="34.408071899023035"/>
    <n v="0.92727317660857744"/>
    <n v="0.40268587090536057"/>
    <n v="1.2294263475805718"/>
    <x v="179"/>
    <n v="1.804184757030719E-2"/>
    <n v="36.366338494287305"/>
    <x v="179"/>
    <x v="179"/>
    <x v="1"/>
    <s v=""/>
    <s v=""/>
    <s v=""/>
    <s v=""/>
    <s v=""/>
    <s v=""/>
    <s v=""/>
    <n v="0"/>
    <n v="100.34503507108298"/>
  </r>
  <r>
    <x v="5"/>
    <n v="26"/>
    <n v="6"/>
    <x v="5"/>
    <x v="1"/>
    <n v="4.4856799279615597E-2"/>
    <n v="65.504019691087123"/>
    <x v="180"/>
    <n v="0.60744286188504681"/>
    <n v="1.7848497639882668"/>
    <n v="1.1534508993028161"/>
    <n v="48.214220213105143"/>
    <n v="11.39453408175493"/>
    <n v="12.987012987012987"/>
    <n v="30.836836306852277"/>
    <n v="2.0568104643037577"/>
    <n v="45.852813783760979"/>
    <n v="31.055897697196993"/>
    <n v="1.0514997060045304"/>
    <n v="1.4443890727932243E-3"/>
    <n v="0.86777551697863853"/>
    <x v="180"/>
    <n v="4.419906086964807"/>
    <n v="45.852813783760979"/>
    <x v="180"/>
    <x v="180"/>
    <x v="1"/>
    <s v=""/>
    <s v=""/>
    <s v=""/>
    <s v=""/>
    <s v=""/>
    <s v=""/>
    <s v=""/>
    <n v="0"/>
    <n v="1.1534508993028161"/>
  </r>
  <r>
    <x v="6"/>
    <n v="26"/>
    <n v="7"/>
    <x v="6"/>
    <x v="2"/>
    <n v="4.0545139155672976"/>
    <n v="105.67500650219517"/>
    <x v="181"/>
    <n v="0.80253746750430355"/>
    <n v="343.85583282991206"/>
    <n v="84.604951560902919"/>
    <n v="40.641381436230013"/>
    <n v="9.2642993969624534"/>
    <n v="12.987012987012987"/>
    <n v="34.414125259008109"/>
    <n v="299.92254907357045"/>
    <n v="73.972504551536616"/>
    <n v="33.975664133961423"/>
    <n v="0.54941199683073028"/>
    <n v="0.1193358251830163"/>
    <n v="1.1464820964347193"/>
    <x v="181"/>
    <n v="3.0310855649199976E-2"/>
    <n v="73.972504551536616"/>
    <x v="181"/>
    <x v="181"/>
    <x v="0"/>
    <s v=""/>
    <s v=""/>
    <s v=""/>
    <s v=""/>
    <s v=""/>
    <s v=""/>
    <s v=""/>
    <n v="3000"/>
    <n v="-2915.3950484390971"/>
  </r>
  <r>
    <x v="0"/>
    <n v="26"/>
    <n v="7"/>
    <x v="6"/>
    <x v="2"/>
    <n v="18.97667155235046"/>
    <n v="35.421114039856235"/>
    <x v="182"/>
    <n v="0.76216216914534662"/>
    <n v="512.30623955084468"/>
    <n v="159.86860760185664"/>
    <n v="25.683564847590038"/>
    <n v="16.448876950922564"/>
    <n v="12.987012987012987"/>
    <n v="27.934224431955784"/>
    <n v="470.52239300689087"/>
    <n v="24.794779827899362"/>
    <n v="34.638368831056475"/>
    <n v="1.0358456508127813"/>
    <n v="0.54785118909341168"/>
    <n v="1.0888030987790669"/>
    <x v="182"/>
    <n v="1.932088509712215E-2"/>
    <n v="24.794779827899362"/>
    <x v="182"/>
    <x v="182"/>
    <x v="1"/>
    <s v=""/>
    <s v=""/>
    <s v=""/>
    <s v=""/>
    <s v=""/>
    <s v=""/>
    <s v=""/>
    <n v="0"/>
    <n v="159.86860760185664"/>
  </r>
  <r>
    <x v="1"/>
    <n v="27"/>
    <n v="7"/>
    <x v="6"/>
    <x v="2"/>
    <n v="9.9977478780839633"/>
    <n v="17.138470201459"/>
    <x v="183"/>
    <n v="0.23340149291933385"/>
    <n v="39.992436500574051"/>
    <n v="131.35366758966791"/>
    <n v="20.541507791956533"/>
    <n v="4.7142394955802516"/>
    <n v="28.571428571428573"/>
    <n v="15.429690406823909"/>
    <n v="119.94227286316936"/>
    <n v="11.996929141021299"/>
    <n v="14.81083913092222"/>
    <n v="1.7122304841927101"/>
    <n v="0.67502913168576406"/>
    <n v="0.33343070417047699"/>
    <x v="183"/>
    <n v="0.16674688183386421"/>
    <n v="11.996929141021299"/>
    <x v="183"/>
    <x v="183"/>
    <x v="1"/>
    <n v="1000"/>
    <s v=""/>
    <s v=""/>
    <s v=""/>
    <s v=""/>
    <s v=""/>
    <s v=""/>
    <n v="1000"/>
    <n v="-868.64633241033209"/>
  </r>
  <r>
    <x v="2"/>
    <n v="27"/>
    <n v="7"/>
    <x v="6"/>
    <x v="2"/>
    <n v="19.944188864391343"/>
    <n v="21.852918555526418"/>
    <x v="184"/>
    <n v="0.48034182462123154"/>
    <n v="209.35157316707733"/>
    <n v="226.48716174250359"/>
    <n v="32.155195448047991"/>
    <n v="17.240357829814155"/>
    <n v="12.987012987012987"/>
    <n v="37.164164053517979"/>
    <n v="305.0871144367066"/>
    <n v="15.29704298886849"/>
    <n v="30.627340546706513"/>
    <n v="2.1020530223682456"/>
    <n v="0.65118905227754176"/>
    <n v="0.68620260660175936"/>
    <x v="184"/>
    <n v="2.9797748448648721E-2"/>
    <n v="15.29704298886849"/>
    <x v="184"/>
    <x v="184"/>
    <x v="1"/>
    <s v=""/>
    <s v=""/>
    <s v=""/>
    <s v=""/>
    <s v=""/>
    <s v=""/>
    <s v=""/>
    <n v="0"/>
    <n v="226.48716174250359"/>
  </r>
  <r>
    <x v="3"/>
    <n v="27"/>
    <n v="7"/>
    <x v="6"/>
    <x v="2"/>
    <n v="16.828050856275002"/>
    <n v="20.648431306317036"/>
    <x v="185"/>
    <n v="0.58906920687824071"/>
    <n v="204.6855574129963"/>
    <n v="142.78729471200765"/>
    <n v="37.107004183335711"/>
    <n v="9.9962125227848002"/>
    <n v="12.987012987012987"/>
    <n v="33.724672919430553"/>
    <n v="243.23099648750275"/>
    <n v="14.453901914421923"/>
    <n v="31.465114973545063"/>
    <n v="2.5672655316908441"/>
    <n v="0.5348161247916472"/>
    <n v="0.84152743839748678"/>
    <x v="185"/>
    <n v="3.7375619152948639E-2"/>
    <n v="14.453901914421923"/>
    <x v="185"/>
    <x v="185"/>
    <x v="1"/>
    <s v=""/>
    <s v=""/>
    <s v=""/>
    <s v=""/>
    <s v=""/>
    <s v=""/>
    <n v="1000"/>
    <n v="1000"/>
    <n v="-857.21270528799232"/>
  </r>
  <r>
    <x v="4"/>
    <n v="27"/>
    <n v="7"/>
    <x v="6"/>
    <x v="2"/>
    <n v="19.0529895326695"/>
    <n v="44.407097267709659"/>
    <x v="186"/>
    <n v="0.42174276430051272"/>
    <n v="356.83147484628876"/>
    <n v="489.25648457161969"/>
    <n v="25.783514738543175"/>
    <n v="16.629987515640739"/>
    <n v="12.987012987012987"/>
    <n v="34.088937243504731"/>
    <n v="592.26157159253592"/>
    <n v="31.08496808739676"/>
    <n v="32.140353479783712"/>
    <n v="0.82945282961371181"/>
    <n v="0.59280584902881772"/>
    <n v="0.60248966328644682"/>
    <x v="186"/>
    <n v="1.5349483280612799E-2"/>
    <n v="31.08496808739676"/>
    <x v="186"/>
    <x v="186"/>
    <x v="1"/>
    <s v=""/>
    <s v=""/>
    <s v=""/>
    <s v=""/>
    <s v=""/>
    <s v=""/>
    <s v=""/>
    <n v="0"/>
    <n v="489.25648457161969"/>
  </r>
  <r>
    <x v="5"/>
    <n v="27"/>
    <n v="7"/>
    <x v="6"/>
    <x v="2"/>
    <n v="12.477832733585215"/>
    <n v="93.007825461389885"/>
    <x v="187"/>
    <n v="0.42049523808734524"/>
    <n v="487.99989906214091"/>
    <n v="672.53618995957027"/>
    <n v="21.694575478203706"/>
    <n v="9.4975663853676622"/>
    <n v="12.987012987012987"/>
    <n v="30.181284660010025"/>
    <n v="812.3752623151978"/>
    <n v="65.105477822972915"/>
    <n v="30.620180025437911"/>
    <n v="0.33322196846773816"/>
    <n v="0.40750357193260051"/>
    <n v="0.60070748298192178"/>
    <x v="187"/>
    <n v="1.1190529195831004E-2"/>
    <n v="65.105477822972915"/>
    <x v="187"/>
    <x v="187"/>
    <x v="1"/>
    <s v=""/>
    <s v=""/>
    <s v=""/>
    <s v=""/>
    <s v=""/>
    <s v=""/>
    <s v=""/>
    <n v="0"/>
    <n v="672.53618995957027"/>
  </r>
  <r>
    <x v="6"/>
    <n v="27"/>
    <n v="7"/>
    <x v="6"/>
    <x v="2"/>
    <n v="16.551071933764355"/>
    <n v="41.393720112761635"/>
    <x v="188"/>
    <n v="0.47791669102167883"/>
    <n v="327.42571408325341"/>
    <n v="357.68472510917275"/>
    <n v="38.12529339980852"/>
    <n v="7.8890088690061253"/>
    <n v="12.987012987012987"/>
    <n v="31.344058773970598"/>
    <n v="479.5773074346983"/>
    <n v="28.975604078933141"/>
    <n v="31.472026044810452"/>
    <n v="1.3157721680607759"/>
    <n v="0.52589788500424572"/>
    <n v="0.68273813003096973"/>
    <x v="188"/>
    <n v="1.8956086849766043E-2"/>
    <n v="28.975604078933141"/>
    <x v="188"/>
    <x v="188"/>
    <x v="1"/>
    <s v=""/>
    <s v=""/>
    <s v=""/>
    <s v=""/>
    <s v=""/>
    <s v=""/>
    <s v=""/>
    <n v="0"/>
    <n v="357.68472510917275"/>
  </r>
  <r>
    <x v="0"/>
    <n v="27"/>
    <n v="7"/>
    <x v="6"/>
    <x v="2"/>
    <n v="21.793727475681742"/>
    <n v="71.879688182277377"/>
    <x v="189"/>
    <n v="0.46445394380174432"/>
    <n v="727.57933449080235"/>
    <n v="838.9470007907322"/>
    <n v="34.234204135143905"/>
    <n v="13.5739789559311"/>
    <n v="12.987012987012987"/>
    <n v="39.096523112039272"/>
    <n v="1096.5684346970741"/>
    <n v="50.315781727594157"/>
    <n v="35.465705568174499"/>
    <n v="0.68038700701273613"/>
    <n v="0.61450144940126494"/>
    <n v="0.66350563400249196"/>
    <x v="189"/>
    <n v="8.2903253488419478E-3"/>
    <n v="50.315781727594157"/>
    <x v="189"/>
    <x v="189"/>
    <x v="1"/>
    <s v=""/>
    <s v=""/>
    <s v=""/>
    <s v=""/>
    <s v=""/>
    <s v=""/>
    <s v=""/>
    <n v="0"/>
    <n v="838.9470007907322"/>
  </r>
  <r>
    <x v="1"/>
    <n v="28"/>
    <n v="7"/>
    <x v="6"/>
    <x v="2"/>
    <n v="5.1235333927373752"/>
    <n v="32.947512671109109"/>
    <x v="190"/>
    <n v="0.20584912629333377"/>
    <n v="34.748913723278214"/>
    <n v="134.05876765478712"/>
    <n v="11.11679085568654"/>
    <n v="7.0516950700720162"/>
    <n v="28.571428571428573"/>
    <n v="17.950794156524804"/>
    <n v="118.16537696464572"/>
    <n v="23.063258869776377"/>
    <n v="14.501498661462318"/>
    <n v="0.48201301119048356"/>
    <n v="0.35331061377491607"/>
    <n v="0.29407018041904825"/>
    <x v="190"/>
    <n v="0.16925431555119452"/>
    <n v="23.063258869776377"/>
    <x v="190"/>
    <x v="190"/>
    <x v="1"/>
    <n v="1000"/>
    <s v=""/>
    <n v="300"/>
    <s v=""/>
    <s v=""/>
    <s v=""/>
    <s v=""/>
    <n v="1300"/>
    <n v="-1165.9412323452129"/>
  </r>
  <r>
    <x v="2"/>
    <n v="28"/>
    <n v="7"/>
    <x v="6"/>
    <x v="2"/>
    <n v="8.7242608122621359"/>
    <n v="55.67901177637961"/>
    <x v="191"/>
    <n v="0.32551441606638559"/>
    <n v="158.1213034975062"/>
    <n v="327.63691700864445"/>
    <n v="27.145631821825834"/>
    <n v="9.9499067362362403"/>
    <n v="12.987012987012987"/>
    <n v="37.995392544739339"/>
    <n v="340.03075435430543"/>
    <n v="38.975308243465726"/>
    <n v="34.012135769505939"/>
    <n v="0.69648280014249386"/>
    <n v="0.25650435101708596"/>
    <n v="0.46502059438055088"/>
    <x v="191"/>
    <n v="2.6735549577484807E-2"/>
    <n v="38.975308243465726"/>
    <x v="191"/>
    <x v="191"/>
    <x v="1"/>
    <s v=""/>
    <s v=""/>
    <s v=""/>
    <s v=""/>
    <s v=""/>
    <s v=""/>
    <s v=""/>
    <n v="0"/>
    <n v="327.63691700864445"/>
  </r>
  <r>
    <x v="3"/>
    <n v="28"/>
    <n v="7"/>
    <x v="6"/>
    <x v="2"/>
    <n v="10.694837492052272"/>
    <n v="45.707998835555379"/>
    <x v="192"/>
    <n v="0.29130876692593793"/>
    <n v="142.40326681988597"/>
    <n v="346.4363528132933"/>
    <n v="31.474616309454671"/>
    <n v="13.235238237761738"/>
    <n v="12.987012987012987"/>
    <n v="34.803670999648986"/>
    <n v="342.18773374322546"/>
    <n v="31.995599184888764"/>
    <n v="31.204391019165804"/>
    <n v="0.98371704582172204"/>
    <n v="0.3427350171802257"/>
    <n v="0.41615538132276853"/>
    <x v="192"/>
    <n v="2.6567022118130116E-2"/>
    <n v="31.995599184888764"/>
    <x v="192"/>
    <x v="192"/>
    <x v="1"/>
    <s v=""/>
    <s v=""/>
    <s v=""/>
    <s v=""/>
    <n v="480"/>
    <s v=""/>
    <s v=""/>
    <n v="480"/>
    <n v="-133.5636471867067"/>
  </r>
  <r>
    <x v="4"/>
    <n v="28"/>
    <n v="7"/>
    <x v="6"/>
    <x v="2"/>
    <n v="8.1416568395475242"/>
    <n v="50.363630151204561"/>
    <x v="193"/>
    <n v="0.56599785078934961"/>
    <n v="232.08367966927878"/>
    <n v="177.95971421571775"/>
    <n v="33.694558656872871"/>
    <n v="15.753566290529115"/>
    <n v="12.987012987012987"/>
    <n v="32.168721375454709"/>
    <n v="287.03037571949756"/>
    <n v="35.254541105843188"/>
    <n v="32.683466891805828"/>
    <n v="0.95575087917647694"/>
    <n v="0.24910627952962799"/>
    <n v="0.80856835827049944"/>
    <x v="193"/>
    <n v="3.1672289276425729E-2"/>
    <n v="35.254541105843188"/>
    <x v="193"/>
    <x v="193"/>
    <x v="1"/>
    <s v=""/>
    <s v=""/>
    <s v=""/>
    <s v=""/>
    <s v=""/>
    <s v=""/>
    <s v=""/>
    <n v="0"/>
    <n v="177.95971421571775"/>
  </r>
  <r>
    <x v="5"/>
    <n v="28"/>
    <n v="7"/>
    <x v="6"/>
    <x v="2"/>
    <n v="23.606373323166508"/>
    <n v="60.541712770296527"/>
    <x v="194"/>
    <n v="0.41383277352173475"/>
    <n v="591.43749802608636"/>
    <n v="837.73277525345065"/>
    <n v="30.134354711462848"/>
    <n v="12.405638566785621"/>
    <n v="12.987012987012987"/>
    <n v="34.02318895220305"/>
    <n v="1000.4191912956759"/>
    <n v="42.379198939207569"/>
    <n v="33.262530339734596"/>
    <n v="0.71106475501554911"/>
    <n v="0.70969866339263188"/>
    <n v="0.59118967645962106"/>
    <x v="194"/>
    <n v="9.0870998577457854E-3"/>
    <n v="42.379198939207569"/>
    <x v="194"/>
    <x v="194"/>
    <x v="1"/>
    <s v=""/>
    <s v=""/>
    <s v=""/>
    <s v=""/>
    <s v=""/>
    <s v=""/>
    <s v=""/>
    <n v="0"/>
    <n v="837.73277525345065"/>
  </r>
  <r>
    <x v="6"/>
    <n v="28"/>
    <n v="7"/>
    <x v="6"/>
    <x v="2"/>
    <n v="23.647863118481506"/>
    <n v="58.440849788862636"/>
    <x v="195"/>
    <n v="0.76052572962606702"/>
    <n v="1051.0474833971073"/>
    <n v="330.9537329376551"/>
    <n v="54.201104042242868"/>
    <n v="14.662556885668279"/>
    <n v="12.987012987012987"/>
    <n v="34.961255129062103"/>
    <n v="967.40085143433362"/>
    <n v="40.908594852203841"/>
    <n v="34.177231433637012"/>
    <n v="1.3249319424943027"/>
    <n v="0.69191862905570023"/>
    <n v="1.0864653280372387"/>
    <x v="195"/>
    <n v="9.3972514882846095E-3"/>
    <n v="40.908594852203841"/>
    <x v="195"/>
    <x v="195"/>
    <x v="1"/>
    <s v=""/>
    <n v="300"/>
    <s v=""/>
    <s v=""/>
    <s v=""/>
    <s v=""/>
    <s v=""/>
    <n v="300"/>
    <n v="30.953732937655104"/>
  </r>
  <r>
    <x v="0"/>
    <n v="28"/>
    <n v="7"/>
    <x v="6"/>
    <x v="2"/>
    <n v="6.3227825291141748"/>
    <n v="67.090291571123061"/>
    <x v="196"/>
    <n v="0.68322087394676245"/>
    <n v="289.82046603225638"/>
    <n v="134.37685738681648"/>
    <n v="37.064277675708553"/>
    <n v="12.514656519078121"/>
    <n v="12.987012987012987"/>
    <n v="36.93196101065481"/>
    <n v="296.93812639335096"/>
    <n v="46.963204099786132"/>
    <n v="38.447196477411552"/>
    <n v="0.78921952592832867"/>
    <n v="0.1644536691466939"/>
    <n v="0.97602981992394644"/>
    <x v="196"/>
    <n v="3.0615499603666434E-2"/>
    <n v="46.963204099786132"/>
    <x v="196"/>
    <x v="196"/>
    <x v="1"/>
    <s v=""/>
    <s v=""/>
    <s v=""/>
    <s v=""/>
    <s v=""/>
    <s v=""/>
    <s v=""/>
    <n v="0"/>
    <n v="134.37685738681648"/>
  </r>
  <r>
    <x v="1"/>
    <n v="29"/>
    <n v="7"/>
    <x v="6"/>
    <x v="2"/>
    <n v="8.4274552884745901"/>
    <n v="34.86744687562917"/>
    <x v="197"/>
    <n v="0.20332634631611612"/>
    <n v="59.746196320048242"/>
    <n v="234.09765324757967"/>
    <n v="20.731341182168475"/>
    <n v="4.8744705353488227"/>
    <n v="28.571428571428573"/>
    <n v="16.21901584037591"/>
    <n v="205.69069469733952"/>
    <n v="24.407212812940422"/>
    <n v="16.78530750870889"/>
    <n v="0.84939404351720804"/>
    <n v="0.50207333312792091"/>
    <n v="0.29046620902302306"/>
    <x v="197"/>
    <n v="9.7233372804874332E-2"/>
    <n v="24.407212812940422"/>
    <x v="197"/>
    <x v="197"/>
    <x v="1"/>
    <n v="1000"/>
    <s v=""/>
    <s v=""/>
    <s v=""/>
    <s v=""/>
    <s v=""/>
    <s v=""/>
    <n v="1000"/>
    <n v="-765.90234675242027"/>
  </r>
  <r>
    <x v="2"/>
    <n v="29"/>
    <n v="7"/>
    <x v="6"/>
    <x v="2"/>
    <n v="15.583323383682744"/>
    <n v="86.54719945780684"/>
    <x v="198"/>
    <n v="0.45410084492765512"/>
    <n v="612.44262953252735"/>
    <n v="736.25036757056853"/>
    <n v="43.389149963979442"/>
    <n v="8.6458205756597888"/>
    <n v="12.987012987012987"/>
    <n v="29.565080702216918"/>
    <n v="944.08509797216709"/>
    <n v="60.583039620464788"/>
    <n v="35.038320357245794"/>
    <n v="0.71619301764652132"/>
    <n v="0.44475086775842471"/>
    <n v="0.64871549275379303"/>
    <x v="198"/>
    <n v="9.6293322608690338E-3"/>
    <n v="60.583039620464788"/>
    <x v="198"/>
    <x v="198"/>
    <x v="1"/>
    <s v=""/>
    <s v=""/>
    <s v=""/>
    <s v=""/>
    <s v=""/>
    <s v=""/>
    <s v=""/>
    <n v="0"/>
    <n v="736.25036757056853"/>
  </r>
  <r>
    <x v="3"/>
    <n v="29"/>
    <n v="7"/>
    <x v="6"/>
    <x v="2"/>
    <n v="10.52229203940707"/>
    <n v="57.319791053693976"/>
    <x v="199"/>
    <n v="0.59380139088207973"/>
    <n v="358.14274695047834"/>
    <n v="244.99283415428238"/>
    <n v="44.263693556072916"/>
    <n v="7.3620646236668277"/>
    <n v="12.987012987012987"/>
    <n v="37.776394461920461"/>
    <n v="422.19490677333249"/>
    <n v="40.123853737585783"/>
    <n v="35.073404863478963"/>
    <n v="1.1031765255043078"/>
    <n v="0.30000771468765108"/>
    <n v="0.84828770126011399"/>
    <x v="199"/>
    <n v="2.153249351203047E-2"/>
    <n v="40.123853737585783"/>
    <x v="199"/>
    <x v="199"/>
    <x v="1"/>
    <s v=""/>
    <s v=""/>
    <s v=""/>
    <s v=""/>
    <s v=""/>
    <s v=""/>
    <s v=""/>
    <n v="0"/>
    <n v="244.99283415428238"/>
  </r>
  <r>
    <x v="4"/>
    <n v="29"/>
    <n v="7"/>
    <x v="6"/>
    <x v="2"/>
    <n v="5.4253595072461982"/>
    <n v="38.68400394817985"/>
    <x v="200"/>
    <n v="0.54060743990267579"/>
    <n v="113.45978566721784"/>
    <n v="96.414842931389174"/>
    <n v="48.025289397269859"/>
    <n v="13.825217385536115"/>
    <n v="12.987012987012987"/>
    <n v="34.090087420246135"/>
    <n v="146.91224001902489"/>
    <n v="27.078802763725893"/>
    <n v="29.817405965420061"/>
    <n v="1.7735381366861378"/>
    <n v="0.18195276656655224"/>
    <n v="0.77229634271810832"/>
    <x v="200"/>
    <n v="6.1879861676139659E-2"/>
    <n v="27.078802763725893"/>
    <x v="200"/>
    <x v="200"/>
    <x v="1"/>
    <s v=""/>
    <s v=""/>
    <s v=""/>
    <n v="100"/>
    <s v=""/>
    <s v=""/>
    <s v=""/>
    <n v="100"/>
    <n v="-3.5851570686108261"/>
  </r>
  <r>
    <x v="5"/>
    <n v="29"/>
    <n v="7"/>
    <x v="6"/>
    <x v="2"/>
    <n v="5.8713189320632626"/>
    <n v="16.977567763669981"/>
    <x v="201"/>
    <n v="0.38235129175176685"/>
    <n v="38.113050154927684"/>
    <n v="61.56766487629482"/>
    <n v="23.823850716964934"/>
    <n v="6.417822358319901"/>
    <n v="12.987012987012987"/>
    <n v="29.279940154129328"/>
    <n v="69.776500521855752"/>
    <n v="11.884297434568987"/>
    <n v="35.850555210560415"/>
    <n v="2.0046494837520838"/>
    <n v="0.16377205032333117"/>
    <n v="0.54621613107395262"/>
    <x v="201"/>
    <n v="0.13028611384805103"/>
    <n v="11.884297434568987"/>
    <x v="201"/>
    <x v="201"/>
    <x v="1"/>
    <s v=""/>
    <s v=""/>
    <s v=""/>
    <s v=""/>
    <s v=""/>
    <s v=""/>
    <s v=""/>
    <n v="0"/>
    <n v="61.56766487629482"/>
  </r>
  <r>
    <x v="6"/>
    <n v="29"/>
    <n v="7"/>
    <x v="6"/>
    <x v="2"/>
    <n v="10.498514289596052"/>
    <n v="87.936793275811937"/>
    <x v="202"/>
    <n v="0.59290155581145088"/>
    <n v="547.37008447279879"/>
    <n v="375.83559631456683"/>
    <n v="32.344564663215451"/>
    <n v="11.549225554283307"/>
    <n v="12.987012987012987"/>
    <n v="34.03140197308683"/>
    <n v="646.24397655115592"/>
    <n v="61.555755293068351"/>
    <n v="38.369023820423529"/>
    <n v="0.5254515115479006"/>
    <n v="0.27361953065920264"/>
    <n v="0.84700222258778701"/>
    <x v="202"/>
    <n v="1.4067301856220031E-2"/>
    <n v="61.555755293068351"/>
    <x v="202"/>
    <x v="202"/>
    <x v="1"/>
    <s v=""/>
    <s v=""/>
    <s v=""/>
    <s v=""/>
    <s v=""/>
    <s v=""/>
    <s v=""/>
    <n v="0"/>
    <n v="375.83559631456683"/>
  </r>
  <r>
    <x v="0"/>
    <n v="29"/>
    <n v="7"/>
    <x v="6"/>
    <x v="2"/>
    <n v="11.021274895707048"/>
    <n v="60.291488524151255"/>
    <x v="203"/>
    <n v="0.26517918442130756"/>
    <n v="176.20866934672534"/>
    <n v="488.28039954931245"/>
    <n v="45.110810165468195"/>
    <n v="17.190548570845088"/>
    <n v="12.987012987012987"/>
    <n v="34.569519714880393"/>
    <n v="465.14234822722642"/>
    <n v="42.204041966905876"/>
    <n v="38.16439019720633"/>
    <n v="1.0688741661483905"/>
    <n v="0.28878425251279966"/>
    <n v="0.37882740631615369"/>
    <x v="203"/>
    <n v="1.9544359109758151E-2"/>
    <n v="42.204041966905876"/>
    <x v="203"/>
    <x v="203"/>
    <x v="1"/>
    <s v=""/>
    <s v=""/>
    <s v=""/>
    <s v=""/>
    <s v=""/>
    <s v=""/>
    <s v=""/>
    <n v="0"/>
    <n v="488.28039954931245"/>
  </r>
  <r>
    <x v="1"/>
    <n v="30"/>
    <n v="7"/>
    <x v="6"/>
    <x v="2"/>
    <n v="3.8299721744527453"/>
    <n v="7.9434389892234991"/>
    <x v="204"/>
    <n v="0.12906536068197744"/>
    <n v="3.9265748663177784"/>
    <n v="26.496575431871264"/>
    <n v="25.394185967104484"/>
    <n v="5.4379210754844696"/>
    <n v="28.571428571428573"/>
    <n v="10.71105196855388"/>
    <n v="21.296205208732328"/>
    <n v="5.5604072924564489"/>
    <n v="14.083556106675218"/>
    <n v="4.5669650857331296"/>
    <n v="0.27194638523415576"/>
    <n v="0.18437908668853922"/>
    <x v="204"/>
    <n v="0.93913445160639086"/>
    <n v="5.5604072924564489"/>
    <x v="204"/>
    <x v="204"/>
    <x v="1"/>
    <n v="1000"/>
    <s v=""/>
    <s v=""/>
    <s v=""/>
    <s v=""/>
    <s v=""/>
    <s v=""/>
    <n v="1000"/>
    <n v="-973.50342456812871"/>
  </r>
  <r>
    <x v="2"/>
    <n v="30"/>
    <n v="7"/>
    <x v="6"/>
    <x v="2"/>
    <n v="17.496123344606122"/>
    <n v="33.061805862679449"/>
    <x v="205"/>
    <n v="0.44653971361680589"/>
    <n v="258.30243047718955"/>
    <n v="320.15100289167196"/>
    <n v="32.300103925177183"/>
    <n v="15.711233498366528"/>
    <n v="12.987012987012987"/>
    <n v="35.055125362498266"/>
    <n v="404.91740335820305"/>
    <n v="23.143264103875616"/>
    <n v="37.248584604093338"/>
    <n v="1.3956589606462706"/>
    <n v="0.46971243419228959"/>
    <n v="0.63791387659543708"/>
    <x v="205"/>
    <n v="2.2451267877135372E-2"/>
    <n v="23.143264103875616"/>
    <x v="205"/>
    <x v="205"/>
    <x v="1"/>
    <s v=""/>
    <s v=""/>
    <s v=""/>
    <s v=""/>
    <s v=""/>
    <n v="83"/>
    <s v=""/>
    <n v="83"/>
    <n v="237.15100289167196"/>
  </r>
  <r>
    <x v="3"/>
    <n v="30"/>
    <n v="7"/>
    <x v="6"/>
    <x v="2"/>
    <n v="8.3948283537660373"/>
    <n v="34.181038327715186"/>
    <x v="206"/>
    <n v="0.41563701070835468"/>
    <n v="119.26452550025267"/>
    <n v="167.67942421441444"/>
    <n v="46.2336365009009"/>
    <n v="13.097253607887586"/>
    <n v="12.987012987012987"/>
    <n v="38.162135551373218"/>
    <n v="200.86076480026696"/>
    <n v="23.926726829400629"/>
    <n v="34.043307726198663"/>
    <n v="1.9323009298576534"/>
    <n v="0.24659261730039353"/>
    <n v="0.59376715815479242"/>
    <x v="206"/>
    <n v="4.525975543281914E-2"/>
    <n v="23.926726829400629"/>
    <x v="206"/>
    <x v="206"/>
    <x v="1"/>
    <s v=""/>
    <s v=""/>
    <s v=""/>
    <s v=""/>
    <s v=""/>
    <s v=""/>
    <s v=""/>
    <n v="0"/>
    <n v="167.67942421441444"/>
  </r>
  <r>
    <x v="4"/>
    <n v="30"/>
    <n v="7"/>
    <x v="6"/>
    <x v="2"/>
    <n v="15.835728881402527"/>
    <n v="43.484666065639203"/>
    <x v="207"/>
    <n v="0.64681674069945094"/>
    <n v="445.4053699167473"/>
    <n v="243.20601239703979"/>
    <n v="48.31124058079547"/>
    <n v="13.62492292613484"/>
    <n v="12.987012987012987"/>
    <n v="37.436676867818676"/>
    <n v="482.02796761965095"/>
    <n v="30.43926624594744"/>
    <n v="29.262662455998637"/>
    <n v="1.587135517342749"/>
    <n v="0.5411581705941565"/>
    <n v="0.92402391528493"/>
    <x v="207"/>
    <n v="1.8859712924546246E-2"/>
    <n v="30.43926624594744"/>
    <x v="207"/>
    <x v="207"/>
    <x v="1"/>
    <s v=""/>
    <s v=""/>
    <s v=""/>
    <s v=""/>
    <s v=""/>
    <s v=""/>
    <s v=""/>
    <n v="0"/>
    <n v="243.20601239703979"/>
  </r>
  <r>
    <x v="5"/>
    <n v="30"/>
    <n v="7"/>
    <x v="6"/>
    <x v="2"/>
    <n v="15.464704959922752"/>
    <n v="9.4263085613647064"/>
    <x v="208"/>
    <n v="0.32478555658184988"/>
    <n v="47.345640741277336"/>
    <n v="98.42944002142174"/>
    <n v="26.921124005648586"/>
    <n v="12.761520552378244"/>
    <n v="12.987012987012987"/>
    <n v="32.071025683988942"/>
    <n v="102.04255653388935"/>
    <n v="6.5984159929552941"/>
    <n v="36.294423658549071"/>
    <n v="4.0799373719981498"/>
    <n v="0.42609038527272702"/>
    <n v="0.46397936654549982"/>
    <x v="208"/>
    <n v="8.9089389757595006E-2"/>
    <n v="6.5984159929552941"/>
    <x v="208"/>
    <x v="208"/>
    <x v="1"/>
    <s v=""/>
    <s v=""/>
    <s v=""/>
    <s v=""/>
    <s v=""/>
    <s v=""/>
    <s v=""/>
    <n v="0"/>
    <n v="98.42944002142174"/>
  </r>
  <r>
    <x v="6"/>
    <n v="30"/>
    <n v="7"/>
    <x v="6"/>
    <x v="2"/>
    <n v="23.978029723760443"/>
    <n v="76.470830000041673"/>
    <x v="209"/>
    <n v="0.54342554532675991"/>
    <n v="996.43585861643419"/>
    <n v="837.18397612519675"/>
    <n v="36.719324167263196"/>
    <n v="10.868723530601228"/>
    <n v="12.987012987012987"/>
    <n v="38.922811514978427"/>
    <n v="1283.5338843191416"/>
    <n v="53.529581000029168"/>
    <n v="24.978663665273061"/>
    <n v="0.68596322783178865"/>
    <n v="0.95994045338367062"/>
    <n v="0.77632220760965709"/>
    <x v="209"/>
    <n v="7.0827184244780716E-3"/>
    <n v="53.529581000029168"/>
    <x v="209"/>
    <x v="209"/>
    <x v="1"/>
    <s v=""/>
    <s v=""/>
    <s v=""/>
    <s v=""/>
    <s v=""/>
    <s v=""/>
    <s v=""/>
    <n v="0"/>
    <n v="837.18397612519675"/>
  </r>
  <r>
    <x v="0"/>
    <n v="30"/>
    <n v="7"/>
    <x v="6"/>
    <x v="2"/>
    <n v="12.121640095645345"/>
    <n v="72.31575312042888"/>
    <x v="210"/>
    <n v="0.54151072152113267"/>
    <n v="474.6804642177147"/>
    <n v="401.90506835366597"/>
    <n v="43.06603397718407"/>
    <n v="16.146687424355523"/>
    <n v="12.987012987012987"/>
    <n v="32.502576358023234"/>
    <n v="613.60987279996641"/>
    <n v="50.62102718430021"/>
    <n v="38.214518929561137"/>
    <n v="0.85075385413239357"/>
    <n v="0.31719986107867909"/>
    <n v="0.77358674503018965"/>
    <x v="210"/>
    <n v="1.4815454401713446E-2"/>
    <n v="50.62102718430021"/>
    <x v="210"/>
    <x v="210"/>
    <x v="1"/>
    <s v=""/>
    <s v=""/>
    <s v=""/>
    <s v=""/>
    <s v=""/>
    <s v=""/>
    <s v=""/>
    <n v="0"/>
    <n v="401.90506835366597"/>
  </r>
  <r>
    <x v="1"/>
    <n v="31"/>
    <n v="7"/>
    <x v="6"/>
    <x v="2"/>
    <n v="10.485837537433421"/>
    <n v="32.938273977853932"/>
    <x v="211"/>
    <n v="0.25300156266948265"/>
    <n v="87.38304331610577"/>
    <n v="258.00234637914139"/>
    <n v="20.453130646458014"/>
    <n v="7.4941353667690249"/>
    <n v="28.571428571428573"/>
    <n v="19.601743626717361"/>
    <n v="241.769772786673"/>
    <n v="23.056791784497751"/>
    <n v="18.791653103455133"/>
    <n v="0.88707617424075846"/>
    <n v="0.55800506106114944"/>
    <n v="0.3614308038135467"/>
    <x v="211"/>
    <n v="8.2723327111893008E-2"/>
    <n v="23.056791784497751"/>
    <x v="211"/>
    <x v="211"/>
    <x v="1"/>
    <n v="1000"/>
    <s v=""/>
    <s v=""/>
    <s v=""/>
    <s v=""/>
    <s v=""/>
    <s v=""/>
    <n v="1000"/>
    <n v="-741.99765362085861"/>
  </r>
  <r>
    <x v="2"/>
    <n v="31"/>
    <n v="8"/>
    <x v="7"/>
    <x v="2"/>
    <n v="18.338253062438188"/>
    <n v="51.311211370577681"/>
    <x v="212"/>
    <n v="0.30982808391100886"/>
    <n v="291.5352076910479"/>
    <n v="649.42277136286134"/>
    <n v="31.700991517419823"/>
    <n v="9.6026620382365042"/>
    <n v="12.987012987012987"/>
    <n v="30.814413092499461"/>
    <n v="658.6705853377365"/>
    <n v="35.917847959404376"/>
    <n v="38.509637317329641"/>
    <n v="0.88259718547863464"/>
    <n v="0.47619905924654943"/>
    <n v="0.44261154844429834"/>
    <x v="212"/>
    <n v="1.38019053731505E-2"/>
    <n v="35.917847959404376"/>
    <x v="212"/>
    <x v="212"/>
    <x v="0"/>
    <s v=""/>
    <s v=""/>
    <s v=""/>
    <s v=""/>
    <s v=""/>
    <s v=""/>
    <s v=""/>
    <n v="3000"/>
    <n v="-2350.5772286371384"/>
  </r>
  <r>
    <x v="3"/>
    <n v="31"/>
    <n v="8"/>
    <x v="7"/>
    <x v="2"/>
    <n v="22.14873358238183"/>
    <n v="46.516147816623501"/>
    <x v="213"/>
    <n v="0.67738065575985373"/>
    <n v="697.88751873014724"/>
    <n v="332.38624653893896"/>
    <n v="45.976076587442741"/>
    <n v="14.889393668871328"/>
    <n v="12.987012987012987"/>
    <n v="36.367161583116236"/>
    <n v="721.19163568836029"/>
    <n v="32.56130347163645"/>
    <n v="31.374855833694781"/>
    <n v="1.411985138355768"/>
    <n v="0.70593897545802808"/>
    <n v="0.96768665108550544"/>
    <x v="213"/>
    <n v="1.2605400064342168E-2"/>
    <n v="32.56130347163645"/>
    <x v="213"/>
    <x v="213"/>
    <x v="1"/>
    <s v=""/>
    <s v=""/>
    <s v=""/>
    <s v=""/>
    <s v=""/>
    <s v=""/>
    <s v=""/>
    <n v="0"/>
    <n v="332.38624653893896"/>
  </r>
  <r>
    <x v="4"/>
    <n v="31"/>
    <n v="8"/>
    <x v="7"/>
    <x v="2"/>
    <n v="9.8246389971594041"/>
    <n v="28.800383854941444"/>
    <x v="214"/>
    <n v="0.58522251923889079"/>
    <n v="165.59068656683735"/>
    <n v="117.36268778758046"/>
    <n v="37.374455081232604"/>
    <n v="12.983233080688226"/>
    <n v="12.987012987012987"/>
    <n v="35.927062048336346"/>
    <n v="198.06736204809246"/>
    <n v="20.16026869845901"/>
    <n v="36.736537775815144"/>
    <n v="1.8538669122048652"/>
    <n v="0.26743508212761635"/>
    <n v="0.83603217034127264"/>
    <x v="214"/>
    <n v="4.5898067187373048E-2"/>
    <n v="20.16026869845901"/>
    <x v="214"/>
    <x v="214"/>
    <x v="1"/>
    <s v=""/>
    <s v=""/>
    <s v=""/>
    <s v=""/>
    <s v=""/>
    <s v=""/>
    <s v=""/>
    <n v="0"/>
    <n v="117.36268778758046"/>
  </r>
  <r>
    <x v="5"/>
    <n v="31"/>
    <n v="8"/>
    <x v="7"/>
    <x v="2"/>
    <n v="11.715389172786519"/>
    <n v="52.160890186076294"/>
    <x v="215"/>
    <n v="0.4702784239024978"/>
    <n v="287.38015092669849"/>
    <n v="323.70497720216639"/>
    <n v="29.825924899941462"/>
    <n v="10.235846944607561"/>
    <n v="12.987012987012987"/>
    <n v="41.20412078965412"/>
    <n v="427.75958969020542"/>
    <n v="36.512623130253409"/>
    <n v="35.187339847622127"/>
    <n v="0.81686612308137563"/>
    <n v="0.3329433035722425"/>
    <n v="0.67182631986071117"/>
    <x v="215"/>
    <n v="2.1252379397252E-2"/>
    <n v="36.512623130253409"/>
    <x v="215"/>
    <x v="215"/>
    <x v="1"/>
    <s v=""/>
    <s v=""/>
    <s v=""/>
    <s v=""/>
    <s v=""/>
    <s v=""/>
    <s v=""/>
    <n v="0"/>
    <n v="323.70497720216639"/>
  </r>
  <r>
    <x v="6"/>
    <n v="31"/>
    <n v="8"/>
    <x v="7"/>
    <x v="2"/>
    <n v="13.481962337685898"/>
    <n v="56.386972785489363"/>
    <x v="216"/>
    <n v="0.55636402072327851"/>
    <n v="422.95184726491937"/>
    <n v="337.25519616516794"/>
    <n v="33.177342153829116"/>
    <n v="17.418790333247017"/>
    <n v="12.987012987012987"/>
    <n v="35.082770250504396"/>
    <n v="532.14493040106106"/>
    <n v="39.470880949842552"/>
    <n v="38.839141765694087"/>
    <n v="0.84055236051075422"/>
    <n v="0.34712307545359489"/>
    <n v="0.79480574389039793"/>
    <x v="216"/>
    <n v="1.7083520995037113E-2"/>
    <n v="39.470880949842552"/>
    <x v="216"/>
    <x v="216"/>
    <x v="1"/>
    <s v=""/>
    <s v=""/>
    <s v=""/>
    <s v=""/>
    <s v=""/>
    <s v=""/>
    <n v="1000"/>
    <n v="1000"/>
    <n v="-662.74480383483206"/>
  </r>
  <r>
    <x v="0"/>
    <n v="31"/>
    <n v="8"/>
    <x v="7"/>
    <x v="2"/>
    <n v="17.083694167419125"/>
    <n v="28.821709259878027"/>
    <x v="217"/>
    <n v="0.57828420841345762"/>
    <n v="284.73631086503377"/>
    <n v="207.64495551299427"/>
    <n v="40.43214315048219"/>
    <n v="14.942691662264073"/>
    <n v="12.987012987012987"/>
    <n v="29.547445060754221"/>
    <n v="344.66688646461961"/>
    <n v="20.175196481914618"/>
    <n v="26.100951685133765"/>
    <n v="2.0040520143992766"/>
    <n v="0.65452380332742544"/>
    <n v="0.82612029773351092"/>
    <x v="217"/>
    <n v="2.6375928317797018E-2"/>
    <n v="20.175196481914618"/>
    <x v="217"/>
    <x v="217"/>
    <x v="1"/>
    <s v=""/>
    <s v=""/>
    <s v=""/>
    <s v=""/>
    <s v=""/>
    <s v=""/>
    <s v=""/>
    <n v="0"/>
    <n v="207.64495551299427"/>
  </r>
  <r>
    <x v="1"/>
    <n v="32"/>
    <n v="8"/>
    <x v="7"/>
    <x v="2"/>
    <n v="8.414888943181758"/>
    <n v="13.796465562358463"/>
    <x v="218"/>
    <n v="0.29107514068591472"/>
    <n v="33.792579637509348"/>
    <n v="82.303145878168777"/>
    <n v="21.11843402414717"/>
    <n v="7.412712982632029"/>
    <n v="28.571428571428573"/>
    <n v="17.771752277596939"/>
    <n v="81.267007860974687"/>
    <n v="9.6575258936509236"/>
    <n v="15.4672508956209"/>
    <n v="2.1867333576636754"/>
    <n v="0.544045545001419"/>
    <n v="0.41582162955130675"/>
    <x v="218"/>
    <n v="0.24610233016348348"/>
    <n v="9.6575258936509236"/>
    <x v="218"/>
    <x v="218"/>
    <x v="1"/>
    <n v="1000"/>
    <s v=""/>
    <s v=""/>
    <s v=""/>
    <s v=""/>
    <s v=""/>
    <s v=""/>
    <n v="1000"/>
    <n v="-917.69685412183117"/>
  </r>
  <r>
    <x v="2"/>
    <n v="32"/>
    <n v="8"/>
    <x v="7"/>
    <x v="2"/>
    <n v="19.803546483768496"/>
    <n v="97.000315044745903"/>
    <x v="219"/>
    <n v="0.4778125879058851"/>
    <n v="917.85420920131833"/>
    <n v="1003.0960387274959"/>
    <n v="36.006444976985605"/>
    <n v="15.402614950485816"/>
    <n v="12.987012987012987"/>
    <n v="35.612071361016127"/>
    <n v="1344.6651735501698"/>
    <n v="67.900220531322134"/>
    <n v="32.416200280307393"/>
    <n v="0.53028465438305838"/>
    <n v="0.61091510764754886"/>
    <n v="0.68258941129412165"/>
    <x v="219"/>
    <n v="6.7607232415392857E-3"/>
    <n v="67.900220531322134"/>
    <x v="219"/>
    <x v="219"/>
    <x v="1"/>
    <s v=""/>
    <s v=""/>
    <s v=""/>
    <s v=""/>
    <s v=""/>
    <s v=""/>
    <s v=""/>
    <n v="0"/>
    <n v="1003.0960387274959"/>
  </r>
  <r>
    <x v="3"/>
    <n v="32"/>
    <n v="8"/>
    <x v="7"/>
    <x v="2"/>
    <n v="11.522235635658491"/>
    <n v="80.23627767532389"/>
    <x v="220"/>
    <n v="0.85346100197246921"/>
    <n v="789.0258040333191"/>
    <n v="135.47549386988771"/>
    <n v="28.456079040207172"/>
    <n v="12.392882056917324"/>
    <n v="12.987012987012987"/>
    <n v="34.179350169963307"/>
    <n v="647.15090853224478"/>
    <n v="56.165394372726723"/>
    <n v="33.761954478317143"/>
    <n v="0.50664789872863636"/>
    <n v="0.34127869116873516"/>
    <n v="1.2192300028178131"/>
    <x v="220"/>
    <n v="1.404758761990694E-2"/>
    <n v="56.165394372726723"/>
    <x v="220"/>
    <x v="220"/>
    <x v="1"/>
    <s v=""/>
    <s v=""/>
    <s v=""/>
    <s v=""/>
    <s v=""/>
    <s v=""/>
    <s v=""/>
    <n v="0"/>
    <n v="135.47549386988771"/>
  </r>
  <r>
    <x v="4"/>
    <n v="32"/>
    <n v="8"/>
    <x v="7"/>
    <x v="2"/>
    <n v="22.741859876817006"/>
    <n v="20.522464338962699"/>
    <x v="221"/>
    <n v="0.47096259598782891"/>
    <n v="219.80719575697776"/>
    <n v="246.91181256668591"/>
    <n v="39.805902031776981"/>
    <n v="10.905241503259163"/>
    <n v="12.987012987012987"/>
    <n v="33.780813557828253"/>
    <n v="326.70330582656453"/>
    <n v="14.365725037273888"/>
    <n v="30.888817866890633"/>
    <n v="2.7708940501433088"/>
    <n v="0.73624895503669441"/>
    <n v="0.67280370855404137"/>
    <x v="221"/>
    <n v="2.7826192538544861E-2"/>
    <n v="14.365725037273888"/>
    <x v="221"/>
    <x v="221"/>
    <x v="1"/>
    <s v=""/>
    <s v=""/>
    <n v="300"/>
    <s v=""/>
    <s v=""/>
    <s v=""/>
    <s v=""/>
    <n v="300"/>
    <n v="-53.08818743331409"/>
  </r>
  <r>
    <x v="5"/>
    <n v="32"/>
    <n v="8"/>
    <x v="7"/>
    <x v="2"/>
    <n v="23.141486333986002"/>
    <n v="80.903409137797638"/>
    <x v="222"/>
    <n v="0.64985623339526888"/>
    <n v="1216.6771755566651"/>
    <n v="655.54796137855715"/>
    <n v="35.404325692577807"/>
    <n v="13.23894218040285"/>
    <n v="12.987012987012987"/>
    <n v="28.901262542953365"/>
    <n v="1310.5575958546556"/>
    <n v="56.632386396458344"/>
    <n v="33.379101708997894"/>
    <n v="0.62516040635702241"/>
    <n v="0.69329266364732123"/>
    <n v="0.92836604770752706"/>
    <x v="222"/>
    <n v="6.9366726953962099E-3"/>
    <n v="56.632386396458344"/>
    <x v="222"/>
    <x v="222"/>
    <x v="1"/>
    <s v=""/>
    <s v=""/>
    <s v=""/>
    <s v=""/>
    <s v=""/>
    <s v=""/>
    <s v=""/>
    <n v="0"/>
    <n v="655.54796137855715"/>
  </r>
  <r>
    <x v="6"/>
    <n v="32"/>
    <n v="8"/>
    <x v="7"/>
    <x v="2"/>
    <n v="27.165190760767242"/>
    <n v="44.617619759526256"/>
    <x v="223"/>
    <n v="0.67488450335316041"/>
    <n v="817.99116537338568"/>
    <n v="394.05498668552286"/>
    <n v="24.879844731630037"/>
    <n v="15.036510146095058"/>
    <n v="12.987012987012987"/>
    <n v="35.763779266867822"/>
    <n v="848.43230644123594"/>
    <n v="31.232333831668377"/>
    <n v="36.207395327103804"/>
    <n v="0.79660536627598533"/>
    <n v="0.75026636175710126"/>
    <n v="0.96412071907594354"/>
    <x v="223"/>
    <n v="1.0714949232710229E-2"/>
    <n v="31.232333831668377"/>
    <x v="223"/>
    <x v="223"/>
    <x v="1"/>
    <s v=""/>
    <s v=""/>
    <s v=""/>
    <s v=""/>
    <n v="480"/>
    <s v=""/>
    <s v=""/>
    <n v="480"/>
    <n v="-85.945013314477137"/>
  </r>
  <r>
    <x v="0"/>
    <n v="32"/>
    <n v="8"/>
    <x v="7"/>
    <x v="2"/>
    <n v="24.93210507095802"/>
    <n v="28.983291128010173"/>
    <x v="224"/>
    <n v="0.71793203355551427"/>
    <n v="518.78806853314325"/>
    <n v="203.82639117257179"/>
    <n v="33.114878525368006"/>
    <n v="11.4798880212619"/>
    <n v="12.987012987012987"/>
    <n v="42.949873999257591"/>
    <n v="505.83012179400049"/>
    <n v="20.28830378960712"/>
    <n v="35.642950730442337"/>
    <n v="1.6322152343919172"/>
    <n v="0.69949610119298355"/>
    <n v="1.025617190793592"/>
    <x v="224"/>
    <n v="1.7972257284059819E-2"/>
    <n v="20.28830378960712"/>
    <x v="224"/>
    <x v="224"/>
    <x v="1"/>
    <s v=""/>
    <s v=""/>
    <s v=""/>
    <s v=""/>
    <s v=""/>
    <s v=""/>
    <s v=""/>
    <n v="0"/>
    <n v="203.82639117257179"/>
  </r>
  <r>
    <x v="1"/>
    <n v="33"/>
    <n v="8"/>
    <x v="7"/>
    <x v="2"/>
    <n v="11.479351545542597"/>
    <n v="22.500010418516698"/>
    <x v="225"/>
    <n v="0.3044037828339281"/>
    <n v="78.623092192260017"/>
    <n v="179.66243718026419"/>
    <n v="22.833841992448122"/>
    <n v="5.0111047406191265"/>
    <n v="28.571428571428573"/>
    <n v="16.08245988814604"/>
    <n v="180.79987056076692"/>
    <n v="15.750007292961687"/>
    <n v="14.799070270367945"/>
    <n v="1.4497670742445965"/>
    <n v="0.77568058910616888"/>
    <n v="0.43486254690561166"/>
    <x v="225"/>
    <n v="0.1106195482218445"/>
    <n v="15.750007292961687"/>
    <x v="225"/>
    <x v="225"/>
    <x v="1"/>
    <n v="1000"/>
    <s v=""/>
    <s v=""/>
    <s v=""/>
    <s v=""/>
    <s v=""/>
    <s v=""/>
    <n v="1000"/>
    <n v="-820.33756281973581"/>
  </r>
  <r>
    <x v="2"/>
    <n v="33"/>
    <n v="8"/>
    <x v="7"/>
    <x v="2"/>
    <n v="9.2992492500171391"/>
    <n v="76.921988061928531"/>
    <x v="226"/>
    <n v="0.70696412490727911"/>
    <n v="505.70327298049943"/>
    <n v="209.61346681421679"/>
    <n v="43.993660329488954"/>
    <n v="15.165250445332958"/>
    <n v="12.987012987012987"/>
    <n v="37.964248337087703"/>
    <n v="500.72171785630132"/>
    <n v="53.84539164334997"/>
    <n v="36.558449726387636"/>
    <n v="0.81703668571834542"/>
    <n v="0.25436661892435242"/>
    <n v="1.0099487498675417"/>
    <x v="226"/>
    <n v="1.8155611723472374E-2"/>
    <n v="53.84539164334997"/>
    <x v="226"/>
    <x v="226"/>
    <x v="1"/>
    <s v=""/>
    <n v="300"/>
    <s v=""/>
    <s v=""/>
    <s v=""/>
    <s v=""/>
    <s v=""/>
    <n v="300"/>
    <n v="-90.386533185783208"/>
  </r>
  <r>
    <x v="3"/>
    <n v="33"/>
    <n v="8"/>
    <x v="7"/>
    <x v="2"/>
    <n v="19.590827993141044"/>
    <n v="92.502014969121277"/>
    <x v="227"/>
    <n v="0.45469876251568586"/>
    <n v="824.00103436965094"/>
    <n v="988.19002990936212"/>
    <n v="29.763750355469771"/>
    <n v="11.856559704239405"/>
    <n v="12.987012987012987"/>
    <n v="39.310382607081266"/>
    <n v="1268.533744995309"/>
    <n v="64.751410478384884"/>
    <n v="35.573775795461799"/>
    <n v="0.45966180714172111"/>
    <n v="0.55070982922314016"/>
    <n v="0.64956966073669409"/>
    <x v="227"/>
    <n v="7.1664700499888614E-3"/>
    <n v="64.751410478384884"/>
    <x v="227"/>
    <x v="227"/>
    <x v="1"/>
    <s v=""/>
    <s v=""/>
    <s v=""/>
    <s v=""/>
    <s v=""/>
    <s v=""/>
    <s v=""/>
    <n v="0"/>
    <n v="988.19002990936212"/>
  </r>
  <r>
    <x v="4"/>
    <n v="33"/>
    <n v="8"/>
    <x v="7"/>
    <x v="2"/>
    <n v="15.892071107631928"/>
    <n v="99.80349486015659"/>
    <x v="228"/>
    <n v="0.38623706203092045"/>
    <n v="612.6045158740651"/>
    <n v="973.47972123372097"/>
    <n v="38.806817042400475"/>
    <n v="7.6010243606697347"/>
    <n v="12.987012987012987"/>
    <n v="31.138580479490276"/>
    <n v="1110.2589659754501"/>
    <n v="69.862446402109597"/>
    <n v="29.06405105364458"/>
    <n v="0.55547463681759424"/>
    <n v="0.54679476987909748"/>
    <n v="0.55176723147274354"/>
    <x v="228"/>
    <n v="8.188097884822762E-3"/>
    <n v="69.862446402109597"/>
    <x v="228"/>
    <x v="228"/>
    <x v="1"/>
    <s v=""/>
    <s v=""/>
    <s v=""/>
    <s v=""/>
    <s v=""/>
    <s v=""/>
    <s v=""/>
    <n v="0"/>
    <n v="973.47972123372097"/>
  </r>
  <r>
    <x v="5"/>
    <n v="33"/>
    <n v="8"/>
    <x v="7"/>
    <x v="2"/>
    <n v="20.160573105532723"/>
    <n v="61.792719374764587"/>
    <x v="229"/>
    <n v="0.81004333178121013"/>
    <n v="1009.1330571597767"/>
    <n v="236.64357918483313"/>
    <n v="26.234077797186757"/>
    <n v="13.127919152206669"/>
    <n v="12.987012987012987"/>
    <n v="30.098238245940404"/>
    <n v="872.04364544122689"/>
    <n v="43.254903562335215"/>
    <n v="33.499636590547325"/>
    <n v="0.60649950957307019"/>
    <n v="0.60181468091571722"/>
    <n v="1.1572047596874431"/>
    <x v="229"/>
    <n v="1.0424832677164196E-2"/>
    <n v="43.254903562335215"/>
    <x v="229"/>
    <x v="229"/>
    <x v="1"/>
    <s v=""/>
    <s v=""/>
    <s v=""/>
    <s v=""/>
    <s v=""/>
    <s v=""/>
    <s v=""/>
    <n v="0"/>
    <n v="236.64357918483313"/>
  </r>
  <r>
    <x v="6"/>
    <n v="33"/>
    <n v="8"/>
    <x v="7"/>
    <x v="2"/>
    <n v="12.767125825425913"/>
    <n v="1.1521835129324378"/>
    <x v="230"/>
    <n v="0.23912014399423909"/>
    <n v="3.5174745069695712"/>
    <n v="11.192597376620107"/>
    <n v="19.706983917843065"/>
    <n v="21.709494744150444"/>
    <n v="12.987012987012987"/>
    <n v="34.265146029079183"/>
    <n v="10.297050318512774"/>
    <n v="0.80652845905270643"/>
    <n v="32.779391378177984"/>
    <n v="24.434331729582798"/>
    <n v="0.38948635983294339"/>
    <n v="0.34160020570605582"/>
    <x v="230"/>
    <n v="0.88286536529444781"/>
    <n v="0.80652845905270643"/>
    <x v="230"/>
    <x v="230"/>
    <x v="1"/>
    <s v=""/>
    <s v=""/>
    <s v=""/>
    <s v=""/>
    <s v=""/>
    <s v=""/>
    <s v=""/>
    <n v="0"/>
    <n v="11.192597376620107"/>
  </r>
  <r>
    <x v="0"/>
    <n v="33"/>
    <n v="8"/>
    <x v="7"/>
    <x v="2"/>
    <n v="20.386209793858349"/>
    <n v="103.55547985796457"/>
    <x v="231"/>
    <n v="0.3974960269881383"/>
    <n v="839.15534829084379"/>
    <n v="1271.9483893972942"/>
    <n v="50.359835509224439"/>
    <n v="13.965980066352273"/>
    <n v="12.987012987012987"/>
    <n v="31.979867651341646"/>
    <n v="1477.7726163816967"/>
    <n v="72.488835900575197"/>
    <n v="31.30250825133546"/>
    <n v="0.69472539989878412"/>
    <n v="0.65126441722089834"/>
    <n v="0.56785146712591184"/>
    <x v="231"/>
    <n v="6.1517644799563556E-3"/>
    <n v="72.488835900575197"/>
    <x v="231"/>
    <x v="231"/>
    <x v="1"/>
    <s v=""/>
    <s v=""/>
    <s v=""/>
    <n v="100"/>
    <s v=""/>
    <s v=""/>
    <s v=""/>
    <n v="100"/>
    <n v="1171.9483893972942"/>
  </r>
  <r>
    <x v="1"/>
    <n v="34"/>
    <n v="8"/>
    <x v="7"/>
    <x v="2"/>
    <n v="0.1636216020131176"/>
    <n v="34.552553924988956"/>
    <x v="232"/>
    <n v="0.29734570171473429"/>
    <n v="1.6810570753083929"/>
    <n v="3.9724871515429343"/>
    <n v="15.257303836572813"/>
    <n v="5.1539615466841955"/>
    <n v="28.571428571428573"/>
    <n v="17.101137057851808"/>
    <n v="3.9574809587959288"/>
    <n v="24.186787747492268"/>
    <n v="14.773831967960533"/>
    <n v="0.63081149906542344"/>
    <n v="1.1075095639909657E-2"/>
    <n v="0.42477957387819187"/>
    <x v="232"/>
    <n v="5.0537198304259281"/>
    <n v="24.186787747492268"/>
    <x v="232"/>
    <x v="232"/>
    <x v="1"/>
    <n v="1000"/>
    <s v=""/>
    <s v=""/>
    <s v=""/>
    <s v=""/>
    <s v=""/>
    <s v=""/>
    <n v="1000"/>
    <n v="-996.02751284845704"/>
  </r>
  <r>
    <x v="2"/>
    <n v="34"/>
    <n v="8"/>
    <x v="7"/>
    <x v="2"/>
    <n v="12.795943516955862"/>
    <n v="24.295341254242363"/>
    <x v="233"/>
    <n v="0.59284423361344729"/>
    <n v="184.30449101089428"/>
    <n v="126.57732340355861"/>
    <n v="29.903304380006489"/>
    <n v="12.334176382844181"/>
    <n v="12.987012987012987"/>
    <n v="35.856763362864335"/>
    <n v="217.61727009011702"/>
    <n v="17.006738877969653"/>
    <n v="29.720937779540932"/>
    <n v="1.7583208982377514"/>
    <n v="0.43053633138602493"/>
    <n v="0.84692033373349618"/>
    <x v="233"/>
    <n v="4.1774759361444404E-2"/>
    <n v="17.006738877969653"/>
    <x v="233"/>
    <x v="233"/>
    <x v="1"/>
    <s v=""/>
    <s v=""/>
    <s v=""/>
    <s v=""/>
    <s v=""/>
    <s v=""/>
    <s v=""/>
    <n v="0"/>
    <n v="126.57732340355861"/>
  </r>
  <r>
    <x v="3"/>
    <n v="34"/>
    <n v="8"/>
    <x v="7"/>
    <x v="2"/>
    <n v="10.960151738023832"/>
    <n v="22.359190730490855"/>
    <x v="234"/>
    <n v="0.44195348896880104"/>
    <n v="108.30517643132005"/>
    <n v="136.75494671427566"/>
    <n v="37.084530068829316"/>
    <n v="14.933163054396609"/>
    <n v="12.987012987012987"/>
    <n v="36.256651042240406"/>
    <n v="171.54208620191699"/>
    <n v="15.651433511343598"/>
    <n v="37.170743359661586"/>
    <n v="2.3694015019104659"/>
    <n v="0.29485963280244759"/>
    <n v="0.63136212709828721"/>
    <x v="234"/>
    <n v="5.2995211217196331E-2"/>
    <n v="15.651433511343598"/>
    <x v="234"/>
    <x v="234"/>
    <x v="1"/>
    <s v=""/>
    <s v=""/>
    <s v=""/>
    <s v=""/>
    <s v=""/>
    <s v=""/>
    <s v=""/>
    <n v="0"/>
    <n v="136.75494671427566"/>
  </r>
  <r>
    <x v="4"/>
    <n v="34"/>
    <n v="8"/>
    <x v="7"/>
    <x v="2"/>
    <n v="25.736480893730327"/>
    <n v="69.211879323233916"/>
    <x v="235"/>
    <n v="0.82385728492990118"/>
    <n v="1467.5124387901215"/>
    <n v="313.75777103145742"/>
    <n v="27.130978883211"/>
    <n v="11.635810740480297"/>
    <n v="12.987012987012987"/>
    <n v="41.292423118600873"/>
    <n v="1246.8891468751051"/>
    <n v="48.448315526263741"/>
    <n v="34.337897730125725"/>
    <n v="0.55999839392771766"/>
    <n v="0.74950659752099202"/>
    <n v="1.1769389784712876"/>
    <x v="235"/>
    <n v="7.2908719381288211E-3"/>
    <n v="48.448315526263741"/>
    <x v="235"/>
    <x v="235"/>
    <x v="1"/>
    <s v=""/>
    <s v=""/>
    <s v=""/>
    <s v=""/>
    <s v=""/>
    <s v=""/>
    <s v=""/>
    <n v="0"/>
    <n v="313.75777103145742"/>
  </r>
  <r>
    <x v="5"/>
    <n v="34"/>
    <n v="8"/>
    <x v="7"/>
    <x v="2"/>
    <n v="8.4600146612912859"/>
    <n v="30.597263575736854"/>
    <x v="236"/>
    <n v="0.85868840427681636"/>
    <n v="222.27432578449583"/>
    <n v="36.578972661631781"/>
    <n v="43.203952141197448"/>
    <n v="18.416757557029658"/>
    <n v="12.987012987012987"/>
    <n v="33.642681883637103"/>
    <n v="181.19730891228932"/>
    <n v="21.418084503015795"/>
    <n v="31.890922623662878"/>
    <n v="2.0171716165894327"/>
    <n v="0.26527970862197647"/>
    <n v="1.2266977203954521"/>
    <x v="236"/>
    <n v="5.0171325090206782E-2"/>
    <n v="21.418084503015795"/>
    <x v="236"/>
    <x v="236"/>
    <x v="1"/>
    <s v=""/>
    <s v=""/>
    <s v=""/>
    <s v=""/>
    <s v=""/>
    <n v="83"/>
    <s v=""/>
    <n v="83"/>
    <n v="-46.421027338368219"/>
  </r>
  <r>
    <x v="6"/>
    <n v="34"/>
    <n v="8"/>
    <x v="7"/>
    <x v="2"/>
    <n v="23.382002902759051"/>
    <n v="84.203870828538854"/>
    <x v="237"/>
    <n v="0.53604694830157296"/>
    <n v="1055.3987959505698"/>
    <n v="913.4563561858738"/>
    <n v="29.194844676315075"/>
    <n v="13.756182790077336"/>
    <n v="12.987012987012987"/>
    <n v="31.962144013155612"/>
    <n v="1378.1986064955104"/>
    <n v="58.942709579977191"/>
    <n v="32.70579643779481"/>
    <n v="0.49530883266745085"/>
    <n v="0.71491923296320692"/>
    <n v="0.76578135471653297"/>
    <x v="237"/>
    <n v="6.5962257167169061E-3"/>
    <n v="58.942709579977191"/>
    <x v="237"/>
    <x v="237"/>
    <x v="1"/>
    <s v=""/>
    <s v=""/>
    <s v=""/>
    <s v=""/>
    <s v=""/>
    <s v=""/>
    <s v=""/>
    <n v="0"/>
    <n v="913.4563561858738"/>
  </r>
  <r>
    <x v="0"/>
    <n v="34"/>
    <n v="8"/>
    <x v="7"/>
    <x v="2"/>
    <n v="11.420557755740752"/>
    <n v="2.6480425683529232"/>
    <x v="238"/>
    <n v="0.6426762848407418"/>
    <n v="19.43589531416389"/>
    <n v="10.806227777370747"/>
    <n v="22.079243095934729"/>
    <n v="19.565159912899134"/>
    <n v="12.987012987012987"/>
    <n v="30.438577449112202"/>
    <n v="21.169486164074243"/>
    <n v="1.853629797847046"/>
    <n v="29.064384084379665"/>
    <n v="11.91135528873097"/>
    <n v="0.39293995436423529"/>
    <n v="0.91810897834391703"/>
    <x v="238"/>
    <n v="0.42943456541410302"/>
    <n v="1.853629797847046"/>
    <x v="238"/>
    <x v="238"/>
    <x v="1"/>
    <s v=""/>
    <s v=""/>
    <s v=""/>
    <s v=""/>
    <s v=""/>
    <s v=""/>
    <s v=""/>
    <n v="0"/>
    <n v="10.806227777370747"/>
  </r>
  <r>
    <x v="1"/>
    <n v="35"/>
    <n v="8"/>
    <x v="7"/>
    <x v="2"/>
    <n v="2.4804413942352377"/>
    <n v="61.504028761556746"/>
    <x v="239"/>
    <n v="0.27578796835008662"/>
    <n v="42.073423381405455"/>
    <n v="110.48371547099453"/>
    <n v="16.297626849049017"/>
    <n v="7.4632306816784046"/>
    <n v="28.571428571428573"/>
    <n v="12.598175405378903"/>
    <n v="106.78999719667999"/>
    <n v="43.052820133089725"/>
    <n v="16.818444093268134"/>
    <n v="0.37854957697702402"/>
    <n v="0.14748340455750458"/>
    <n v="0.39398281192869516"/>
    <x v="239"/>
    <n v="0.18728345842321817"/>
    <n v="43.052820133089725"/>
    <x v="239"/>
    <x v="239"/>
    <x v="1"/>
    <n v="1000"/>
    <s v=""/>
    <s v=""/>
    <s v=""/>
    <s v=""/>
    <s v=""/>
    <s v=""/>
    <n v="1000"/>
    <n v="-889.51628452900547"/>
  </r>
  <r>
    <x v="2"/>
    <n v="35"/>
    <n v="8"/>
    <x v="7"/>
    <x v="2"/>
    <n v="21.916993620943682"/>
    <n v="72.677497664616297"/>
    <x v="240"/>
    <n v="0.52451302619749041"/>
    <n v="835.48224561050085"/>
    <n v="757.39000709104391"/>
    <n v="40.655746525788977"/>
    <n v="10.131775855168407"/>
    <n v="12.987012987012987"/>
    <n v="27.77427428229943"/>
    <n v="1115.0105768910812"/>
    <n v="50.874248365231402"/>
    <n v="45.03993226292296"/>
    <n v="0.79914195948247213"/>
    <n v="0.48661249073382451"/>
    <n v="0.74930432313927209"/>
    <x v="240"/>
    <n v="8.1532043545781783E-3"/>
    <n v="50.874248365231402"/>
    <x v="240"/>
    <x v="240"/>
    <x v="1"/>
    <s v=""/>
    <s v=""/>
    <s v=""/>
    <s v=""/>
    <s v=""/>
    <s v=""/>
    <s v=""/>
    <n v="0"/>
    <n v="757.39000709104391"/>
  </r>
  <r>
    <x v="3"/>
    <n v="35"/>
    <n v="8"/>
    <x v="7"/>
    <x v="2"/>
    <n v="8.6522729903513884"/>
    <n v="15.588901527825815"/>
    <x v="241"/>
    <n v="0.54544528391186464"/>
    <n v="73.569349883907918"/>
    <n v="61.310081754546886"/>
    <n v="41.502599584611929"/>
    <n v="15.838750469377029"/>
    <n v="12.987012987012987"/>
    <n v="29.025566613270524"/>
    <n v="94.41560214691836"/>
    <n v="10.912231069478072"/>
    <n v="29.031290661022517"/>
    <n v="3.803310186557201"/>
    <n v="0.29803266728226974"/>
    <n v="0.77920754844552098"/>
    <x v="241"/>
    <n v="9.6286089207617359E-2"/>
    <n v="10.912231069478072"/>
    <x v="241"/>
    <x v="241"/>
    <x v="1"/>
    <s v=""/>
    <s v=""/>
    <s v=""/>
    <s v=""/>
    <s v=""/>
    <s v=""/>
    <s v=""/>
    <n v="0"/>
    <n v="61.310081754546886"/>
  </r>
  <r>
    <x v="4"/>
    <n v="35"/>
    <n v="8"/>
    <x v="7"/>
    <x v="2"/>
    <n v="26.978112753139438"/>
    <n v="38.394875020541875"/>
    <x v="242"/>
    <n v="0.41146680708562144"/>
    <n v="426.20606962774752"/>
    <n v="609.61519781912818"/>
    <n v="34.858132761700027"/>
    <n v="7.6094068669661494"/>
    <n v="12.987012987012987"/>
    <n v="38.079647906884531"/>
    <n v="725.074887212813"/>
    <n v="26.876412514379314"/>
    <n v="33.104694242975455"/>
    <n v="1.2969786329574442"/>
    <n v="0.8149331498164788"/>
    <n v="0.5878097244080307"/>
    <x v="242"/>
    <n v="1.2537889880388127E-2"/>
    <n v="26.876412514379314"/>
    <x v="242"/>
    <x v="242"/>
    <x v="1"/>
    <s v=""/>
    <s v=""/>
    <s v=""/>
    <s v=""/>
    <s v=""/>
    <s v=""/>
    <s v=""/>
    <n v="0"/>
    <n v="609.61519781912818"/>
  </r>
  <r>
    <x v="5"/>
    <n v="35"/>
    <n v="9"/>
    <x v="8"/>
    <x v="2"/>
    <n v="19.238752520173509"/>
    <n v="65.336648219782205"/>
    <x v="243"/>
    <n v="0.56977346921394278"/>
    <n v="716.20274698826756"/>
    <n v="540.79285860975733"/>
    <n v="44.933110146996377"/>
    <n v="13.904009902822336"/>
    <n v="12.987012987012987"/>
    <n v="36.243163677338643"/>
    <n v="879.8969239186174"/>
    <n v="45.735653753847544"/>
    <n v="30.136676238076689"/>
    <n v="0.98245256072711873"/>
    <n v="0.63838335615345609"/>
    <n v="0.81396209887706106"/>
    <x v="243"/>
    <n v="1.0331788694547043E-2"/>
    <n v="45.735653753847544"/>
    <x v="243"/>
    <x v="243"/>
    <x v="0"/>
    <s v=""/>
    <s v=""/>
    <s v=""/>
    <s v=""/>
    <s v=""/>
    <s v=""/>
    <s v=""/>
    <n v="3000"/>
    <n v="-2459.2071413902427"/>
  </r>
  <r>
    <x v="6"/>
    <n v="35"/>
    <n v="9"/>
    <x v="8"/>
    <x v="2"/>
    <n v="9.2585196529079514"/>
    <n v="69.896731379854685"/>
    <x v="244"/>
    <n v="0.75149852692271824"/>
    <n v="486.3249529699242"/>
    <n v="160.81530818448834"/>
    <n v="33.162885624072352"/>
    <n v="17.16596580373"/>
    <n v="12.987012987012987"/>
    <n v="33.01487951040594"/>
    <n v="452.99818280808876"/>
    <n v="48.927711965898283"/>
    <n v="30.477889285632045"/>
    <n v="0.67779350988630482"/>
    <n v="0.30377824284809063"/>
    <n v="1.0735693241753117"/>
    <x v="244"/>
    <n v="2.0068312492018153E-2"/>
    <n v="48.927711965898283"/>
    <x v="244"/>
    <x v="244"/>
    <x v="1"/>
    <s v=""/>
    <s v=""/>
    <s v=""/>
    <s v=""/>
    <s v=""/>
    <s v=""/>
    <s v=""/>
    <n v="0"/>
    <n v="160.81530818448834"/>
  </r>
  <r>
    <x v="0"/>
    <n v="35"/>
    <n v="9"/>
    <x v="8"/>
    <x v="2"/>
    <n v="17.38376199540248"/>
    <n v="70.843645525148148"/>
    <x v="245"/>
    <n v="0.36593374082188801"/>
    <n v="450.6580405024979"/>
    <n v="780.87103219333744"/>
    <n v="37.291972837422627"/>
    <n v="7.2056413565368684"/>
    <n v="12.987012987012987"/>
    <n v="35.695938783432887"/>
    <n v="862.07035088708471"/>
    <n v="49.5905518676037"/>
    <n v="38.150194555918318"/>
    <n v="0.75199753648606926"/>
    <n v="0.45566640479178633"/>
    <n v="0.52276248688841143"/>
    <x v="245"/>
    <n v="1.0545437598630313E-2"/>
    <n v="49.5905518676037"/>
    <x v="245"/>
    <x v="245"/>
    <x v="1"/>
    <s v=""/>
    <s v=""/>
    <s v=""/>
    <s v=""/>
    <s v=""/>
    <s v=""/>
    <s v=""/>
    <n v="0"/>
    <n v="780.87103219333744"/>
  </r>
  <r>
    <x v="1"/>
    <n v="36"/>
    <n v="9"/>
    <x v="8"/>
    <x v="2"/>
    <n v="7.2610183645875708"/>
    <n v="24.711915272786257"/>
    <x v="246"/>
    <n v="0.39085272663211129"/>
    <n v="70.13213941136992"/>
    <n v="109.30153120846317"/>
    <n v="21.737175587463181"/>
    <n v="8.9769177142972794"/>
    <n v="28.571428571428573"/>
    <n v="14.523547117848075"/>
    <n v="125.60356943388315"/>
    <n v="17.298340690950379"/>
    <n v="12.241245174797459"/>
    <n v="1.2566046637545401"/>
    <n v="0.59316011246443401"/>
    <n v="0.55836103804587334"/>
    <x v="246"/>
    <n v="0.15923114359045235"/>
    <n v="17.298340690950379"/>
    <x v="246"/>
    <x v="246"/>
    <x v="1"/>
    <n v="1000"/>
    <s v=""/>
    <s v=""/>
    <s v=""/>
    <s v=""/>
    <s v=""/>
    <s v=""/>
    <n v="1000"/>
    <n v="-890.69846879153681"/>
  </r>
  <r>
    <x v="2"/>
    <n v="36"/>
    <n v="9"/>
    <x v="8"/>
    <x v="2"/>
    <n v="23.111846320589699"/>
    <n v="52.307536605070247"/>
    <x v="247"/>
    <n v="0.77149546821072013"/>
    <n v="932.6791925507116"/>
    <n v="276.24455487429213"/>
    <n v="36.064822439868685"/>
    <n v="20.829557917202749"/>
    <n v="12.987012987012987"/>
    <n v="30.904014616089889"/>
    <n v="846.24662319750257"/>
    <n v="36.615275623549174"/>
    <n v="32.265374041977651"/>
    <n v="0.98496656998188858"/>
    <n v="0.71630492460806128"/>
    <n v="1.1021363831581716"/>
    <x v="247"/>
    <n v="1.0742623771495268E-2"/>
    <n v="36.615275623549174"/>
    <x v="247"/>
    <x v="247"/>
    <x v="1"/>
    <s v=""/>
    <s v=""/>
    <s v=""/>
    <s v=""/>
    <s v=""/>
    <s v=""/>
    <n v="1000"/>
    <n v="1000"/>
    <n v="-723.75544512570787"/>
  </r>
  <r>
    <x v="3"/>
    <n v="36"/>
    <n v="9"/>
    <x v="8"/>
    <x v="2"/>
    <n v="13.532986950590708"/>
    <n v="73.665359244407981"/>
    <x v="248"/>
    <n v="0.90382172931622784"/>
    <n v="901.0310399646263"/>
    <n v="95.881305400523502"/>
    <n v="30.405603273950764"/>
    <n v="26.834479082949791"/>
    <n v="12.987012987012987"/>
    <n v="38.465574493639799"/>
    <n v="697.83864175560484"/>
    <n v="51.565751471085591"/>
    <n v="33.023127308417919"/>
    <n v="0.58964724466393292"/>
    <n v="0.40980331221207555"/>
    <n v="1.2911738990231827"/>
    <x v="248"/>
    <n v="1.3027236594463171E-2"/>
    <n v="51.565751471085591"/>
    <x v="248"/>
    <x v="248"/>
    <x v="1"/>
    <s v=""/>
    <s v=""/>
    <s v=""/>
    <s v=""/>
    <s v=""/>
    <s v=""/>
    <s v=""/>
    <n v="0"/>
    <n v="95.881305400523502"/>
  </r>
  <r>
    <x v="4"/>
    <n v="36"/>
    <n v="9"/>
    <x v="8"/>
    <x v="2"/>
    <n v="9.0650215536079433"/>
    <n v="71.172520718819754"/>
    <x v="249"/>
    <n v="0.62469670994530746"/>
    <n v="403.04209465372537"/>
    <n v="242.13833968698361"/>
    <n v="43.596966007804866"/>
    <n v="15.3201463985693"/>
    <n v="12.987012987012987"/>
    <n v="38.692477992767081"/>
    <n v="451.62630403849624"/>
    <n v="49.820764503173827"/>
    <n v="30.496350518190653"/>
    <n v="0.8750762145576374"/>
    <n v="0.29724938884738955"/>
    <n v="0.89242387135043932"/>
    <x v="249"/>
    <n v="2.0129272829366E-2"/>
    <n v="49.820764503173827"/>
    <x v="249"/>
    <x v="249"/>
    <x v="1"/>
    <s v=""/>
    <s v=""/>
    <s v=""/>
    <s v=""/>
    <s v=""/>
    <s v=""/>
    <s v=""/>
    <n v="0"/>
    <n v="242.13833968698361"/>
  </r>
  <r>
    <x v="5"/>
    <n v="36"/>
    <n v="9"/>
    <x v="8"/>
    <x v="2"/>
    <n v="13.681707662762335"/>
    <n v="69.516216290456299"/>
    <x v="250"/>
    <n v="0.61054566827910217"/>
    <n v="580.69032035538623"/>
    <n v="370.4102287519936"/>
    <n v="36.002168390594001"/>
    <n v="17.323677813917136"/>
    <n v="12.987012987012987"/>
    <n v="34.339975235473368"/>
    <n v="665.7703843751658"/>
    <n v="48.661351403319408"/>
    <n v="34.400872745552988"/>
    <n v="0.73985138826494101"/>
    <n v="0.39771396975767059"/>
    <n v="0.87220809754157458"/>
    <x v="250"/>
    <n v="1.3654721363794255E-2"/>
    <n v="48.661351403319408"/>
    <x v="250"/>
    <x v="250"/>
    <x v="1"/>
    <s v=""/>
    <s v=""/>
    <s v=""/>
    <s v=""/>
    <s v=""/>
    <s v=""/>
    <s v=""/>
    <n v="0"/>
    <n v="370.4102287519936"/>
  </r>
  <r>
    <x v="6"/>
    <n v="36"/>
    <n v="9"/>
    <x v="8"/>
    <x v="2"/>
    <n v="30.050511296272543"/>
    <n v="30.881148382064907"/>
    <x v="251"/>
    <n v="0.58842707209582101"/>
    <n v="546.05696786858437"/>
    <n v="381.93733042852568"/>
    <n v="46.929945030813805"/>
    <n v="8.9142688790800477"/>
    <n v="12.987012987012987"/>
    <n v="38.052217681834385"/>
    <n v="649.596008807977"/>
    <n v="21.616803867445434"/>
    <n v="29.277056202327177"/>
    <n v="2.1709937009462146"/>
    <n v="1.0264184721510314"/>
    <n v="0.84061010299403005"/>
    <x v="251"/>
    <n v="1.3994712048171461E-2"/>
    <n v="21.616803867445434"/>
    <x v="251"/>
    <x v="251"/>
    <x v="1"/>
    <s v=""/>
    <s v=""/>
    <s v=""/>
    <s v=""/>
    <s v=""/>
    <s v=""/>
    <s v=""/>
    <n v="0"/>
    <n v="381.93733042852568"/>
  </r>
  <r>
    <x v="0"/>
    <n v="36"/>
    <n v="9"/>
    <x v="8"/>
    <x v="2"/>
    <n v="15.4645484805738"/>
    <n v="16.703969102051168"/>
    <x v="252"/>
    <n v="0.28265579692555826"/>
    <n v="73.015458908045005"/>
    <n v="185.30388108863212"/>
    <n v="34.224697909645137"/>
    <n v="16.420553749073253"/>
    <n v="12.987012987012987"/>
    <n v="36.836966396923366"/>
    <n v="180.82353799767398"/>
    <n v="11.692778371435818"/>
    <n v="29.802785106218828"/>
    <n v="2.9269944937340417"/>
    <n v="0.51889608388804154"/>
    <n v="0.40379399560794038"/>
    <x v="252"/>
    <n v="5.0275031622409865E-2"/>
    <n v="11.692778371435818"/>
    <x v="252"/>
    <x v="252"/>
    <x v="1"/>
    <s v=""/>
    <s v=""/>
    <n v="300"/>
    <s v=""/>
    <s v=""/>
    <s v=""/>
    <s v=""/>
    <n v="300"/>
    <n v="-114.69611891136788"/>
  </r>
  <r>
    <x v="1"/>
    <n v="37"/>
    <n v="9"/>
    <x v="8"/>
    <x v="2"/>
    <n v="10.015005866335585"/>
    <n v="45.345945335478213"/>
    <x v="253"/>
    <n v="0.26317216218872802"/>
    <n v="119.51698166912288"/>
    <n v="334.62292688022421"/>
    <n v="19.027024684989811"/>
    <n v="7.4294183587977534"/>
    <n v="28.571428571428573"/>
    <n v="17.787473515076343"/>
    <n v="317.89793598454293"/>
    <n v="31.742161734834749"/>
    <n v="17.737280554181197"/>
    <n v="0.59942435061406085"/>
    <n v="0.56463029018136346"/>
    <n v="0.37596023169818293"/>
    <x v="253"/>
    <n v="6.2913274155301388E-2"/>
    <n v="31.742161734834749"/>
    <x v="253"/>
    <x v="253"/>
    <x v="1"/>
    <n v="1000"/>
    <s v=""/>
    <s v=""/>
    <s v=""/>
    <s v=""/>
    <s v=""/>
    <s v=""/>
    <n v="1000"/>
    <n v="-665.37707311977579"/>
  </r>
  <r>
    <x v="2"/>
    <n v="37"/>
    <n v="9"/>
    <x v="8"/>
    <x v="2"/>
    <n v="4.5377060429834248"/>
    <n v="133.70358416042913"/>
    <x v="254"/>
    <n v="0.50523502065250803"/>
    <n v="306.52990752278663"/>
    <n v="300.17765429053554"/>
    <n v="45.663203092804018"/>
    <n v="17.769643591666032"/>
    <n v="12.987012987012987"/>
    <n v="34.605445738966381"/>
    <n v="424.69529326932548"/>
    <n v="93.592508912300374"/>
    <n v="30.882365004332058"/>
    <n v="0.48789378149475743"/>
    <n v="0.146935185901303"/>
    <n v="0.72176431521786877"/>
    <x v="254"/>
    <n v="2.1405721313572421E-2"/>
    <n v="93.592508912300374"/>
    <x v="254"/>
    <x v="254"/>
    <x v="1"/>
    <s v=""/>
    <s v=""/>
    <s v=""/>
    <s v=""/>
    <n v="480"/>
    <s v=""/>
    <s v=""/>
    <n v="480"/>
    <n v="-179.82234570946446"/>
  </r>
  <r>
    <x v="3"/>
    <n v="37"/>
    <n v="9"/>
    <x v="8"/>
    <x v="2"/>
    <n v="1.2301846212962171"/>
    <n v="69.09762408567542"/>
    <x v="255"/>
    <n v="0.42816207174340393"/>
    <n v="36.394989731419187"/>
    <n v="48.607844786885792"/>
    <n v="38.248181802657918"/>
    <n v="13.174312897335799"/>
    <n v="12.987012987012987"/>
    <n v="30.124447661446695"/>
    <n v="59.501984162813478"/>
    <n v="48.368336859972786"/>
    <n v="40.736933145684986"/>
    <n v="0.79076900893630264"/>
    <n v="3.0198263008577097E-2"/>
    <n v="0.61166010249057712"/>
    <x v="255"/>
    <n v="0.15278329317613865"/>
    <n v="48.368336859972786"/>
    <x v="255"/>
    <x v="255"/>
    <x v="1"/>
    <s v=""/>
    <s v=""/>
    <s v=""/>
    <s v=""/>
    <s v=""/>
    <s v=""/>
    <s v=""/>
    <n v="0"/>
    <n v="48.607844786885792"/>
  </r>
  <r>
    <x v="4"/>
    <n v="37"/>
    <n v="9"/>
    <x v="8"/>
    <x v="2"/>
    <n v="7.1115461990086475"/>
    <n v="36.322920033005225"/>
    <x v="256"/>
    <n v="0.49644807946457636"/>
    <n v="128.23855781138587"/>
    <n v="130.07356608622752"/>
    <n v="31.169591452423237"/>
    <n v="16.30918697416444"/>
    <n v="12.987012987012987"/>
    <n v="28.878737010597039"/>
    <n v="180.81848672832936"/>
    <n v="25.426044023103657"/>
    <n v="30.299347458194234"/>
    <n v="1.2258922946920348"/>
    <n v="0.23470954972944089"/>
    <n v="0.70921154209225201"/>
    <x v="256"/>
    <n v="5.0276436084589746E-2"/>
    <n v="25.426044023103657"/>
    <x v="256"/>
    <x v="256"/>
    <x v="1"/>
    <s v=""/>
    <s v=""/>
    <s v=""/>
    <s v=""/>
    <s v=""/>
    <s v=""/>
    <s v=""/>
    <n v="0"/>
    <n v="130.07356608622752"/>
  </r>
  <r>
    <x v="5"/>
    <n v="37"/>
    <n v="9"/>
    <x v="8"/>
    <x v="2"/>
    <n v="14.472650092857414"/>
    <n v="90.998260864252813"/>
    <x v="257"/>
    <n v="0.76466966358126831"/>
    <n v="1007.0592328033956"/>
    <n v="309.92675574349596"/>
    <n v="40.907929483211191"/>
    <n v="23.307938480501974"/>
    <n v="12.987012987012987"/>
    <n v="35.032682973884711"/>
    <n v="921.89019198282404"/>
    <n v="63.698782604976962"/>
    <n v="36.61251734610353"/>
    <n v="0.64220896868466903"/>
    <n v="0.39529240658448356"/>
    <n v="1.0923852336875262"/>
    <x v="257"/>
    <n v="9.8611626091347597E-3"/>
    <n v="63.698782604976962"/>
    <x v="257"/>
    <x v="257"/>
    <x v="1"/>
    <s v=""/>
    <n v="300"/>
    <s v=""/>
    <s v=""/>
    <s v=""/>
    <s v=""/>
    <s v=""/>
    <n v="300"/>
    <n v="9.9267557434959599"/>
  </r>
  <r>
    <x v="6"/>
    <n v="37"/>
    <n v="9"/>
    <x v="8"/>
    <x v="2"/>
    <n v="13.194071679123983"/>
    <n v="31.161838168315221"/>
    <x v="258"/>
    <n v="0.45745683920824937"/>
    <n v="188.08407772363987"/>
    <n v="223.06744872237275"/>
    <n v="38.32948727508095"/>
    <n v="5.7491166397810254"/>
    <n v="12.987012987012987"/>
    <n v="37.953801114125923"/>
    <n v="287.80606851220881"/>
    <n v="21.813286717820652"/>
    <n v="38.590076114166024"/>
    <n v="1.7571624015635925"/>
    <n v="0.34190323025252012"/>
    <n v="0.65350977029749913"/>
    <x v="258"/>
    <n v="3.1586926356014108E-2"/>
    <n v="21.813286717820652"/>
    <x v="258"/>
    <x v="258"/>
    <x v="1"/>
    <s v=""/>
    <s v=""/>
    <s v=""/>
    <s v=""/>
    <s v=""/>
    <s v=""/>
    <s v=""/>
    <n v="0"/>
    <n v="223.06744872237275"/>
  </r>
  <r>
    <x v="0"/>
    <n v="37"/>
    <n v="9"/>
    <x v="8"/>
    <x v="2"/>
    <n v="25.615950892500479"/>
    <n v="57.89273973891423"/>
    <x v="259"/>
    <n v="0.76892469886394088"/>
    <n v="1140.2980877273685"/>
    <n v="342.67949045696946"/>
    <n v="41.400538953282016"/>
    <n v="6.0230076725670223"/>
    <n v="12.987012987012987"/>
    <n v="38.351233009201842"/>
    <n v="1038.0843047290366"/>
    <n v="40.524917817239967"/>
    <n v="26.621761903291695"/>
    <n v="1.0216069811662776"/>
    <n v="0.96221846568814628"/>
    <n v="1.0984638555199155"/>
    <x v="259"/>
    <n v="8.7573899821961221E-3"/>
    <n v="40.524917817239967"/>
    <x v="259"/>
    <x v="259"/>
    <x v="1"/>
    <s v=""/>
    <s v=""/>
    <s v=""/>
    <s v=""/>
    <s v=""/>
    <s v=""/>
    <s v=""/>
    <n v="0"/>
    <n v="342.67949045696946"/>
  </r>
  <r>
    <x v="1"/>
    <n v="38"/>
    <n v="9"/>
    <x v="8"/>
    <x v="2"/>
    <n v="7.3750648175642244"/>
    <n v="44.798293967093159"/>
    <x v="260"/>
    <n v="0.19149280585271122"/>
    <n v="63.267369733433739"/>
    <n v="267.12295199017467"/>
    <n v="18.907677113878165"/>
    <n v="6.2286905813594737"/>
    <n v="28.571428571428573"/>
    <n v="12.764747417917564"/>
    <n v="231.27322520652586"/>
    <n v="31.358805776965209"/>
    <n v="12.635944057385194"/>
    <n v="0.60294633821058674"/>
    <n v="0.58365760279334256"/>
    <n v="0.27356115121815888"/>
    <x v="260"/>
    <n v="8.6477801233325199E-2"/>
    <n v="31.358805776965209"/>
    <x v="260"/>
    <x v="260"/>
    <x v="1"/>
    <n v="1000"/>
    <s v=""/>
    <s v=""/>
    <s v=""/>
    <s v=""/>
    <s v=""/>
    <s v=""/>
    <n v="1000"/>
    <n v="-732.87704800982533"/>
  </r>
  <r>
    <x v="2"/>
    <n v="38"/>
    <n v="9"/>
    <x v="8"/>
    <x v="2"/>
    <n v="15.517459944893746"/>
    <n v="80.853444310039606"/>
    <x v="261"/>
    <n v="0.60194685860296837"/>
    <n v="755.22665693280908"/>
    <n v="499.4134265549277"/>
    <n v="37.070613171796708"/>
    <n v="7.7752941974805383"/>
    <n v="12.987012987012987"/>
    <n v="33.470163825516522"/>
    <n v="878.24805844141565"/>
    <n v="56.597411017027717"/>
    <n v="27.201199744572911"/>
    <n v="0.65498779017725317"/>
    <n v="0.57046968849194735"/>
    <n v="0.85992408371852624"/>
    <x v="261"/>
    <n v="1.0351186095466338E-2"/>
    <n v="56.597411017027717"/>
    <x v="261"/>
    <x v="261"/>
    <x v="1"/>
    <s v=""/>
    <s v=""/>
    <s v=""/>
    <s v=""/>
    <s v=""/>
    <s v=""/>
    <s v=""/>
    <n v="0"/>
    <n v="499.4134265549277"/>
  </r>
  <r>
    <x v="3"/>
    <n v="38"/>
    <n v="9"/>
    <x v="8"/>
    <x v="2"/>
    <n v="7.5483984233942163"/>
    <n v="36.220927620409775"/>
    <x v="262"/>
    <n v="0.718082218342594"/>
    <n v="196.33085425010049"/>
    <n v="77.079138693676697"/>
    <n v="29.557065993223699"/>
    <n v="14.686957446737686"/>
    <n v="12.987012987012987"/>
    <n v="31.849324279734695"/>
    <n v="191.38699506064401"/>
    <n v="25.35464933428684"/>
    <n v="34.862180991859837"/>
    <n v="1.1657454064353385"/>
    <n v="0.21652111854839873"/>
    <n v="1.0258317404894202"/>
    <x v="262"/>
    <n v="4.7500140163800005E-2"/>
    <n v="25.35464933428684"/>
    <x v="262"/>
    <x v="262"/>
    <x v="1"/>
    <s v=""/>
    <s v=""/>
    <s v=""/>
    <n v="100"/>
    <s v=""/>
    <s v=""/>
    <s v=""/>
    <n v="100"/>
    <n v="-22.920861306323303"/>
  </r>
  <r>
    <x v="4"/>
    <n v="38"/>
    <n v="9"/>
    <x v="8"/>
    <x v="2"/>
    <n v="10.439374881440926"/>
    <n v="34.645184657937982"/>
    <x v="263"/>
    <n v="0.66037626221219159"/>
    <n v="238.84097080328533"/>
    <n v="122.83309967767499"/>
    <n v="28.839684700337401"/>
    <n v="11.94518937237167"/>
    <n v="12.987012987012987"/>
    <n v="40.720794145766817"/>
    <n v="253.17184933667221"/>
    <n v="24.251629260556587"/>
    <n v="40.414660768322854"/>
    <n v="1.1891854518509786"/>
    <n v="0.25830663138024762"/>
    <n v="0.94339466030313091"/>
    <x v="263"/>
    <n v="3.5908056581835233E-2"/>
    <n v="24.251629260556587"/>
    <x v="263"/>
    <x v="263"/>
    <x v="1"/>
    <s v=""/>
    <s v=""/>
    <s v=""/>
    <s v=""/>
    <s v=""/>
    <s v=""/>
    <s v=""/>
    <n v="0"/>
    <n v="122.83309967767499"/>
  </r>
  <r>
    <x v="5"/>
    <n v="38"/>
    <n v="9"/>
    <x v="8"/>
    <x v="2"/>
    <n v="11.402937443698178"/>
    <n v="64.646626586572879"/>
    <x v="264"/>
    <n v="0.50690592477528662"/>
    <n v="373.67150090077689"/>
    <n v="363.48993801202914"/>
    <n v="29.989457445150212"/>
    <n v="13.224401339115218"/>
    <n v="12.987012987012987"/>
    <n v="26.857989951812545"/>
    <n v="516.01300723896418"/>
    <n v="45.252638610601011"/>
    <n v="33.506875512848147"/>
    <n v="0.66271179683486559"/>
    <n v="0.34031634609815359"/>
    <n v="0.72415132110755231"/>
    <x v="264"/>
    <n v="1.7617596772515301E-2"/>
    <n v="45.252638610601011"/>
    <x v="264"/>
    <x v="264"/>
    <x v="1"/>
    <s v=""/>
    <s v=""/>
    <s v=""/>
    <s v=""/>
    <s v=""/>
    <s v=""/>
    <s v=""/>
    <n v="0"/>
    <n v="363.48993801202914"/>
  </r>
  <r>
    <x v="6"/>
    <n v="38"/>
    <n v="9"/>
    <x v="8"/>
    <x v="2"/>
    <n v="28.775035494762854"/>
    <n v="50.668370080441548"/>
    <x v="265"/>
    <n v="0.85968229029045395"/>
    <n v="1253.4031511527444"/>
    <n v="204.5809963737413"/>
    <n v="39.902658893420352"/>
    <n v="17.734068974601964"/>
    <n v="12.987012987012987"/>
    <n v="34.017404994013688"/>
    <n v="1020.5889032685399"/>
    <n v="35.467859056309081"/>
    <n v="34.272576017729605"/>
    <n v="1.1250371450408254"/>
    <n v="0.8395936004307698"/>
    <n v="1.2281175575577916"/>
    <x v="265"/>
    <n v="8.9075131640120007E-3"/>
    <n v="35.467859056309081"/>
    <x v="265"/>
    <x v="265"/>
    <x v="1"/>
    <s v=""/>
    <s v=""/>
    <s v=""/>
    <s v=""/>
    <s v=""/>
    <s v=""/>
    <s v=""/>
    <n v="0"/>
    <n v="204.5809963737413"/>
  </r>
  <r>
    <x v="0"/>
    <n v="38"/>
    <n v="9"/>
    <x v="8"/>
    <x v="2"/>
    <n v="9.0275980199937536"/>
    <n v="32.424570477704677"/>
    <x v="266"/>
    <n v="0.59623869395001861"/>
    <n v="174.52859852869756"/>
    <n v="118.18738971497709"/>
    <n v="28.819168149104065"/>
    <n v="11.014273828806569"/>
    <n v="12.987012987012987"/>
    <n v="37.775133039709317"/>
    <n v="204.90119177057224"/>
    <n v="22.697199334393272"/>
    <n v="40.086359575792464"/>
    <n v="1.2697235339266779"/>
    <n v="0.2252037380177915"/>
    <n v="0.8517695627857409"/>
    <x v="266"/>
    <n v="4.4367282651475139E-2"/>
    <n v="22.697199334393272"/>
    <x v="266"/>
    <x v="266"/>
    <x v="1"/>
    <s v=""/>
    <s v=""/>
    <s v=""/>
    <s v=""/>
    <s v=""/>
    <s v=""/>
    <s v=""/>
    <n v="0"/>
    <n v="118.18738971497709"/>
  </r>
  <r>
    <x v="1"/>
    <n v="39"/>
    <n v="9"/>
    <x v="8"/>
    <x v="2"/>
    <n v="2.5619692149372537"/>
    <n v="15.589600571331811"/>
    <x v="267"/>
    <n v="0.28813804095547635"/>
    <n v="11.508255466587617"/>
    <n v="28.431821270332708"/>
    <n v="22.348574912253486"/>
    <n v="3.1389309648440715"/>
    <n v="28.571428571428573"/>
    <n v="16.439653390782027"/>
    <n v="27.958053715844226"/>
    <n v="10.912720399932269"/>
    <n v="18.472181068904728"/>
    <n v="2.0479380111665093"/>
    <n v="0.13869337927019143"/>
    <n v="0.41162577279353768"/>
    <x v="267"/>
    <n v="0.71535737799465338"/>
    <n v="10.912720399932269"/>
    <x v="267"/>
    <x v="267"/>
    <x v="1"/>
    <n v="1000"/>
    <s v=""/>
    <s v=""/>
    <s v=""/>
    <s v=""/>
    <n v="83"/>
    <s v=""/>
    <n v="1083"/>
    <n v="-1054.5681787296674"/>
  </r>
  <r>
    <x v="2"/>
    <n v="39"/>
    <n v="9"/>
    <x v="8"/>
    <x v="2"/>
    <n v="1.643906908402001"/>
    <n v="42.536733220306523"/>
    <x v="268"/>
    <n v="0.27762959198846454"/>
    <n v="19.413646119534164"/>
    <n v="50.512783482180623"/>
    <n v="42.441261045627655"/>
    <n v="9.1314635374850592"/>
    <n v="12.987012987012987"/>
    <n v="33.526087664837924"/>
    <n v="48.948500721200347"/>
    <n v="29.775713254214562"/>
    <n v="29.487851680300221"/>
    <n v="1.4253650511502143"/>
    <n v="5.5748615607024245E-2"/>
    <n v="0.39661370284066361"/>
    <x v="268"/>
    <n v="0.18572395388959642"/>
    <n v="29.775713254214562"/>
    <x v="268"/>
    <x v="268"/>
    <x v="1"/>
    <s v=""/>
    <s v=""/>
    <s v=""/>
    <s v=""/>
    <s v=""/>
    <s v=""/>
    <s v=""/>
    <n v="0"/>
    <n v="50.512783482180623"/>
  </r>
  <r>
    <x v="3"/>
    <n v="39"/>
    <n v="9"/>
    <x v="8"/>
    <x v="2"/>
    <n v="23.061786643204861"/>
    <n v="63.572803953301069"/>
    <x v="269"/>
    <n v="0.75552943524840555"/>
    <n v="1107.6835493264782"/>
    <n v="358.41889175484152"/>
    <n v="49.255763988114204"/>
    <n v="17.721045274142821"/>
    <n v="12.987012987012987"/>
    <n v="26.404376806861968"/>
    <n v="1026.2717087569238"/>
    <n v="44.500962767310746"/>
    <n v="30.08050881315604"/>
    <n v="1.1068471539743003"/>
    <n v="0.76666876835269937"/>
    <n v="1.0793277646405794"/>
    <x v="269"/>
    <n v="8.8581893209552613E-3"/>
    <n v="44.500962767310746"/>
    <x v="269"/>
    <x v="269"/>
    <x v="1"/>
    <s v=""/>
    <s v=""/>
    <s v=""/>
    <s v=""/>
    <s v=""/>
    <s v=""/>
    <s v=""/>
    <n v="0"/>
    <n v="358.41889175484152"/>
  </r>
  <r>
    <x v="4"/>
    <n v="39"/>
    <n v="9"/>
    <x v="8"/>
    <x v="2"/>
    <n v="22.171831805741277"/>
    <n v="66.791617907511608"/>
    <x v="270"/>
    <n v="0.50715118673757154"/>
    <n v="751.03639807582567"/>
    <n v="729.85612020285885"/>
    <n v="35.563121251085867"/>
    <n v="14.683779033470909"/>
    <n v="12.987012987012987"/>
    <n v="39.494092467102789"/>
    <n v="1036.6247627950791"/>
    <n v="46.754132535258123"/>
    <n v="26.888454696069346"/>
    <n v="0.76064123795403726"/>
    <n v="0.82458557237141772"/>
    <n v="0.72450169533938791"/>
    <x v="270"/>
    <n v="8.7697201699070242E-3"/>
    <n v="46.754132535258123"/>
    <x v="270"/>
    <x v="270"/>
    <x v="1"/>
    <s v=""/>
    <s v=""/>
    <s v=""/>
    <s v=""/>
    <s v=""/>
    <s v=""/>
    <s v=""/>
    <n v="0"/>
    <n v="729.85612020285885"/>
  </r>
  <r>
    <x v="5"/>
    <n v="39"/>
    <n v="9"/>
    <x v="8"/>
    <x v="2"/>
    <n v="26.097562255478529"/>
    <n v="59.356186629295941"/>
    <x v="271"/>
    <n v="0.50401449234396356"/>
    <n v="780.74454439730232"/>
    <n v="768.30723140855082"/>
    <n v="27.731078091733721"/>
    <n v="17.117319846295032"/>
    <n v="12.987012987012987"/>
    <n v="37.929614325188268"/>
    <n v="1084.3362430640971"/>
    <n v="41.549330640507158"/>
    <n v="33.633445127675238"/>
    <n v="0.66742538722629186"/>
    <n v="0.77594079810766048"/>
    <n v="0.72002070334851942"/>
    <x v="271"/>
    <n v="8.3838469377544456E-3"/>
    <n v="41.549330640507158"/>
    <x v="271"/>
    <x v="271"/>
    <x v="1"/>
    <s v=""/>
    <s v=""/>
    <s v=""/>
    <s v=""/>
    <s v=""/>
    <s v=""/>
    <s v=""/>
    <n v="0"/>
    <n v="768.30723140855082"/>
  </r>
  <r>
    <x v="6"/>
    <n v="39"/>
    <n v="9"/>
    <x v="8"/>
    <x v="2"/>
    <n v="24.438487669449437"/>
    <n v="75.284985985624829"/>
    <x v="272"/>
    <n v="0.60252266708608904"/>
    <n v="1108.5520530924607"/>
    <n v="731.29914861190537"/>
    <n v="57.38020531250875"/>
    <n v="15.877413136078212"/>
    <n v="12.987012987012987"/>
    <n v="34.869880516922294"/>
    <n v="1287.8958411930562"/>
    <n v="52.699490189937379"/>
    <n v="31.207175706562648"/>
    <n v="1.0888189829863881"/>
    <n v="0.78310475447190808"/>
    <n v="0.86074666726584159"/>
    <x v="272"/>
    <n v="7.0587300619649714E-3"/>
    <n v="52.699490189937379"/>
    <x v="272"/>
    <x v="272"/>
    <x v="1"/>
    <s v=""/>
    <s v=""/>
    <s v=""/>
    <s v=""/>
    <s v=""/>
    <s v=""/>
    <s v=""/>
    <n v="0"/>
    <n v="731.29914861190537"/>
  </r>
  <r>
    <x v="0"/>
    <n v="39"/>
    <n v="10"/>
    <x v="9"/>
    <x v="3"/>
    <n v="20.187420411645714"/>
    <n v="100.03146751370534"/>
    <x v="273"/>
    <n v="0.53356174506473075"/>
    <n v="1077.462470312573"/>
    <n v="941.91481878047716"/>
    <n v="42.359685910835786"/>
    <n v="18.08148098450938"/>
    <n v="12.987012987012987"/>
    <n v="29.911660942882786"/>
    <n v="1413.5641023651351"/>
    <n v="70.022027259593727"/>
    <n v="36.964830662688946"/>
    <n v="0.60494800805745141"/>
    <n v="0.54612506130109817"/>
    <n v="0.76223106437818677"/>
    <x v="273"/>
    <n v="6.4311969126114909E-3"/>
    <n v="70.022027259593727"/>
    <x v="273"/>
    <x v="273"/>
    <x v="0"/>
    <s v=""/>
    <s v=""/>
    <s v=""/>
    <s v=""/>
    <s v=""/>
    <s v=""/>
    <s v=""/>
    <n v="3000"/>
    <n v="-2058.0851812195228"/>
  </r>
  <r>
    <x v="1"/>
    <n v="40"/>
    <n v="10"/>
    <x v="9"/>
    <x v="3"/>
    <n v="5.1113973605569711"/>
    <n v="8.6745226090677363"/>
    <x v="274"/>
    <n v="0.28479634421455341"/>
    <n v="12.627565730887149"/>
    <n v="31.711366237193452"/>
    <n v="14.355430737484147"/>
    <n v="7.8798364285797549"/>
    <n v="28.571428571428573"/>
    <n v="16.634006944765741"/>
    <n v="31.037252377656419"/>
    <n v="6.0721658263474154"/>
    <n v="15.667904446510217"/>
    <n v="2.3641368085165348"/>
    <n v="0.32623363117940485"/>
    <n v="0.40685192030650491"/>
    <x v="274"/>
    <n v="0.64438693724055007"/>
    <n v="6.0721658263474154"/>
    <x v="274"/>
    <x v="274"/>
    <x v="1"/>
    <n v="1000"/>
    <s v=""/>
    <s v=""/>
    <s v=""/>
    <s v=""/>
    <s v=""/>
    <s v=""/>
    <n v="1000"/>
    <n v="-968.28863376280651"/>
  </r>
  <r>
    <x v="2"/>
    <n v="40"/>
    <n v="10"/>
    <x v="9"/>
    <x v="3"/>
    <n v="13.955314017811398"/>
    <n v="69.33722967555444"/>
    <x v="275"/>
    <n v="0.47968749996631865"/>
    <n v="464.15656819705652"/>
    <n v="503.46624505041683"/>
    <n v="37.595833979584221"/>
    <n v="8.5711262306154268"/>
    <n v="12.987012987012987"/>
    <n v="43.534767788284078"/>
    <n v="677.33596927323129"/>
    <n v="48.536060772888106"/>
    <n v="30.747146219783012"/>
    <n v="0.77459590623771801"/>
    <n v="0.45387347229098007"/>
    <n v="0.68526785709474092"/>
    <x v="275"/>
    <n v="1.3421565520377522E-2"/>
    <n v="48.536060772888106"/>
    <x v="275"/>
    <x v="275"/>
    <x v="1"/>
    <s v=""/>
    <s v=""/>
    <s v=""/>
    <s v=""/>
    <s v=""/>
    <s v=""/>
    <s v=""/>
    <n v="0"/>
    <n v="503.46624505041683"/>
  </r>
  <r>
    <x v="3"/>
    <n v="40"/>
    <n v="10"/>
    <x v="9"/>
    <x v="3"/>
    <n v="6.957773417567136"/>
    <n v="27.321101470874595"/>
    <x v="276"/>
    <n v="0.49072420050857396"/>
    <n v="93.283742636601502"/>
    <n v="96.810290916104137"/>
    <n v="41.795451029286255"/>
    <n v="13.65715537857287"/>
    <n v="12.987012987012987"/>
    <n v="43.731360407617402"/>
    <n v="133.06582348689395"/>
    <n v="19.124771029612216"/>
    <n v="35.306680080747029"/>
    <n v="2.1854092247468713"/>
    <n v="0.19706677041439694"/>
    <n v="0.70103457215510556"/>
    <x v="276"/>
    <n v="6.8318887996093772E-2"/>
    <n v="19.124771029612216"/>
    <x v="276"/>
    <x v="276"/>
    <x v="1"/>
    <s v=""/>
    <s v=""/>
    <s v=""/>
    <s v=""/>
    <s v=""/>
    <s v=""/>
    <s v=""/>
    <n v="0"/>
    <n v="96.810290916104137"/>
  </r>
  <r>
    <x v="4"/>
    <n v="40"/>
    <n v="10"/>
    <x v="9"/>
    <x v="3"/>
    <n v="15.329344088434178"/>
    <n v="69.548842543177983"/>
    <x v="277"/>
    <n v="0.62836629938781985"/>
    <n v="669.9252765977202"/>
    <n v="396.21286169898474"/>
    <n v="41.842220540901309"/>
    <n v="15.405999996847992"/>
    <n v="12.987012987012987"/>
    <n v="37.879189393556082"/>
    <n v="746.29669680769337"/>
    <n v="48.684189780224585"/>
    <n v="35.622562532196746"/>
    <n v="0.85946219357434039"/>
    <n v="0.43032682094610836"/>
    <n v="0.89766614198259997"/>
    <x v="277"/>
    <n v="1.2181360482762053E-2"/>
    <n v="48.684189780224585"/>
    <x v="277"/>
    <x v="277"/>
    <x v="1"/>
    <s v=""/>
    <s v=""/>
    <s v=""/>
    <s v=""/>
    <s v=""/>
    <s v=""/>
    <n v="1000"/>
    <n v="1000"/>
    <n v="-603.78713830101526"/>
  </r>
  <r>
    <x v="5"/>
    <n v="40"/>
    <n v="10"/>
    <x v="9"/>
    <x v="3"/>
    <n v="16.052381473462148"/>
    <n v="41.643951038423971"/>
    <x v="278"/>
    <n v="0.56263845405265789"/>
    <n v="376.11513522403203"/>
    <n v="292.36945290692967"/>
    <n v="39.36729852234977"/>
    <n v="13.293259293848806"/>
    <n v="12.987012987012987"/>
    <n v="42.493817761730526"/>
    <n v="467.93921169167317"/>
    <n v="29.150765726896775"/>
    <n v="31.817519523694834"/>
    <n v="1.3504721931206913"/>
    <n v="0.50451391917926769"/>
    <n v="0.80376922007522555"/>
    <x v="278"/>
    <n v="1.9427542859774535E-2"/>
    <n v="29.150765726896775"/>
    <x v="278"/>
    <x v="278"/>
    <x v="1"/>
    <s v=""/>
    <s v=""/>
    <s v=""/>
    <s v=""/>
    <s v=""/>
    <s v=""/>
    <s v=""/>
    <n v="0"/>
    <n v="292.36945290692967"/>
  </r>
  <r>
    <x v="6"/>
    <n v="40"/>
    <n v="10"/>
    <x v="9"/>
    <x v="3"/>
    <n v="16.899203747504032"/>
    <n v="88.364187470534503"/>
    <x v="279"/>
    <n v="0.80420856982076616"/>
    <n v="1200.9121181312926"/>
    <n v="292.37228991591292"/>
    <n v="41.530239663694928"/>
    <n v="11.358676180235387"/>
    <n v="12.987012987012987"/>
    <n v="35.622054665187662"/>
    <n v="1045.2990856330439"/>
    <n v="61.854931229374152"/>
    <n v="30.552696445060292"/>
    <n v="0.67141356134873087"/>
    <n v="0.55311660553077846"/>
    <n v="1.1488693854582375"/>
    <x v="279"/>
    <n v="8.6969454157740343E-3"/>
    <n v="61.854931229374152"/>
    <x v="279"/>
    <x v="279"/>
    <x v="1"/>
    <s v=""/>
    <s v=""/>
    <s v=""/>
    <s v=""/>
    <s v=""/>
    <s v=""/>
    <s v=""/>
    <n v="0"/>
    <n v="292.37228991591292"/>
  </r>
  <r>
    <x v="0"/>
    <n v="40"/>
    <n v="10"/>
    <x v="9"/>
    <x v="3"/>
    <n v="15.129784898696691"/>
    <n v="40.13515993008258"/>
    <x v="280"/>
    <n v="0.71567615226118408"/>
    <n v="434.58456490318878"/>
    <n v="172.6517717137512"/>
    <n v="27.255178555790277"/>
    <n v="11.759602766042256"/>
    <n v="12.987012987012987"/>
    <n v="33.287168313498285"/>
    <n v="425.06543563185795"/>
    <n v="28.094611951057804"/>
    <n v="39.3211852355427"/>
    <n v="0.97012119630874916"/>
    <n v="0.38477438581939721"/>
    <n v="1.022394503230263"/>
    <x v="280"/>
    <n v="2.1387081444049886E-2"/>
    <n v="28.094611951057804"/>
    <x v="280"/>
    <x v="280"/>
    <x v="1"/>
    <s v=""/>
    <s v=""/>
    <s v=""/>
    <s v=""/>
    <s v=""/>
    <s v=""/>
    <s v=""/>
    <n v="0"/>
    <n v="172.6517717137512"/>
  </r>
  <r>
    <x v="1"/>
    <n v="41"/>
    <n v="10"/>
    <x v="9"/>
    <x v="3"/>
    <n v="6.5107204808721217"/>
    <n v="49.541327171795643"/>
    <x v="281"/>
    <n v="0.24535822527792725"/>
    <n v="79.140230167330699"/>
    <n v="243.40950329966574"/>
    <n v="21.68554746225643"/>
    <n v="6.706505952643484"/>
    <n v="28.571428571428573"/>
    <n v="16.568699167749472"/>
    <n v="225.78481342689747"/>
    <n v="34.678929020256945"/>
    <n v="15.636043671622984"/>
    <n v="0.62532344783742566"/>
    <n v="0.41639180713520768"/>
    <n v="0.35051175039703897"/>
    <x v="281"/>
    <n v="8.8579916852890614E-2"/>
    <n v="34.678929020256945"/>
    <x v="281"/>
    <x v="281"/>
    <x v="1"/>
    <n v="1000"/>
    <s v=""/>
    <s v=""/>
    <s v=""/>
    <s v=""/>
    <s v=""/>
    <s v=""/>
    <n v="1000"/>
    <n v="-756.59049670033426"/>
  </r>
  <r>
    <x v="2"/>
    <n v="41"/>
    <n v="10"/>
    <x v="9"/>
    <x v="3"/>
    <n v="11.338720315322254"/>
    <n v="30.686181773142518"/>
    <x v="282"/>
    <n v="0.29773918841755181"/>
    <n v="103.59597842375804"/>
    <n v="244.34605424704449"/>
    <n v="35.02602560192468"/>
    <n v="17.417912970693738"/>
    <n v="12.987012987012987"/>
    <n v="35.897620713431245"/>
    <n v="243.55942286956176"/>
    <n v="21.48032724119976"/>
    <n v="40.671252630527732"/>
    <n v="1.6306094971748828"/>
    <n v="0.2787895523732023"/>
    <n v="0.42534169773935976"/>
    <x v="282"/>
    <n v="3.7325220202125899E-2"/>
    <n v="21.48032724119976"/>
    <x v="282"/>
    <x v="282"/>
    <x v="1"/>
    <s v=""/>
    <s v=""/>
    <n v="300"/>
    <s v=""/>
    <s v=""/>
    <s v=""/>
    <s v=""/>
    <n v="300"/>
    <n v="-55.653945752955508"/>
  </r>
  <r>
    <x v="3"/>
    <n v="41"/>
    <n v="10"/>
    <x v="9"/>
    <x v="3"/>
    <n v="7.8303941063692175"/>
    <n v="74.964916367001891"/>
    <x v="283"/>
    <n v="0.33936661307455201"/>
    <n v="199.20984417318493"/>
    <n v="387.79499513144799"/>
    <n v="20.798108774634983"/>
    <n v="11.38345001762049"/>
    <n v="12.987012987012987"/>
    <n v="30.109681588500568"/>
    <n v="410.90338751324305"/>
    <n v="52.475441456901329"/>
    <n v="34.614226211746924"/>
    <n v="0.39633985340965078"/>
    <n v="0.22621895571110126"/>
    <n v="0.48480944724935998"/>
    <x v="283"/>
    <n v="2.2124200888015554E-2"/>
    <n v="52.475441456901329"/>
    <x v="283"/>
    <x v="283"/>
    <x v="1"/>
    <s v=""/>
    <s v=""/>
    <s v=""/>
    <s v=""/>
    <s v=""/>
    <s v=""/>
    <s v=""/>
    <n v="0"/>
    <n v="387.79499513144799"/>
  </r>
  <r>
    <x v="4"/>
    <n v="41"/>
    <n v="10"/>
    <x v="9"/>
    <x v="3"/>
    <n v="14.798533247797311"/>
    <n v="26.14822051770917"/>
    <x v="284"/>
    <n v="0.36552713856983654"/>
    <n v="141.44266747532419"/>
    <n v="245.51264322673075"/>
    <n v="45.460760679105682"/>
    <n v="9.3896848693837001"/>
    <n v="12.987012987012987"/>
    <n v="41.771071407866323"/>
    <n v="270.86871749143842"/>
    <n v="18.303754362396415"/>
    <n v="41.610264721719034"/>
    <n v="2.483685028711986"/>
    <n v="0.35564621726794782"/>
    <n v="0.52218162652833799"/>
    <x v="284"/>
    <n v="3.3562048711647308E-2"/>
    <n v="18.303754362396415"/>
    <x v="284"/>
    <x v="284"/>
    <x v="1"/>
    <s v=""/>
    <s v=""/>
    <s v=""/>
    <s v=""/>
    <n v="480"/>
    <s v=""/>
    <s v=""/>
    <n v="480"/>
    <n v="-234.48735677326925"/>
  </r>
  <r>
    <x v="5"/>
    <n v="41"/>
    <n v="10"/>
    <x v="9"/>
    <x v="3"/>
    <n v="17.729508839570428"/>
    <n v="62.128415904236334"/>
    <x v="285"/>
    <n v="0.52569031326230309"/>
    <n v="579.05119136208396"/>
    <n v="522.4551076005821"/>
    <n v="46.863360758642543"/>
    <n v="12.297922559678197"/>
    <n v="12.987012987012987"/>
    <n v="29.674214744710696"/>
    <n v="771.05440927386621"/>
    <n v="43.489891132965433"/>
    <n v="40.531387139332388"/>
    <n v="1.0775690519749315"/>
    <n v="0.43742664860254421"/>
    <n v="0.75098616180329014"/>
    <x v="285"/>
    <n v="1.1790230341164089E-2"/>
    <n v="43.489891132965433"/>
    <x v="285"/>
    <x v="285"/>
    <x v="1"/>
    <s v=""/>
    <s v=""/>
    <s v=""/>
    <s v=""/>
    <s v=""/>
    <s v=""/>
    <s v=""/>
    <n v="0"/>
    <n v="522.4551076005821"/>
  </r>
  <r>
    <x v="6"/>
    <n v="41"/>
    <n v="10"/>
    <x v="9"/>
    <x v="3"/>
    <n v="19.593917627338264"/>
    <n v="57.729396003111042"/>
    <x v="286"/>
    <n v="0.39664363802532993"/>
    <n v="448.66147981798144"/>
    <n v="682.48355014296703"/>
    <n v="31.719295290964464"/>
    <n v="7.3635581984895486"/>
    <n v="12.987012987012987"/>
    <n v="39.502636855951486"/>
    <n v="791.80152097266387"/>
    <n v="40.41057720217772"/>
    <n v="30.653517625052874"/>
    <n v="0.78492556867648788"/>
    <n v="0.6392061709526059"/>
    <n v="0.56663376860761427"/>
    <x v="286"/>
    <n v="1.1481297838051191E-2"/>
    <n v="40.41057720217772"/>
    <x v="286"/>
    <x v="286"/>
    <x v="1"/>
    <s v=""/>
    <s v=""/>
    <s v=""/>
    <s v=""/>
    <s v=""/>
    <s v=""/>
    <s v=""/>
    <n v="0"/>
    <n v="682.48355014296703"/>
  </r>
  <r>
    <x v="0"/>
    <n v="41"/>
    <n v="10"/>
    <x v="9"/>
    <x v="3"/>
    <n v="9.3761075394735496"/>
    <n v="74.539735853544599"/>
    <x v="287"/>
    <n v="0.50744801101286841"/>
    <n v="354.65164929103111"/>
    <n v="344.2409300357553"/>
    <n v="41.767513510576002"/>
    <n v="14.453448928981107"/>
    <n v="12.987012987012987"/>
    <n v="31.128830821750888"/>
    <n v="489.22480552875044"/>
    <n v="52.177815097481215"/>
    <n v="34.860699598544215"/>
    <n v="0.8004841412493765"/>
    <n v="0.2689592477330861"/>
    <n v="0.72492573001838345"/>
    <x v="287"/>
    <n v="1.8582273401046592E-2"/>
    <n v="52.177815097481215"/>
    <x v="287"/>
    <x v="287"/>
    <x v="1"/>
    <s v=""/>
    <n v="300"/>
    <s v=""/>
    <s v=""/>
    <s v=""/>
    <s v=""/>
    <s v=""/>
    <n v="300"/>
    <n v="44.240930035755298"/>
  </r>
  <r>
    <x v="1"/>
    <n v="42"/>
    <n v="10"/>
    <x v="9"/>
    <x v="3"/>
    <n v="9.029393527658506"/>
    <n v="22.027968300350786"/>
    <x v="288"/>
    <n v="0.22486655752508852"/>
    <n v="44.725777138938724"/>
    <n v="154.17341725971539"/>
    <n v="22.288153973550795"/>
    <n v="5.5901863984670683"/>
    <n v="28.571428571428573"/>
    <n v="15.539104546037896"/>
    <n v="139.22943607905788"/>
    <n v="15.419577810245549"/>
    <n v="16.37643502506571"/>
    <n v="1.4454451508225741"/>
    <n v="0.55136502626109707"/>
    <n v="0.32123793932155509"/>
    <x v="288"/>
    <n v="0.14364778428495187"/>
    <n v="15.419577810245549"/>
    <x v="288"/>
    <x v="288"/>
    <x v="1"/>
    <n v="1000"/>
    <s v=""/>
    <s v=""/>
    <s v=""/>
    <s v=""/>
    <s v=""/>
    <s v=""/>
    <n v="1000"/>
    <n v="-845.82658274028461"/>
  </r>
  <r>
    <x v="2"/>
    <n v="42"/>
    <n v="10"/>
    <x v="9"/>
    <x v="3"/>
    <n v="10.019553585520057"/>
    <n v="95.667000238394991"/>
    <x v="289"/>
    <n v="0.54855422148460109"/>
    <n v="525.81151193341941"/>
    <n v="432.72912332113935"/>
    <n v="48.830233732785317"/>
    <n v="15.836769120810272"/>
    <n v="12.987012987012987"/>
    <n v="36.561713788381994"/>
    <n v="670.97844467819107"/>
    <n v="66.966900166876485"/>
    <n v="35.280323619921127"/>
    <n v="0.72916968847451569"/>
    <n v="0.28399834688201359"/>
    <n v="0.78364888783514441"/>
    <x v="289"/>
    <n v="1.3548734930328788E-2"/>
    <n v="66.966900166876485"/>
    <x v="289"/>
    <x v="289"/>
    <x v="1"/>
    <s v=""/>
    <s v=""/>
    <s v=""/>
    <s v=""/>
    <s v=""/>
    <s v=""/>
    <s v=""/>
    <n v="0"/>
    <n v="432.72912332113935"/>
  </r>
  <r>
    <x v="3"/>
    <n v="42"/>
    <n v="10"/>
    <x v="9"/>
    <x v="3"/>
    <n v="13.383774524553289"/>
    <n v="37.815658931356587"/>
    <x v="290"/>
    <n v="0.30278136240976722"/>
    <n v="153.24256851045627"/>
    <n v="352.87368412423007"/>
    <n v="38.060607533447211"/>
    <n v="8.752742118524786"/>
    <n v="12.987012987012987"/>
    <n v="29.132322060808217"/>
    <n v="354.28137684428043"/>
    <n v="26.47096125194961"/>
    <n v="34.863612633297478"/>
    <n v="1.4378249120304996"/>
    <n v="0.38388949146855589"/>
    <n v="0.43254480344252461"/>
    <x v="290"/>
    <n v="2.5660138198302408E-2"/>
    <n v="26.47096125194961"/>
    <x v="290"/>
    <x v="290"/>
    <x v="1"/>
    <s v=""/>
    <s v=""/>
    <s v=""/>
    <s v=""/>
    <s v=""/>
    <s v=""/>
    <s v=""/>
    <n v="0"/>
    <n v="352.87368412423007"/>
  </r>
  <r>
    <x v="4"/>
    <n v="42"/>
    <n v="10"/>
    <x v="9"/>
    <x v="3"/>
    <n v="18.909633208032464"/>
    <n v="109.00773316699386"/>
    <x v="291"/>
    <n v="0.32368491888442957"/>
    <n v="667.21050981043027"/>
    <n v="1394.0857412164987"/>
    <n v="37.491569879841187"/>
    <n v="17.701810430059787"/>
    <n v="12.987012987012987"/>
    <n v="36.275004126672215"/>
    <n v="1442.9073757188503"/>
    <n v="76.305413216895701"/>
    <n v="30.031675799317824"/>
    <n v="0.49133565102743887"/>
    <n v="0.62965627807096936"/>
    <n v="0.46240702697775654"/>
    <x v="291"/>
    <n v="6.3004107151230261E-3"/>
    <n v="76.305413216895701"/>
    <x v="291"/>
    <x v="291"/>
    <x v="1"/>
    <s v=""/>
    <s v=""/>
    <s v=""/>
    <s v=""/>
    <s v=""/>
    <s v=""/>
    <s v=""/>
    <n v="0"/>
    <n v="1394.0857412164987"/>
  </r>
  <r>
    <x v="5"/>
    <n v="42"/>
    <n v="10"/>
    <x v="9"/>
    <x v="3"/>
    <n v="24.310270267715396"/>
    <n v="44.558931084729245"/>
    <x v="292"/>
    <n v="0.60268226146912163"/>
    <n v="652.84932650132794"/>
    <n v="430.39033100894483"/>
    <n v="41.079037912420453"/>
    <n v="12.43676245260979"/>
    <n v="12.987012987012987"/>
    <n v="37.31485645394654"/>
    <n v="758.26776025719084"/>
    <n v="31.191251759310472"/>
    <n v="38.884281162387396"/>
    <n v="1.3170051086570616"/>
    <n v="0.62519531134423079"/>
    <n v="0.86097465924160244"/>
    <x v="292"/>
    <n v="1.1989048680937742E-2"/>
    <n v="31.191251759310472"/>
    <x v="292"/>
    <x v="292"/>
    <x v="1"/>
    <s v=""/>
    <s v=""/>
    <s v=""/>
    <n v="100"/>
    <s v=""/>
    <s v=""/>
    <s v=""/>
    <n v="100"/>
    <n v="330.39033100894483"/>
  </r>
  <r>
    <x v="6"/>
    <n v="42"/>
    <n v="10"/>
    <x v="9"/>
    <x v="3"/>
    <n v="19.116212195557438"/>
    <n v="34.867140559958628"/>
    <x v="293"/>
    <n v="0.44371271316502653"/>
    <n v="295.74679535167127"/>
    <n v="370.78086224482524"/>
    <n v="41.831640704917547"/>
    <n v="13.672093447428818"/>
    <n v="12.987012987012987"/>
    <n v="30.377289124739583"/>
    <n v="466.56936031754753"/>
    <n v="24.406998391971037"/>
    <n v="41.569584270801037"/>
    <n v="1.7139199189146728"/>
    <n v="0.45986055744572091"/>
    <n v="0.63387530452146645"/>
    <x v="293"/>
    <n v="1.9484582281017789E-2"/>
    <n v="24.406998391971037"/>
    <x v="293"/>
    <x v="293"/>
    <x v="1"/>
    <s v=""/>
    <s v=""/>
    <s v=""/>
    <s v=""/>
    <s v=""/>
    <s v=""/>
    <s v=""/>
    <n v="0"/>
    <n v="370.78086224482524"/>
  </r>
  <r>
    <x v="0"/>
    <n v="42"/>
    <n v="10"/>
    <x v="9"/>
    <x v="3"/>
    <n v="14.284947157144362"/>
    <n v="43.938386321699809"/>
    <x v="294"/>
    <n v="0.42770944972571229"/>
    <n v="268.45505539342605"/>
    <n v="359.20247138225034"/>
    <n v="46.608614024902181"/>
    <n v="22.97718763634888"/>
    <n v="12.987012987012987"/>
    <n v="39.614028161546933"/>
    <n v="439.36026874297346"/>
    <n v="30.756870425189863"/>
    <n v="27.610594642747891"/>
    <n v="1.5153887043959371"/>
    <n v="0.5173719487746129"/>
    <n v="0.61101349960816043"/>
    <x v="294"/>
    <n v="2.0691240737171181E-2"/>
    <n v="30.756870425189863"/>
    <x v="294"/>
    <x v="294"/>
    <x v="1"/>
    <s v=""/>
    <s v=""/>
    <s v=""/>
    <s v=""/>
    <s v=""/>
    <s v=""/>
    <s v=""/>
    <n v="0"/>
    <n v="359.20247138225034"/>
  </r>
  <r>
    <x v="1"/>
    <n v="43"/>
    <n v="10"/>
    <x v="9"/>
    <x v="3"/>
    <n v="5.8945162878269954"/>
    <n v="23.238507364661306"/>
    <x v="295"/>
    <n v="8.1701012137102416E-2"/>
    <n v="11.191385047842068"/>
    <n v="125.7883751179416"/>
    <n v="21.495140231861853"/>
    <n v="4.4975312787378039"/>
    <n v="28.571428571428573"/>
    <n v="17.896452678508144"/>
    <n v="95.885832116048562"/>
    <n v="16.266955155262913"/>
    <n v="18.096356314342849"/>
    <n v="1.3213991202838871"/>
    <n v="0.32572945544596221"/>
    <n v="0.11671573162443202"/>
    <x v="295"/>
    <n v="0.20858138849746261"/>
    <n v="16.266955155262913"/>
    <x v="295"/>
    <x v="295"/>
    <x v="1"/>
    <n v="1000"/>
    <s v=""/>
    <s v=""/>
    <s v=""/>
    <s v=""/>
    <s v=""/>
    <s v=""/>
    <n v="1000"/>
    <n v="-874.21162488205846"/>
  </r>
  <r>
    <x v="2"/>
    <n v="43"/>
    <n v="10"/>
    <x v="9"/>
    <x v="3"/>
    <n v="10.96814164560754"/>
    <n v="19.022515573259827"/>
    <x v="296"/>
    <n v="0.26872536864869995"/>
    <n v="56.067303038848642"/>
    <n v="152.57434222444044"/>
    <n v="63.755336449336532"/>
    <n v="16.516901499592251"/>
    <n v="12.987012987012987"/>
    <n v="34.622254223360187"/>
    <n v="146.04915168430236"/>
    <n v="13.315760901281879"/>
    <n v="35.463531332554176"/>
    <n v="4.7879604419150352"/>
    <n v="0.30927945507612781"/>
    <n v="0.38389338378385707"/>
    <x v="296"/>
    <n v="6.2245545325452234E-2"/>
    <n v="13.315760901281879"/>
    <x v="296"/>
    <x v="296"/>
    <x v="1"/>
    <s v=""/>
    <s v=""/>
    <s v=""/>
    <s v=""/>
    <s v=""/>
    <s v=""/>
    <s v=""/>
    <n v="0"/>
    <n v="152.57434222444044"/>
  </r>
  <r>
    <x v="3"/>
    <n v="43"/>
    <n v="10"/>
    <x v="9"/>
    <x v="3"/>
    <n v="5.980934328245973"/>
    <n v="34.651999465159925"/>
    <x v="297"/>
    <n v="0.63059596033141563"/>
    <n v="130.6918534536143"/>
    <n v="76.559479689921801"/>
    <n v="29.285823596927624"/>
    <n v="14.106223976043218"/>
    <n v="12.987012987012987"/>
    <n v="40.35821976014762"/>
    <n v="145.07593320047525"/>
    <n v="24.256399625611945"/>
    <n v="31.23803404981123"/>
    <n v="1.2073442080829337"/>
    <n v="0.19146321176002801"/>
    <n v="0.90085137190202247"/>
    <x v="297"/>
    <n v="6.2663109520355018E-2"/>
    <n v="24.256399625611945"/>
    <x v="297"/>
    <x v="297"/>
    <x v="1"/>
    <s v=""/>
    <s v=""/>
    <s v=""/>
    <s v=""/>
    <s v=""/>
    <n v="83"/>
    <s v=""/>
    <n v="83"/>
    <n v="-6.4405203100781989"/>
  </r>
  <r>
    <x v="4"/>
    <n v="43"/>
    <n v="10"/>
    <x v="9"/>
    <x v="3"/>
    <n v="11.324479369578933"/>
    <n v="66.013751880188494"/>
    <x v="298"/>
    <n v="0.92190625371127666"/>
    <n v="689.1907222745798"/>
    <n v="58.380649001117263"/>
    <n v="24.270996539496789"/>
    <n v="11.031537252000525"/>
    <n v="12.987012987012987"/>
    <n v="34.836545138291598"/>
    <n v="523.29995989298789"/>
    <n v="46.209626316131938"/>
    <n v="27.004453175531655"/>
    <n v="0.52523680614624879"/>
    <n v="0.41935599643394667"/>
    <n v="1.3170089338732525"/>
    <x v="298"/>
    <n v="1.7372271713470288E-2"/>
    <n v="46.209626316131938"/>
    <x v="298"/>
    <x v="298"/>
    <x v="1"/>
    <s v=""/>
    <s v=""/>
    <s v=""/>
    <s v=""/>
    <s v=""/>
    <s v=""/>
    <s v=""/>
    <n v="0"/>
    <n v="58.380649001117263"/>
  </r>
  <r>
    <x v="5"/>
    <n v="43"/>
    <n v="10"/>
    <x v="9"/>
    <x v="3"/>
    <n v="19.821792140464645"/>
    <n v="34.71608751125207"/>
    <x v="299"/>
    <n v="0.62380484644657475"/>
    <n v="429.26199203654886"/>
    <n v="258.87307854167028"/>
    <n v="36.360724493756578"/>
    <n v="14.089255925698428"/>
    <n v="12.987012987012987"/>
    <n v="36.679492713635391"/>
    <n v="481.69454940475339"/>
    <n v="24.301261257876451"/>
    <n v="37.550196425948165"/>
    <n v="1.4962484501487119"/>
    <n v="0.5278745260242439"/>
    <n v="0.89114978063796391"/>
    <x v="299"/>
    <n v="1.8872767196853362E-2"/>
    <n v="24.301261257876451"/>
    <x v="299"/>
    <x v="299"/>
    <x v="1"/>
    <s v=""/>
    <s v=""/>
    <s v=""/>
    <s v=""/>
    <s v=""/>
    <s v=""/>
    <s v=""/>
    <n v="0"/>
    <n v="258.87307854167028"/>
  </r>
  <r>
    <x v="6"/>
    <n v="43"/>
    <n v="10"/>
    <x v="9"/>
    <x v="3"/>
    <n v="8.1579412366083304"/>
    <n v="33.546769760849998"/>
    <x v="300"/>
    <n v="0.51335761918466538"/>
    <n v="140.49190225018617"/>
    <n v="133.18067413685742"/>
    <n v="42.026635710541392"/>
    <n v="6.8601844821110465"/>
    <n v="12.987012987012987"/>
    <n v="37.268592240833613"/>
    <n v="191.57080347093051"/>
    <n v="23.482738832595"/>
    <n v="27.59058416329303"/>
    <n v="1.7896820302837377"/>
    <n v="0.29567845277671906"/>
    <n v="0.73336802740666485"/>
    <x v="300"/>
    <n v="4.7454564715486883E-2"/>
    <n v="23.482738832595"/>
    <x v="300"/>
    <x v="300"/>
    <x v="1"/>
    <s v=""/>
    <s v=""/>
    <s v=""/>
    <s v=""/>
    <s v=""/>
    <s v=""/>
    <s v=""/>
    <n v="0"/>
    <n v="133.18067413685742"/>
  </r>
  <r>
    <x v="0"/>
    <n v="43"/>
    <n v="10"/>
    <x v="9"/>
    <x v="3"/>
    <n v="6.0991948917108827"/>
    <n v="35.177823851633129"/>
    <x v="301"/>
    <n v="0.51458247853712291"/>
    <n v="110.40696591827923"/>
    <n v="104.14943761910679"/>
    <n v="28.757997581215736"/>
    <n v="14.574850099167106"/>
    <n v="12.987012987012987"/>
    <n v="35.330006408690608"/>
    <n v="150.18948247617021"/>
    <n v="24.624476696143191"/>
    <n v="33.879583258052286"/>
    <n v="1.1678622833727044"/>
    <n v="0.18002567638612452"/>
    <n v="0.73511782648160418"/>
    <x v="301"/>
    <n v="6.0529598617875914E-2"/>
    <n v="24.624476696143191"/>
    <x v="301"/>
    <x v="301"/>
    <x v="1"/>
    <s v=""/>
    <s v=""/>
    <s v=""/>
    <s v=""/>
    <s v=""/>
    <s v=""/>
    <s v=""/>
    <n v="0"/>
    <n v="104.14943761910679"/>
  </r>
  <r>
    <x v="1"/>
    <n v="44"/>
    <n v="10"/>
    <x v="9"/>
    <x v="3"/>
    <n v="4.4582659444872652"/>
    <n v="17.291277579573176"/>
    <x v="302"/>
    <n v="0.25928533673574938"/>
    <n v="19.988076874290925"/>
    <n v="57.10103709539635"/>
    <n v="14.542422806243104"/>
    <n v="6.5077578252450516"/>
    <n v="28.571428571428573"/>
    <n v="16.287563444698762"/>
    <n v="53.962379778781091"/>
    <n v="12.103894305701223"/>
    <n v="17.002350657473123"/>
    <n v="1.201466440383016"/>
    <n v="0.26221468044641832"/>
    <n v="0.37040762390821336"/>
    <x v="302"/>
    <n v="0.37062857646364095"/>
    <n v="12.103894305701223"/>
    <x v="302"/>
    <x v="302"/>
    <x v="1"/>
    <n v="1000"/>
    <s v=""/>
    <s v=""/>
    <s v=""/>
    <s v=""/>
    <s v=""/>
    <s v=""/>
    <n v="1000"/>
    <n v="-942.89896290460365"/>
  </r>
  <r>
    <x v="2"/>
    <n v="44"/>
    <n v="10"/>
    <x v="9"/>
    <x v="3"/>
    <n v="15.982317418658194"/>
    <n v="11.460731597391398"/>
    <x v="303"/>
    <n v="0.42645295418499291"/>
    <n v="78.112982589917564"/>
    <n v="105.05606764963731"/>
    <n v="41.883826765686877"/>
    <n v="15.464948302029677"/>
    <n v="12.987012987012987"/>
    <n v="38.385357405576165"/>
    <n v="128.21833516768839"/>
    <n v="8.0225121181739762"/>
    <n v="30.334906600949388"/>
    <n v="5.2207869740457502"/>
    <n v="0.52686225901081218"/>
    <n v="0.60921850597856142"/>
    <x v="303"/>
    <n v="7.0901787010568207E-2"/>
    <n v="8.0225121181739762"/>
    <x v="303"/>
    <x v="303"/>
    <x v="1"/>
    <s v=""/>
    <s v=""/>
    <s v=""/>
    <s v=""/>
    <s v=""/>
    <s v=""/>
    <s v=""/>
    <n v="0"/>
    <n v="105.05606764963731"/>
  </r>
  <r>
    <x v="3"/>
    <n v="44"/>
    <n v="11"/>
    <x v="10"/>
    <x v="3"/>
    <n v="6.1913023415713537"/>
    <n v="16.547001210378212"/>
    <x v="304"/>
    <n v="0.58002197190830496"/>
    <n v="59.421793623881122"/>
    <n v="43.025693715917534"/>
    <n v="44.603085736200917"/>
    <n v="11.223544873190313"/>
    <n v="12.987012987012987"/>
    <n v="42.477312851698592"/>
    <n v="71.713241137859058"/>
    <n v="11.582900847264749"/>
    <n v="32.503545137365464"/>
    <n v="3.8507698826355523"/>
    <n v="0.19048083264166618"/>
    <n v="0.82860281701186422"/>
    <x v="304"/>
    <n v="0.12676751108533835"/>
    <n v="11.582900847264749"/>
    <x v="304"/>
    <x v="304"/>
    <x v="0"/>
    <s v=""/>
    <s v=""/>
    <s v=""/>
    <s v=""/>
    <s v=""/>
    <s v=""/>
    <s v=""/>
    <n v="3000"/>
    <n v="-2956.9743062840826"/>
  </r>
  <r>
    <x v="4"/>
    <n v="44"/>
    <n v="11"/>
    <x v="10"/>
    <x v="3"/>
    <n v="11.983626286440922"/>
    <n v="52.363679306522862"/>
    <x v="305"/>
    <n v="0.35438747155817024"/>
    <n v="222.3805354060421"/>
    <n v="405.12622838636776"/>
    <n v="33.18361232997843"/>
    <n v="14.393107167353179"/>
    <n v="12.987012987012987"/>
    <n v="38.577310468413607"/>
    <n v="439.2547346546869"/>
    <n v="36.654575514565998"/>
    <n v="34.800868858982881"/>
    <n v="0.90530614157001332"/>
    <n v="0.34434847977502953"/>
    <n v="0.50626781651167174"/>
    <x v="305"/>
    <n v="2.0696211955588285E-2"/>
    <n v="36.654575514565998"/>
    <x v="305"/>
    <x v="305"/>
    <x v="1"/>
    <s v=""/>
    <s v=""/>
    <s v=""/>
    <s v=""/>
    <s v=""/>
    <s v=""/>
    <s v=""/>
    <n v="0"/>
    <n v="405.12622838636776"/>
  </r>
  <r>
    <x v="5"/>
    <n v="44"/>
    <n v="11"/>
    <x v="10"/>
    <x v="3"/>
    <n v="14.688992051233146"/>
    <n v="4.1646356568832346"/>
    <x v="306"/>
    <n v="0.33357762594044954"/>
    <n v="20.406377782663547"/>
    <n v="40.767922277576417"/>
    <n v="42.700666741402223"/>
    <n v="24.047043203207096"/>
    <n v="12.987012987012987"/>
    <n v="33.909010510087285"/>
    <n v="42.822010042167975"/>
    <n v="2.9152449598182639"/>
    <n v="38.674197735063366"/>
    <n v="14.647368344670486"/>
    <n v="0.37981374951485025"/>
    <n v="0.47653946562921368"/>
    <x v="306"/>
    <n v="0.21229524447724499"/>
    <n v="2.9152449598182639"/>
    <x v="306"/>
    <x v="306"/>
    <x v="1"/>
    <s v=""/>
    <s v=""/>
    <s v=""/>
    <s v=""/>
    <s v=""/>
    <s v=""/>
    <s v=""/>
    <n v="0"/>
    <n v="40.767922277576417"/>
  </r>
  <r>
    <x v="6"/>
    <n v="44"/>
    <n v="11"/>
    <x v="10"/>
    <x v="3"/>
    <n v="7.8242127663425736"/>
    <n v="58.471842258353092"/>
    <x v="307"/>
    <n v="0.62937073335519955"/>
    <n v="287.93467778403397"/>
    <n v="169.5614568853415"/>
    <n v="61.499204235700439"/>
    <n v="17.191402950629026"/>
    <n v="12.987012987012987"/>
    <n v="33.422809270501958"/>
    <n v="320.24729426856283"/>
    <n v="40.930289580847166"/>
    <n v="29.232855302495821"/>
    <n v="1.502535282928422"/>
    <n v="0.26765133564200838"/>
    <n v="0.89910104765028509"/>
    <x v="307"/>
    <n v="2.8387153470484459E-2"/>
    <n v="40.930289580847166"/>
    <x v="307"/>
    <x v="307"/>
    <x v="1"/>
    <s v=""/>
    <s v=""/>
    <s v=""/>
    <s v=""/>
    <s v=""/>
    <s v=""/>
    <s v=""/>
    <n v="0"/>
    <n v="169.5614568853415"/>
  </r>
  <r>
    <x v="0"/>
    <n v="44"/>
    <n v="11"/>
    <x v="10"/>
    <x v="3"/>
    <n v="20.930733362884119"/>
    <n v="78.712862985946288"/>
    <x v="308"/>
    <n v="0.21768976302766782"/>
    <n v="358.64779155073916"/>
    <n v="1288.8701558373332"/>
    <n v="38.469910296677973"/>
    <n v="12.334262034888789"/>
    <n v="12.987012987012987"/>
    <n v="30.088509159963277"/>
    <n v="1153.2625631716505"/>
    <n v="55.099004090162396"/>
    <n v="38.647215089729393"/>
    <n v="0.69819610956537326"/>
    <n v="0.54158451816742992"/>
    <n v="0.31098537575381119"/>
    <x v="308"/>
    <n v="7.8827748174775426E-3"/>
    <n v="55.099004090162396"/>
    <x v="308"/>
    <x v="308"/>
    <x v="1"/>
    <s v=""/>
    <s v=""/>
    <s v=""/>
    <s v=""/>
    <s v=""/>
    <s v=""/>
    <n v="1000"/>
    <n v="1000"/>
    <n v="288.87015583733319"/>
  </r>
  <r>
    <x v="1"/>
    <n v="45"/>
    <n v="11"/>
    <x v="10"/>
    <x v="3"/>
    <n v="5.8985955935819536"/>
    <n v="33.025234739089484"/>
    <x v="309"/>
    <n v="0.18828496419838722"/>
    <n v="36.678382511919786"/>
    <n v="158.1241215970831"/>
    <n v="17.189249164943938"/>
    <n v="6.1420344231439783"/>
    <n v="28.571428571428573"/>
    <n v="16.356593853665299"/>
    <n v="136.36175287630201"/>
    <n v="23.117664317362635"/>
    <n v="20.414774373100766"/>
    <n v="0.74355475228671208"/>
    <n v="0.28893758440721018"/>
    <n v="0.26897852028341035"/>
    <x v="309"/>
    <n v="0.1466686924899141"/>
    <n v="23.117664317362635"/>
    <x v="309"/>
    <x v="309"/>
    <x v="1"/>
    <n v="1000"/>
    <s v=""/>
    <s v=""/>
    <s v=""/>
    <s v=""/>
    <s v=""/>
    <s v=""/>
    <n v="1000"/>
    <n v="-841.8758784029169"/>
  </r>
  <r>
    <x v="2"/>
    <n v="45"/>
    <n v="11"/>
    <x v="10"/>
    <x v="3"/>
    <n v="12.041636140871482"/>
    <n v="38.770077581601214"/>
    <x v="310"/>
    <n v="0.67973852018122516"/>
    <n v="317.33944062131678"/>
    <n v="149.51572676968362"/>
    <n v="45.607349030268978"/>
    <n v="16.902003228366549"/>
    <n v="12.987012987012987"/>
    <n v="35.654468447644554"/>
    <n v="326.79861717370028"/>
    <n v="27.139054307120851"/>
    <n v="39.17989291895703"/>
    <n v="1.6805062001848141"/>
    <n v="0.30734224225113149"/>
    <n v="0.97105502883032169"/>
    <x v="310"/>
    <n v="2.7818076984325434E-2"/>
    <n v="27.139054307120851"/>
    <x v="310"/>
    <x v="310"/>
    <x v="1"/>
    <s v=""/>
    <s v=""/>
    <s v=""/>
    <s v=""/>
    <s v=""/>
    <s v=""/>
    <s v=""/>
    <n v="0"/>
    <n v="149.51572676968362"/>
  </r>
  <r>
    <x v="3"/>
    <n v="45"/>
    <n v="11"/>
    <x v="10"/>
    <x v="3"/>
    <n v="10.913286051030781"/>
    <n v="62.664642348994661"/>
    <x v="311"/>
    <n v="0.45447724803582668"/>
    <n v="310.80661296182478"/>
    <n v="373.07055427829135"/>
    <n v="43.24802889098931"/>
    <n v="14.424191498375933"/>
    <n v="12.987012987012987"/>
    <n v="41.98235029677852"/>
    <n v="478.71401706808126"/>
    <n v="43.865249644296256"/>
    <n v="30.870380800431153"/>
    <n v="0.98592916355630034"/>
    <n v="0.35351964465816887"/>
    <n v="0.64925321147975246"/>
    <x v="311"/>
    <n v="1.8990271366163502E-2"/>
    <n v="43.865249644296256"/>
    <x v="311"/>
    <x v="311"/>
    <x v="1"/>
    <s v=""/>
    <s v=""/>
    <s v=""/>
    <s v=""/>
    <s v=""/>
    <s v=""/>
    <s v=""/>
    <n v="0"/>
    <n v="373.07055427829135"/>
  </r>
  <r>
    <x v="4"/>
    <n v="45"/>
    <n v="11"/>
    <x v="10"/>
    <x v="3"/>
    <n v="17.706255008473924"/>
    <n v="10.097176543227706"/>
    <x v="312"/>
    <n v="0.3609867553656797"/>
    <n v="64.538361051251513"/>
    <n v="114.24482168871947"/>
    <n v="62.750197353120996"/>
    <n v="14.639251757421656"/>
    <n v="12.987012987012987"/>
    <n v="37.254604365094025"/>
    <n v="125.14822791797968"/>
    <n v="7.0680235802593936"/>
    <n v="34.152971883259681"/>
    <n v="8.8780401820360204"/>
    <n v="0.51843965640813738"/>
    <n v="0.51569536480811384"/>
    <x v="312"/>
    <n v="7.2641133175830014E-2"/>
    <n v="7.0680235802593936"/>
    <x v="312"/>
    <x v="312"/>
    <x v="1"/>
    <s v=""/>
    <s v=""/>
    <s v=""/>
    <s v=""/>
    <s v=""/>
    <s v=""/>
    <s v=""/>
    <n v="0"/>
    <n v="114.24482168871947"/>
  </r>
  <r>
    <x v="5"/>
    <n v="45"/>
    <n v="11"/>
    <x v="10"/>
    <x v="3"/>
    <n v="20.129490314148885"/>
    <n v="61.738538471675845"/>
    <x v="313"/>
    <n v="0.36114060573793083"/>
    <n v="448.81301762907913"/>
    <n v="793.95229454622802"/>
    <n v="57.580056843879348"/>
    <n v="13.535054739438786"/>
    <n v="12.987012987012987"/>
    <n v="32.735471043472032"/>
    <n v="869.93571852271498"/>
    <n v="43.216976930173089"/>
    <n v="36.632068754013353"/>
    <n v="1.3323480940583396"/>
    <n v="0.54950460071801244"/>
    <n v="0.51591515105418695"/>
    <x v="313"/>
    <n v="1.0450092917608737E-2"/>
    <n v="43.216976930173089"/>
    <x v="313"/>
    <x v="313"/>
    <x v="1"/>
    <s v=""/>
    <s v=""/>
    <n v="300"/>
    <s v=""/>
    <s v=""/>
    <s v=""/>
    <s v=""/>
    <n v="300"/>
    <n v="493.95229454622802"/>
  </r>
  <r>
    <x v="6"/>
    <n v="45"/>
    <n v="11"/>
    <x v="10"/>
    <x v="3"/>
    <n v="15.91080836208501"/>
    <n v="35.848952130528467"/>
    <x v="314"/>
    <n v="0.73702375917837815"/>
    <n v="420.38789190064375"/>
    <n v="149.99791542975385"/>
    <n v="40.05484967881322"/>
    <n v="16.102474274360386"/>
    <n v="12.987012987012987"/>
    <n v="35.658499910866361"/>
    <n v="399.27006513127827"/>
    <n v="25.094266491369925"/>
    <n v="38.941058253765775"/>
    <n v="1.5961753531464382"/>
    <n v="0.40858695360561659"/>
    <n v="1.0528910845405404"/>
    <x v="314"/>
    <n v="2.276882212023593E-2"/>
    <n v="25.094266491369925"/>
    <x v="314"/>
    <x v="314"/>
    <x v="1"/>
    <s v=""/>
    <s v=""/>
    <s v=""/>
    <s v=""/>
    <s v=""/>
    <s v=""/>
    <s v=""/>
    <n v="0"/>
    <n v="149.99791542975385"/>
  </r>
  <r>
    <x v="0"/>
    <n v="45"/>
    <n v="11"/>
    <x v="10"/>
    <x v="3"/>
    <n v="9.0040132738071179"/>
    <n v="56.778051550829332"/>
    <x v="315"/>
    <n v="0.44979652335634612"/>
    <n v="229.94962498941067"/>
    <n v="281.28070483516143"/>
    <n v="36.921485040071431"/>
    <n v="14.75842908041326"/>
    <n v="12.987012987012987"/>
    <n v="30.930551877736761"/>
    <n v="357.86123087720046"/>
    <n v="39.744636085580531"/>
    <n v="33.062747744550137"/>
    <n v="0.92896774700792017"/>
    <n v="0.27233106405353996"/>
    <n v="0.64256646193763733"/>
    <x v="315"/>
    <n v="2.5403447779535029E-2"/>
    <n v="39.744636085580531"/>
    <x v="315"/>
    <x v="315"/>
    <x v="1"/>
    <s v=""/>
    <s v=""/>
    <s v=""/>
    <s v=""/>
    <n v="480"/>
    <s v=""/>
    <s v=""/>
    <n v="480"/>
    <n v="-198.71929516483857"/>
  </r>
  <r>
    <x v="1"/>
    <n v="46"/>
    <n v="11"/>
    <x v="10"/>
    <x v="3"/>
    <n v="5.378401432765556"/>
    <n v="25.857404680478098"/>
    <x v="316"/>
    <n v="0.19267068713802529"/>
    <n v="26.795001925080626"/>
    <n v="112.27650045600156"/>
    <n v="18.367515899650783"/>
    <n v="6.8774455038960891"/>
    <n v="28.571428571428573"/>
    <n v="13.954304852223917"/>
    <n v="97.350051666757523"/>
    <n v="18.100183276334665"/>
    <n v="15.248784642632829"/>
    <n v="1.0147696086406841"/>
    <n v="0.35271017060130311"/>
    <n v="0.27524383876860758"/>
    <x v="316"/>
    <n v="0.2054441642050969"/>
    <n v="18.100183276334665"/>
    <x v="316"/>
    <x v="316"/>
    <x v="1"/>
    <n v="1000"/>
    <s v=""/>
    <s v=""/>
    <s v=""/>
    <s v=""/>
    <s v=""/>
    <s v=""/>
    <n v="1000"/>
    <n v="-887.7234995439984"/>
  </r>
  <r>
    <x v="2"/>
    <n v="46"/>
    <n v="11"/>
    <x v="10"/>
    <x v="3"/>
    <n v="14.812009070542366"/>
    <n v="23.655743731861858"/>
    <x v="317"/>
    <n v="1.0233087538833545"/>
    <n v="358.55622380592609"/>
    <n v="-8.167133079162511"/>
    <n v="33.803994817271231"/>
    <n v="13.849697148706069"/>
    <n v="12.987012987012987"/>
    <n v="44.481338406180967"/>
    <n v="245.27236350873449"/>
    <n v="16.5590206123033"/>
    <n v="39.418288297688633"/>
    <n v="2.0414247683317073"/>
    <n v="0.37576489772162169"/>
    <n v="1.4618696484047924"/>
    <x v="317"/>
    <n v="3.7064547186888223E-2"/>
    <n v="16.5590206123033"/>
    <x v="317"/>
    <x v="317"/>
    <x v="1"/>
    <s v=""/>
    <s v=""/>
    <s v=""/>
    <s v=""/>
    <s v=""/>
    <s v=""/>
    <s v=""/>
    <n v="0"/>
    <n v="-8.167133079162511"/>
  </r>
  <r>
    <x v="3"/>
    <n v="46"/>
    <n v="11"/>
    <x v="10"/>
    <x v="3"/>
    <n v="7.3517257409388996"/>
    <n v="36.542496067695801"/>
    <x v="318"/>
    <n v="0.43525138489210968"/>
    <n v="116.93046255995785"/>
    <n v="151.71994641907992"/>
    <n v="29.453239393504006"/>
    <n v="14.67348863606421"/>
    <n v="12.987012987012987"/>
    <n v="37.930896075610349"/>
    <n v="188.05528628532642"/>
    <n v="25.579747247387061"/>
    <n v="37.596505075197676"/>
    <n v="1.1514280852213119"/>
    <n v="0.19554279649756104"/>
    <n v="0.62178769270301393"/>
    <x v="318"/>
    <n v="4.8341683291561029E-2"/>
    <n v="25.579747247387061"/>
    <x v="318"/>
    <x v="318"/>
    <x v="1"/>
    <s v=""/>
    <n v="300"/>
    <s v=""/>
    <s v=""/>
    <s v=""/>
    <s v=""/>
    <s v=""/>
    <n v="300"/>
    <n v="-148.28005358092008"/>
  </r>
  <r>
    <x v="4"/>
    <n v="46"/>
    <n v="11"/>
    <x v="10"/>
    <x v="3"/>
    <n v="14.044186374919555"/>
    <n v="54.34816739035189"/>
    <x v="319"/>
    <n v="0.53596769323724802"/>
    <n v="409.09116552354368"/>
    <n v="354.18462644188361"/>
    <n v="42.889033648583968"/>
    <n v="20.155393858457799"/>
    <n v="12.987012987012987"/>
    <n v="28.156766366579937"/>
    <n v="534.2930543757991"/>
    <n v="38.043717173246321"/>
    <n v="37.050424683391547"/>
    <n v="1.1273618046646883"/>
    <n v="0.3790560160897451"/>
    <n v="0.76566813319606863"/>
    <x v="319"/>
    <n v="1.7014836738856294E-2"/>
    <n v="38.043717173246321"/>
    <x v="319"/>
    <x v="319"/>
    <x v="1"/>
    <s v=""/>
    <s v=""/>
    <s v=""/>
    <s v=""/>
    <s v=""/>
    <s v=""/>
    <s v=""/>
    <n v="0"/>
    <n v="354.18462644188361"/>
  </r>
  <r>
    <x v="5"/>
    <n v="46"/>
    <n v="11"/>
    <x v="10"/>
    <x v="3"/>
    <n v="6.3662642575850743"/>
    <n v="71.725862787937686"/>
    <x v="320"/>
    <n v="0.52275855981647934"/>
    <n v="238.70504381157528"/>
    <n v="217.92075279972372"/>
    <n v="26.134995315409359"/>
    <n v="19.881917959061838"/>
    <n v="12.987012987012987"/>
    <n v="31.817675572022576"/>
    <n v="319.63805762790929"/>
    <n v="50.208103951556375"/>
    <n v="30.145028394964271"/>
    <n v="0.52053340513766233"/>
    <n v="0.21118786733830244"/>
    <n v="0.74679794259497057"/>
    <x v="320"/>
    <n v="2.8441259962516164E-2"/>
    <n v="50.208103951556375"/>
    <x v="320"/>
    <x v="320"/>
    <x v="1"/>
    <s v=""/>
    <s v=""/>
    <s v=""/>
    <s v=""/>
    <s v=""/>
    <s v=""/>
    <s v=""/>
    <n v="0"/>
    <n v="217.92075279972372"/>
  </r>
  <r>
    <x v="6"/>
    <n v="46"/>
    <n v="11"/>
    <x v="10"/>
    <x v="3"/>
    <n v="17.529371644383019"/>
    <n v="33.256425477243432"/>
    <x v="321"/>
    <n v="0.61014667340928119"/>
    <n v="355.69369282296719"/>
    <n v="227.27054893136079"/>
    <n v="50.235738539848597"/>
    <n v="26.283874350973274"/>
    <n v="12.987012987012987"/>
    <n v="26.714752368725676"/>
    <n v="408.07496922802954"/>
    <n v="23.279497834070398"/>
    <n v="32.390260998320521"/>
    <n v="2.157939097222568"/>
    <n v="0.54119266421755419"/>
    <n v="0.87163810487040172"/>
    <x v="321"/>
    <n v="2.2277546471685578E-2"/>
    <n v="23.279497834070398"/>
    <x v="321"/>
    <x v="321"/>
    <x v="1"/>
    <s v=""/>
    <s v=""/>
    <s v=""/>
    <s v=""/>
    <s v=""/>
    <s v=""/>
    <s v=""/>
    <n v="0"/>
    <n v="227.27054893136079"/>
  </r>
  <r>
    <x v="0"/>
    <n v="46"/>
    <n v="11"/>
    <x v="10"/>
    <x v="3"/>
    <n v="21.118571432854871"/>
    <n v="24.343161532148496"/>
    <x v="322"/>
    <n v="0.52479712939706114"/>
    <n v="269.79442343662265"/>
    <n v="244.29837228158021"/>
    <n v="28.577143479279062"/>
    <n v="18.995574018383778"/>
    <n v="12.987012987012987"/>
    <n v="33.377946199950919"/>
    <n v="359.86495700274196"/>
    <n v="17.040213072503946"/>
    <n v="32.033624528007131"/>
    <n v="1.6770414406021181"/>
    <n v="0.6592626261942609"/>
    <n v="0.74971018485294461"/>
    <x v="322"/>
    <n v="2.5262001520308691E-2"/>
    <n v="17.040213072503946"/>
    <x v="322"/>
    <x v="322"/>
    <x v="1"/>
    <s v=""/>
    <s v=""/>
    <s v=""/>
    <s v=""/>
    <s v=""/>
    <s v=""/>
    <s v=""/>
    <n v="0"/>
    <n v="244.29837228158021"/>
  </r>
  <r>
    <x v="1"/>
    <n v="47"/>
    <n v="11"/>
    <x v="10"/>
    <x v="3"/>
    <n v="3.8578575388526684"/>
    <n v="26.617637779289758"/>
    <x v="323"/>
    <n v="0.23930573947930686"/>
    <n v="24.573601529611331"/>
    <n v="78.113453043671257"/>
    <n v="18.558333916619073"/>
    <n v="7.6371182488185942"/>
    <n v="28.571428571428573"/>
    <n v="17.122816101221485"/>
    <n v="71.880938201297809"/>
    <n v="18.632346445502829"/>
    <n v="16.697090306745274"/>
    <n v="0.99602773976427317"/>
    <n v="0.23104968997467631"/>
    <n v="0.34186534211329556"/>
    <x v="323"/>
    <n v="0.27823788198188681"/>
    <n v="18.632346445502829"/>
    <x v="323"/>
    <x v="323"/>
    <x v="1"/>
    <n v="1000"/>
    <s v=""/>
    <s v=""/>
    <n v="100"/>
    <s v=""/>
    <s v=""/>
    <s v=""/>
    <n v="1100"/>
    <n v="-1021.8865469563287"/>
  </r>
  <r>
    <x v="2"/>
    <n v="47"/>
    <n v="11"/>
    <x v="10"/>
    <x v="3"/>
    <n v="25.319485380825363"/>
    <n v="37.289910154580397"/>
    <x v="324"/>
    <n v="0.67754052300373691"/>
    <n v="639.70756472338792"/>
    <n v="304.45377028780172"/>
    <n v="39.152773305669221"/>
    <n v="10.408570747692131"/>
    <n v="12.987012987012987"/>
    <n v="38.586242150565816"/>
    <n v="660.91293450783269"/>
    <n v="26.102937108206277"/>
    <n v="36.283306722541617"/>
    <n v="1.4999374646372772"/>
    <n v="0.69782739413591555"/>
    <n v="0.96791503286248148"/>
    <x v="324"/>
    <n v="1.3755078189956881E-2"/>
    <n v="26.102937108206277"/>
    <x v="324"/>
    <x v="324"/>
    <x v="1"/>
    <s v=""/>
    <s v=""/>
    <s v=""/>
    <s v=""/>
    <s v=""/>
    <s v=""/>
    <s v=""/>
    <n v="0"/>
    <n v="304.45377028780172"/>
  </r>
  <r>
    <x v="3"/>
    <n v="47"/>
    <n v="11"/>
    <x v="10"/>
    <x v="3"/>
    <n v="24.237410193766618"/>
    <n v="7.5770284266562591"/>
    <x v="325"/>
    <n v="0.56313850276401578"/>
    <n v="103.41900410576031"/>
    <n v="80.228541920937545"/>
    <n v="41.338720634017704"/>
    <n v="17.526777847403533"/>
    <n v="12.987012987012987"/>
    <n v="39.877414898454127"/>
    <n v="128.55328221868848"/>
    <n v="5.3039198986593812"/>
    <n v="27.551939642945594"/>
    <n v="7.793994144682781"/>
    <n v="0.87969887085508225"/>
    <n v="0.80448357537716553"/>
    <x v="325"/>
    <n v="7.0717051591448948E-2"/>
    <n v="5.3039198986593812"/>
    <x v="325"/>
    <x v="325"/>
    <x v="1"/>
    <s v=""/>
    <s v=""/>
    <s v=""/>
    <s v=""/>
    <s v=""/>
    <s v=""/>
    <s v=""/>
    <n v="0"/>
    <n v="80.228541920937545"/>
  </r>
  <r>
    <x v="4"/>
    <n v="47"/>
    <n v="11"/>
    <x v="10"/>
    <x v="3"/>
    <n v="12.79518802888494"/>
    <n v="91.974932534220159"/>
    <x v="326"/>
    <n v="0.57380557983011393"/>
    <n v="675.27538221981797"/>
    <n v="501.56117349953581"/>
    <n v="43.531823277714857"/>
    <n v="12.226457896739639"/>
    <n v="12.987012987012987"/>
    <n v="38.211533645544229"/>
    <n v="823.78558900354756"/>
    <n v="64.3824527739541"/>
    <n v="32.218049652479607"/>
    <n v="0.67614421945921332"/>
    <n v="0.3971434697910145"/>
    <n v="0.81972225690016287"/>
    <x v="326"/>
    <n v="1.1035528191146763E-2"/>
    <n v="64.3824527739541"/>
    <x v="326"/>
    <x v="326"/>
    <x v="1"/>
    <s v=""/>
    <s v=""/>
    <s v=""/>
    <s v=""/>
    <s v=""/>
    <s v=""/>
    <s v=""/>
    <n v="0"/>
    <n v="501.56117349953581"/>
  </r>
  <r>
    <x v="5"/>
    <n v="47"/>
    <n v="11"/>
    <x v="10"/>
    <x v="3"/>
    <n v="20.642755519751727"/>
    <n v="51.339987111672087"/>
    <x v="327"/>
    <n v="0.66413710286219585"/>
    <n v="703.85170619856342"/>
    <n v="355.94709613488806"/>
    <n v="38.007376165834891"/>
    <n v="11.486358037811076"/>
    <n v="12.987012987012987"/>
    <n v="43.194252320129692"/>
    <n v="741.85916163341597"/>
    <n v="35.937990978170454"/>
    <n v="42.169312234916859"/>
    <n v="1.0575821054916907"/>
    <n v="0.4895208014006735"/>
    <n v="0.94876728980313696"/>
    <x v="327"/>
    <n v="1.2254225008009396E-2"/>
    <n v="35.937990978170454"/>
    <x v="327"/>
    <x v="327"/>
    <x v="1"/>
    <s v=""/>
    <s v=""/>
    <s v=""/>
    <s v=""/>
    <s v=""/>
    <s v=""/>
    <s v=""/>
    <n v="0"/>
    <n v="355.94709613488806"/>
  </r>
  <r>
    <x v="6"/>
    <n v="47"/>
    <n v="11"/>
    <x v="10"/>
    <x v="3"/>
    <n v="21.679810172649574"/>
    <n v="63.923602731621578"/>
    <x v="328"/>
    <n v="0.71863560582043751"/>
    <n v="995.92228457723252"/>
    <n v="389.92928819618703"/>
    <n v="39.698352604509566"/>
    <n v="13.294560178167286"/>
    <n v="12.987012987012987"/>
    <n v="40.398147895984039"/>
    <n v="970.09610094139362"/>
    <n v="44.746521912135101"/>
    <n v="42.039246564932625"/>
    <n v="0.88718297887960562"/>
    <n v="0.51570406094608656"/>
    <n v="1.0266222940291965"/>
    <x v="328"/>
    <n v="9.3711427992413908E-3"/>
    <n v="44.746521912135101"/>
    <x v="328"/>
    <x v="328"/>
    <x v="1"/>
    <s v=""/>
    <s v=""/>
    <s v=""/>
    <s v=""/>
    <s v=""/>
    <n v="83"/>
    <s v=""/>
    <n v="83"/>
    <n v="306.92928819618703"/>
  </r>
  <r>
    <x v="0"/>
    <n v="47"/>
    <n v="11"/>
    <x v="10"/>
    <x v="3"/>
    <n v="19.858464650907937"/>
    <n v="96.740413073118191"/>
    <x v="329"/>
    <n v="0.26726404845906299"/>
    <n v="513.44525931708529"/>
    <n v="1407.6708140096644"/>
    <n v="45.154389834998916"/>
    <n v="13.393761994640222"/>
    <n v="12.987012987012987"/>
    <n v="29.037262309382871"/>
    <n v="1344.7812513287247"/>
    <n v="67.718289151182731"/>
    <n v="33.387457655624729"/>
    <n v="0.66679755795647233"/>
    <n v="0.59478816433818571"/>
    <n v="0.38180578351294719"/>
    <x v="329"/>
    <n v="6.7601396747067419E-3"/>
    <n v="67.718289151182731"/>
    <x v="329"/>
    <x v="329"/>
    <x v="1"/>
    <s v=""/>
    <s v=""/>
    <s v=""/>
    <s v=""/>
    <s v=""/>
    <s v=""/>
    <s v=""/>
    <n v="0"/>
    <n v="1407.6708140096644"/>
  </r>
  <r>
    <x v="1"/>
    <n v="48"/>
    <n v="11"/>
    <x v="10"/>
    <x v="3"/>
    <n v="9.2401064164272722"/>
    <n v="30.874807697999884"/>
    <x v="330"/>
    <n v="0.21842893300092356"/>
    <n v="62.314827698448482"/>
    <n v="222.9716810177984"/>
    <n v="18.488319978273321"/>
    <n v="7.9591777433738056"/>
    <n v="28.571428571428573"/>
    <n v="16.305418507077523"/>
    <n v="199.7005561013728"/>
    <n v="21.612365388599919"/>
    <n v="17.666519068395125"/>
    <n v="0.8554510182409526"/>
    <n v="0.52302926120616178"/>
    <n v="0.31204133285846225"/>
    <x v="330"/>
    <n v="0.10014994645206456"/>
    <n v="21.612365388599919"/>
    <x v="330"/>
    <x v="330"/>
    <x v="1"/>
    <n v="1000"/>
    <s v=""/>
    <s v=""/>
    <s v=""/>
    <s v=""/>
    <s v=""/>
    <s v=""/>
    <n v="1000"/>
    <n v="-777.02831898220165"/>
  </r>
  <r>
    <x v="2"/>
    <n v="48"/>
    <n v="11"/>
    <x v="10"/>
    <x v="3"/>
    <n v="24.645011198511185"/>
    <n v="72.152174155883458"/>
    <x v="331"/>
    <n v="0.41997973365967001"/>
    <n v="746.80424140202797"/>
    <n v="1031.3868986666489"/>
    <n v="38.831624021094363"/>
    <n v="12.977273098560344"/>
    <n v="12.987012987012987"/>
    <n v="35.629044351654059"/>
    <n v="1244.7337980480738"/>
    <n v="50.506521909118412"/>
    <n v="39.192962042635877"/>
    <n v="0.76884375627702306"/>
    <n v="0.62881216203310242"/>
    <n v="0.59997104808524293"/>
    <x v="331"/>
    <n v="7.3034966232659359E-3"/>
    <n v="50.506521909118412"/>
    <x v="331"/>
    <x v="331"/>
    <x v="1"/>
    <s v=""/>
    <s v=""/>
    <s v=""/>
    <s v=""/>
    <s v=""/>
    <s v=""/>
    <s v=""/>
    <n v="0"/>
    <n v="1031.3868986666489"/>
  </r>
  <r>
    <x v="3"/>
    <n v="48"/>
    <n v="11"/>
    <x v="10"/>
    <x v="3"/>
    <n v="12.979648612053976"/>
    <n v="37.906361497396873"/>
    <x v="332"/>
    <n v="0.66997179975351273"/>
    <n v="329.63366426786928"/>
    <n v="162.37758812983435"/>
    <n v="43.850976464278162"/>
    <n v="15.941292787176236"/>
    <n v="12.987012987012987"/>
    <n v="35.968643440360673"/>
    <n v="344.40787667839254"/>
    <n v="26.534453048177813"/>
    <n v="35.506535190200729"/>
    <n v="1.6526052519213137"/>
    <n v="0.3655566092981149"/>
    <n v="0.9571025710764467"/>
    <x v="332"/>
    <n v="2.6395764169465163E-2"/>
    <n v="26.534453048177813"/>
    <x v="332"/>
    <x v="332"/>
    <x v="1"/>
    <s v=""/>
    <s v=""/>
    <s v=""/>
    <s v=""/>
    <s v=""/>
    <s v=""/>
    <s v=""/>
    <n v="0"/>
    <n v="162.37758812983435"/>
  </r>
  <r>
    <x v="4"/>
    <n v="48"/>
    <n v="11"/>
    <x v="10"/>
    <x v="3"/>
    <n v="16.088254584938856"/>
    <n v="125.09340206764884"/>
    <x v="333"/>
    <n v="0.68302656848968224"/>
    <n v="1374.6145330652696"/>
    <n v="637.91996629518167"/>
    <n v="38.241386017454808"/>
    <n v="17.553359680848885"/>
    <n v="12.987012987012987"/>
    <n v="41.309195749308486"/>
    <n v="1408.7741495523157"/>
    <n v="87.565381447354184"/>
    <n v="32.405776477730619"/>
    <n v="0.43671808864837969"/>
    <n v="0.49646255493969632"/>
    <n v="0.97575224069954614"/>
    <x v="333"/>
    <n v="6.4530635331419336E-3"/>
    <n v="87.565381447354184"/>
    <x v="333"/>
    <x v="333"/>
    <x v="1"/>
    <s v=""/>
    <s v=""/>
    <s v=""/>
    <s v=""/>
    <s v=""/>
    <s v=""/>
    <s v=""/>
    <n v="0"/>
    <n v="637.91996629518167"/>
  </r>
  <r>
    <x v="5"/>
    <n v="48"/>
    <n v="12"/>
    <x v="11"/>
    <x v="3"/>
    <n v="13.030814619952341"/>
    <n v="86.227151713788061"/>
    <x v="334"/>
    <n v="0.37827019990131111"/>
    <n v="425.02819035239492"/>
    <n v="698.58183883648326"/>
    <n v="46.51769892382007"/>
    <n v="11.346692570045482"/>
    <n v="12.987012987012987"/>
    <n v="33.189388170549989"/>
    <n v="786.52702043221461"/>
    <n v="60.359006199651638"/>
    <n v="27.773276028362506"/>
    <n v="0.77068364528653466"/>
    <n v="0.46918536389603693"/>
    <n v="0.54038599985901592"/>
    <x v="334"/>
    <n v="1.1558292156210256E-2"/>
    <n v="60.359006199651638"/>
    <x v="334"/>
    <x v="334"/>
    <x v="0"/>
    <s v=""/>
    <s v=""/>
    <s v=""/>
    <s v=""/>
    <s v=""/>
    <s v=""/>
    <s v=""/>
    <n v="3000"/>
    <n v="-2301.4181611635167"/>
  </r>
  <r>
    <x v="6"/>
    <n v="48"/>
    <n v="12"/>
    <x v="11"/>
    <x v="3"/>
    <n v="8.2869891360896073"/>
    <n v="86.96079652051705"/>
    <x v="335"/>
    <n v="0.79243747724362346"/>
    <n v="571.06466040701537"/>
    <n v="149.57851562420831"/>
    <n v="46.336542148989317"/>
    <n v="14.568282323078789"/>
    <n v="12.987012987012987"/>
    <n v="39.518117204467003"/>
    <n v="504.45022322185656"/>
    <n v="60.872557564361927"/>
    <n v="34.892186524877609"/>
    <n v="0.76120577158264868"/>
    <n v="0.23750271798475878"/>
    <n v="1.1320535389194621"/>
    <x v="335"/>
    <n v="1.8021419502694758E-2"/>
    <n v="60.872557564361927"/>
    <x v="335"/>
    <x v="335"/>
    <x v="1"/>
    <s v=""/>
    <s v=""/>
    <s v=""/>
    <s v=""/>
    <s v=""/>
    <s v=""/>
    <s v=""/>
    <n v="0"/>
    <n v="149.57851562420831"/>
  </r>
  <r>
    <x v="0"/>
    <n v="48"/>
    <n v="12"/>
    <x v="11"/>
    <x v="3"/>
    <n v="8.2165424414631296"/>
    <n v="22.881997380987201"/>
    <x v="336"/>
    <n v="0.66069568096760767"/>
    <n v="124.21799134003736"/>
    <n v="63.792911286292153"/>
    <n v="32.823694397474377"/>
    <n v="11.817531219188448"/>
    <n v="12.987012987012987"/>
    <n v="35.112319114428715"/>
    <n v="131.60763183843065"/>
    <n v="16.017398166691038"/>
    <n v="29.00857321371851"/>
    <n v="2.0492525724766493"/>
    <n v="0.2832453144430222"/>
    <n v="0.94385097281086816"/>
    <x v="336"/>
    <n v="6.9075850419295065E-2"/>
    <n v="16.017398166691038"/>
    <x v="336"/>
    <x v="336"/>
    <x v="1"/>
    <s v=""/>
    <s v=""/>
    <s v=""/>
    <s v=""/>
    <s v=""/>
    <s v=""/>
    <s v=""/>
    <n v="0"/>
    <n v="63.792911286292153"/>
  </r>
  <r>
    <x v="1"/>
    <n v="49"/>
    <n v="12"/>
    <x v="11"/>
    <x v="3"/>
    <n v="3.1155231310056486"/>
    <n v="25.772128300093517"/>
    <x v="337"/>
    <n v="0.13378139176856862"/>
    <n v="10.741797833047917"/>
    <n v="69.551864021138726"/>
    <n v="17.707369036906783"/>
    <n v="7.5512330867343822"/>
    <n v="28.571428571428573"/>
    <n v="18.221113490188898"/>
    <n v="56.205563297930645"/>
    <n v="18.040489810065463"/>
    <n v="17.560729287808748"/>
    <n v="0.98153482656702484"/>
    <n v="0.17741422237905291"/>
    <n v="0.19111627395509803"/>
    <x v="337"/>
    <n v="0.35583666147041981"/>
    <n v="18.040489810065463"/>
    <x v="337"/>
    <x v="337"/>
    <x v="1"/>
    <n v="1000"/>
    <s v=""/>
    <s v=""/>
    <s v=""/>
    <s v=""/>
    <s v=""/>
    <s v=""/>
    <n v="1000"/>
    <n v="-930.44813597886127"/>
  </r>
  <r>
    <x v="2"/>
    <n v="49"/>
    <n v="12"/>
    <x v="11"/>
    <x v="3"/>
    <n v="18.173121218107205"/>
    <n v="84.268349659627802"/>
    <x v="338"/>
    <n v="0.58218815210069585"/>
    <n v="891.57395882002845"/>
    <n v="639.84497439423069"/>
    <n v="35.83362166380703"/>
    <n v="13.452818994725442"/>
    <n v="12.987012987012987"/>
    <n v="35.303728843974497"/>
    <n v="1071.9932532499813"/>
    <n v="58.98784476173946"/>
    <n v="37.102885177078925"/>
    <n v="0.60747467225738239"/>
    <n v="0.48980345143978254"/>
    <n v="0.83169736014385121"/>
    <x v="338"/>
    <n v="8.4803790167037128E-3"/>
    <n v="58.98784476173946"/>
    <x v="338"/>
    <x v="338"/>
    <x v="1"/>
    <s v=""/>
    <s v=""/>
    <s v=""/>
    <s v=""/>
    <s v=""/>
    <s v=""/>
    <n v="1000"/>
    <n v="1000"/>
    <n v="-360.15502560576931"/>
  </r>
  <r>
    <x v="3"/>
    <n v="49"/>
    <n v="12"/>
    <x v="11"/>
    <x v="3"/>
    <n v="17.659162395419401"/>
    <n v="22.07113523148211"/>
    <x v="339"/>
    <n v="0.46451765169030018"/>
    <n v="181.04936000900503"/>
    <n v="208.70840129500013"/>
    <n v="44.288670637607517"/>
    <n v="8.4243379040425932"/>
    <n v="12.987012987012987"/>
    <n v="34.075391775963787"/>
    <n v="272.83043291280359"/>
    <n v="15.449794662037476"/>
    <n v="29.271705356399409"/>
    <n v="2.8666187225407986"/>
    <n v="0.60328437241387911"/>
    <n v="0.66359664527185747"/>
    <x v="339"/>
    <n v="3.3320729633612899E-2"/>
    <n v="15.449794662037476"/>
    <x v="339"/>
    <x v="339"/>
    <x v="1"/>
    <s v=""/>
    <s v=""/>
    <s v=""/>
    <s v=""/>
    <s v=""/>
    <s v=""/>
    <s v=""/>
    <n v="0"/>
    <n v="208.70840129500013"/>
  </r>
  <r>
    <x v="4"/>
    <n v="49"/>
    <n v="12"/>
    <x v="11"/>
    <x v="3"/>
    <n v="6.115273393596671"/>
    <n v="79.495005669750896"/>
    <x v="340"/>
    <n v="0.98351114073853785"/>
    <n v="478.11790304832869"/>
    <n v="8.015790047715484"/>
    <n v="40.22784725987291"/>
    <n v="14.551474742791065"/>
    <n v="12.987012987012987"/>
    <n v="40.009131094099061"/>
    <n v="340.2935851672309"/>
    <n v="55.646503968825627"/>
    <n v="35.048718681563187"/>
    <n v="0.72291778262313511"/>
    <n v="0.17447922844647418"/>
    <n v="1.4050159153407684"/>
    <x v="340"/>
    <n v="2.6714899978033772E-2"/>
    <n v="55.646503968825627"/>
    <x v="340"/>
    <x v="340"/>
    <x v="1"/>
    <s v=""/>
    <s v=""/>
    <s v=""/>
    <s v=""/>
    <s v=""/>
    <s v=""/>
    <s v=""/>
    <n v="0"/>
    <n v="8.015790047715484"/>
  </r>
  <r>
    <x v="5"/>
    <n v="49"/>
    <n v="12"/>
    <x v="11"/>
    <x v="3"/>
    <n v="18.289035496547577"/>
    <n v="45.051413436595922"/>
    <x v="341"/>
    <n v="0.3913633058319973"/>
    <n v="322.46258242286206"/>
    <n v="501.48431708868122"/>
    <n v="36.18650013593907"/>
    <n v="13.244734354034096"/>
    <n v="12.987012987012987"/>
    <n v="37.794307151434921"/>
    <n v="576.76282965808025"/>
    <n v="31.535989405617144"/>
    <n v="47.640609877475555"/>
    <n v="1.1474667774175997"/>
    <n v="0.38389591450622085"/>
    <n v="0.55909043690285332"/>
    <x v="341"/>
    <n v="1.5761953828228516E-2"/>
    <n v="31.535989405617144"/>
    <x v="341"/>
    <x v="341"/>
    <x v="1"/>
    <s v=""/>
    <s v=""/>
    <s v=""/>
    <s v=""/>
    <s v=""/>
    <s v=""/>
    <s v=""/>
    <n v="0"/>
    <n v="501.48431708868122"/>
  </r>
  <r>
    <x v="6"/>
    <n v="49"/>
    <n v="12"/>
    <x v="11"/>
    <x v="3"/>
    <n v="24.366466586957088"/>
    <n v="92.323326623657152"/>
    <x v="342"/>
    <n v="0.88405763314344343"/>
    <n v="1988.770087111569"/>
    <n v="260.82316626049897"/>
    <n v="41.467343068000467"/>
    <n v="15.543862049920202"/>
    <n v="12.987012987012987"/>
    <n v="37.288820023681673"/>
    <n v="1574.7152773604475"/>
    <n v="64.626328636560018"/>
    <n v="35.237461608505214"/>
    <n v="0.64164782284323996"/>
    <n v="0.69149324255172195"/>
    <n v="1.262939475919205"/>
    <x v="342"/>
    <n v="5.7730494023956877E-3"/>
    <n v="64.626328636560018"/>
    <x v="342"/>
    <x v="342"/>
    <x v="1"/>
    <s v=""/>
    <s v=""/>
    <s v=""/>
    <s v=""/>
    <s v=""/>
    <s v=""/>
    <s v=""/>
    <n v="0"/>
    <n v="260.82316626049897"/>
  </r>
  <r>
    <x v="0"/>
    <n v="49"/>
    <n v="12"/>
    <x v="11"/>
    <x v="3"/>
    <n v="13.204794709474811"/>
    <n v="105.4667729897901"/>
    <x v="343"/>
    <n v="0.59558051958833158"/>
    <n v="829.44538669402016"/>
    <n v="563.2216993069411"/>
    <n v="40.230405202579306"/>
    <n v="17.351039578458849"/>
    <n v="12.987012987012987"/>
    <n v="37.174558709279545"/>
    <n v="974.86696020067279"/>
    <n v="73.826741092853069"/>
    <n v="38.420132108033471"/>
    <n v="0.54492998887734845"/>
    <n v="0.34369467216677657"/>
    <n v="0.85082931369761661"/>
    <x v="343"/>
    <n v="9.3252817687428449E-3"/>
    <n v="73.826741092853069"/>
    <x v="343"/>
    <x v="343"/>
    <x v="1"/>
    <s v=""/>
    <s v=""/>
    <n v="300"/>
    <s v=""/>
    <s v=""/>
    <s v=""/>
    <s v=""/>
    <n v="300"/>
    <n v="263.2216993069411"/>
  </r>
  <r>
    <x v="1"/>
    <n v="50"/>
    <n v="12"/>
    <x v="11"/>
    <x v="3"/>
    <n v="6.776892568352924"/>
    <n v="41.073223751642004"/>
    <x v="344"/>
    <n v="0.43291311927986775"/>
    <n v="120.50085799239952"/>
    <n v="157.84796680839997"/>
    <n v="23.432402730972175"/>
    <n v="6.7196538523186655"/>
    <n v="28.571428571428573"/>
    <n v="18.346237138386027"/>
    <n v="194.84417736055963"/>
    <n v="28.751256626149399"/>
    <n v="18.088691779147567"/>
    <n v="0.8150044721753239"/>
    <n v="0.37464802049229712"/>
    <n v="0.61844731325695401"/>
    <x v="344"/>
    <n v="0.10264612610409163"/>
    <n v="28.751256626149399"/>
    <x v="344"/>
    <x v="344"/>
    <x v="1"/>
    <n v="1000"/>
    <s v=""/>
    <s v=""/>
    <s v=""/>
    <s v=""/>
    <s v=""/>
    <s v=""/>
    <n v="1000"/>
    <n v="-842.15203319160003"/>
  </r>
  <r>
    <x v="2"/>
    <n v="50"/>
    <n v="12"/>
    <x v="11"/>
    <x v="3"/>
    <n v="23.571027595515229"/>
    <n v="74.94051936366094"/>
    <x v="345"/>
    <n v="0.6496135416126918"/>
    <n v="1147.4936326869104"/>
    <n v="618.93141725618511"/>
    <n v="40.149820093531432"/>
    <n v="21.560786251957463"/>
    <n v="12.987012987012987"/>
    <n v="46.247777626626963"/>
    <n v="1236.4975349601668"/>
    <n v="52.458363554562659"/>
    <n v="39.982622835306103"/>
    <n v="0.76536547030810553"/>
    <n v="0.58953179966725844"/>
    <n v="0.92801934516098838"/>
    <x v="345"/>
    <n v="7.3521449367078195E-3"/>
    <n v="52.458363554562659"/>
    <x v="345"/>
    <x v="345"/>
    <x v="1"/>
    <s v=""/>
    <s v=""/>
    <s v=""/>
    <s v=""/>
    <n v="480"/>
    <s v=""/>
    <s v=""/>
    <n v="480"/>
    <n v="138.93141725618511"/>
  </r>
  <r>
    <x v="3"/>
    <n v="50"/>
    <n v="12"/>
    <x v="11"/>
    <x v="3"/>
    <n v="15.484761690140104"/>
    <n v="79.229620611913973"/>
    <x v="346"/>
    <n v="0.733399984820858"/>
    <n v="899.773087079221"/>
    <n v="327.07870689647928"/>
    <n v="44.433916501549831"/>
    <n v="13.706652174245638"/>
    <n v="12.987012987012987"/>
    <n v="39.520548489860431"/>
    <n v="858.7962557829901"/>
    <n v="55.460734428339777"/>
    <n v="43.940651572115719"/>
    <n v="0.80117793173046459"/>
    <n v="0.35240173133815278"/>
    <n v="1.0477142640297972"/>
    <x v="346"/>
    <n v="1.0585641273692603E-2"/>
    <n v="55.460734428339777"/>
    <x v="346"/>
    <x v="346"/>
    <x v="1"/>
    <s v=""/>
    <s v=""/>
    <s v=""/>
    <s v=""/>
    <s v=""/>
    <s v=""/>
    <s v=""/>
    <n v="0"/>
    <n v="327.07870689647928"/>
  </r>
  <r>
    <x v="4"/>
    <n v="50"/>
    <n v="12"/>
    <x v="11"/>
    <x v="3"/>
    <n v="30.93981752915203"/>
    <n v="58.883137771681092"/>
    <x v="347"/>
    <n v="0.51102817694254832"/>
    <n v="931.00827171900187"/>
    <n v="890.82526648073076"/>
    <n v="20.60883590637712"/>
    <n v="19.421121851525989"/>
    <n v="12.987012987012987"/>
    <n v="45.730135092990608"/>
    <n v="1275.2834767398128"/>
    <n v="41.218196440176762"/>
    <n v="43.471540968621959"/>
    <n v="0.4999936359730916"/>
    <n v="0.7117258058895265"/>
    <n v="0.73004025277506901"/>
    <x v="347"/>
    <n v="7.1285398554284301E-3"/>
    <n v="41.218196440176762"/>
    <x v="347"/>
    <x v="347"/>
    <x v="1"/>
    <s v=""/>
    <s v=""/>
    <s v=""/>
    <s v=""/>
    <s v=""/>
    <s v=""/>
    <s v=""/>
    <n v="0"/>
    <n v="890.82526648073076"/>
  </r>
  <r>
    <x v="5"/>
    <n v="50"/>
    <n v="12"/>
    <x v="11"/>
    <x v="3"/>
    <n v="15.261157817760528"/>
    <n v="159.21851197828045"/>
    <x v="348"/>
    <n v="0.79106869623508735"/>
    <n v="1922.1852636523606"/>
    <n v="507.67357515717254"/>
    <n v="46.88635929826242"/>
    <n v="17.892520762051021"/>
    <n v="12.987012987012987"/>
    <n v="41.924008437389851"/>
    <n v="1700.901187166673"/>
    <n v="111.4529583847963"/>
    <n v="43.499905981821748"/>
    <n v="0.42068294980905913"/>
    <n v="0.35083197246766556"/>
    <n v="1.1300981374786963"/>
    <x v="348"/>
    <n v="5.3447602714961611E-3"/>
    <n v="111.4529583847963"/>
    <x v="348"/>
    <x v="348"/>
    <x v="1"/>
    <s v=""/>
    <n v="300"/>
    <s v=""/>
    <s v=""/>
    <s v=""/>
    <s v=""/>
    <s v=""/>
    <n v="300"/>
    <n v="207.67357515717254"/>
  </r>
  <r>
    <x v="6"/>
    <n v="50"/>
    <n v="12"/>
    <x v="11"/>
    <x v="3"/>
    <n v="2.3817212309360958"/>
    <n v="57.602033626083461"/>
    <x v="349"/>
    <n v="0.82999583652703113"/>
    <n v="113.86877754371338"/>
    <n v="23.323208888624492"/>
    <n v="66.310597281762625"/>
    <n v="23.733049877898427"/>
    <n v="12.987012987012987"/>
    <n v="38.691042591231955"/>
    <n v="96.034390502636498"/>
    <n v="40.321423538258415"/>
    <n v="31.976063718401349"/>
    <n v="1.6445500050077535"/>
    <n v="7.4484503530854562E-2"/>
    <n v="1.1857083378957589"/>
    <x v="349"/>
    <n v="9.4663058132904071E-2"/>
    <n v="40.321423538258415"/>
    <x v="349"/>
    <x v="349"/>
    <x v="1"/>
    <s v=""/>
    <s v=""/>
    <s v=""/>
    <s v=""/>
    <s v=""/>
    <s v=""/>
    <s v=""/>
    <n v="0"/>
    <n v="23.323208888624492"/>
  </r>
  <r>
    <x v="0"/>
    <n v="50"/>
    <n v="12"/>
    <x v="11"/>
    <x v="3"/>
    <n v="32.555199474233973"/>
    <n v="72.01704359425257"/>
    <x v="350"/>
    <n v="0.67037563938798406"/>
    <n v="1571.7152747574023"/>
    <n v="772.81394499809403"/>
    <n v="39.840468934222194"/>
    <n v="12.933119455223757"/>
    <n v="12.987012987012987"/>
    <n v="46.812803747303107"/>
    <n v="1641.1704538288473"/>
    <n v="50.411930515976792"/>
    <n v="49.477067238105917"/>
    <n v="0.79029841798254008"/>
    <n v="0.65798563438620361"/>
    <n v="0.95767948483997734"/>
    <x v="350"/>
    <n v="5.5392839114913493E-3"/>
    <n v="50.411930515976792"/>
    <x v="350"/>
    <x v="350"/>
    <x v="1"/>
    <s v=""/>
    <s v=""/>
    <s v=""/>
    <s v=""/>
    <s v=""/>
    <s v=""/>
    <s v=""/>
    <n v="0"/>
    <n v="772.81394499809403"/>
  </r>
  <r>
    <x v="1"/>
    <n v="51"/>
    <n v="12"/>
    <x v="11"/>
    <x v="3"/>
    <n v="6.3974944783203922"/>
    <n v="13.652911393397186"/>
    <x v="351"/>
    <n v="0.34050627750891294"/>
    <n v="29.741325103801209"/>
    <n v="57.603100148454864"/>
    <n v="23.419152012108633"/>
    <n v="10.490258575936998"/>
    <n v="28.571428571428573"/>
    <n v="17.248269108128554"/>
    <n v="61.14109767657925"/>
    <n v="9.5570379753780301"/>
    <n v="18.642941360177595"/>
    <n v="2.4504613325220448"/>
    <n v="0.34315907316995653"/>
    <n v="0.48643753929844707"/>
    <x v="351"/>
    <n v="0.32711221682336944"/>
    <n v="9.5570379753780301"/>
    <x v="351"/>
    <x v="351"/>
    <x v="1"/>
    <n v="1000"/>
    <s v=""/>
    <s v=""/>
    <s v=""/>
    <s v=""/>
    <s v=""/>
    <s v=""/>
    <n v="1000"/>
    <n v="-942.39689985154519"/>
  </r>
  <r>
    <x v="2"/>
    <n v="51"/>
    <n v="12"/>
    <x v="11"/>
    <x v="3"/>
    <n v="6.8184140944228737"/>
    <n v="28.518699482229103"/>
    <x v="352"/>
    <n v="0.48413577424314902"/>
    <n v="94.141316026253847"/>
    <n v="100.31098647798738"/>
    <n v="35.067245140251586"/>
    <n v="22.482860594514051"/>
    <n v="12.987012987012987"/>
    <n v="46.152846381443702"/>
    <n v="136.11661175296885"/>
    <n v="19.963089637560373"/>
    <n v="45.832731020967451"/>
    <n v="1.7566041017154419"/>
    <n v="0.14876735342922509"/>
    <n v="0.69162253463307"/>
    <x v="352"/>
    <n v="6.6787653423284743E-2"/>
    <n v="19.963089637560373"/>
    <x v="352"/>
    <x v="352"/>
    <x v="1"/>
    <s v=""/>
    <s v=""/>
    <s v=""/>
    <s v=""/>
    <s v=""/>
    <s v=""/>
    <s v=""/>
    <n v="0"/>
    <n v="100.31098647798738"/>
  </r>
  <r>
    <x v="3"/>
    <n v="51"/>
    <n v="12"/>
    <x v="11"/>
    <x v="3"/>
    <n v="34.729871884581947"/>
    <n v="87.633024449566122"/>
    <x v="353"/>
    <n v="0.38146444970618087"/>
    <n v="1029.9540142066883"/>
    <n v="1670.0459857933117"/>
    <n v="61.378809330687098"/>
    <n v="9.6321763522633255"/>
    <n v="12.987012987012987"/>
    <n v="37.333047705538704"/>
    <n v="1889.9999999999998"/>
    <n v="54.42001071242219"/>
    <n v="52.870810898689513"/>
    <n v="1.1278720552819821"/>
    <n v="0.65688177075874543"/>
    <n v="0.54494921386597273"/>
    <x v="353"/>
    <n v="4.8100048100048103E-3"/>
    <n v="54.42001071242219"/>
    <x v="353"/>
    <x v="353"/>
    <x v="1"/>
    <s v=""/>
    <s v=""/>
    <s v=""/>
    <n v="100"/>
    <s v=""/>
    <s v=""/>
    <s v=""/>
    <n v="100"/>
    <n v="1570.0459857933117"/>
  </r>
  <r>
    <x v="4"/>
    <n v="51"/>
    <n v="12"/>
    <x v="11"/>
    <x v="3"/>
    <n v="10.265541850465992"/>
    <n v="95.81800119617489"/>
    <x v="354"/>
    <n v="0.71915437466318222"/>
    <n v="707.37728781756039"/>
    <n v="276.24641348977343"/>
    <n v="30.361882825055915"/>
    <n v="24.584827582109497"/>
    <n v="12.987012987012987"/>
    <n v="41.685306558920885"/>
    <n v="688.53659091513362"/>
    <n v="67.072600837322426"/>
    <n v="38.255350668984278"/>
    <n v="0.45267191738539386"/>
    <n v="0.26834264151155285"/>
    <n v="1.0273633923759746"/>
    <x v="354"/>
    <n v="1.3203233075567368E-2"/>
    <n v="67.072600837322426"/>
    <x v="354"/>
    <x v="354"/>
    <x v="1"/>
    <s v=""/>
    <s v=""/>
    <s v=""/>
    <s v=""/>
    <s v=""/>
    <s v=""/>
    <s v=""/>
    <n v="0"/>
    <n v="276.24641348977343"/>
  </r>
  <r>
    <x v="5"/>
    <n v="51"/>
    <n v="12"/>
    <x v="11"/>
    <x v="3"/>
    <n v="20.317870927934127"/>
    <n v="8.5887738437486796"/>
    <x v="355"/>
    <n v="0.34541968957984565"/>
    <n v="60.277669624610859"/>
    <n v="114.22792876189149"/>
    <n v="52.821631316728471"/>
    <n v="18.605359009551503"/>
    <n v="12.987012987012987"/>
    <n v="43.516424346620433"/>
    <n v="122.15391887055164"/>
    <n v="6.0121416906240759"/>
    <n v="42.098055794818372"/>
    <n v="8.7858260890796558"/>
    <n v="0.48263204901816265"/>
    <n v="0.49345669939977954"/>
    <x v="355"/>
    <n v="7.4421755560235975E-2"/>
    <n v="6.0121416906240759"/>
    <x v="355"/>
    <x v="355"/>
    <x v="1"/>
    <s v=""/>
    <s v=""/>
    <s v=""/>
    <s v=""/>
    <s v=""/>
    <s v=""/>
    <s v=""/>
    <n v="0"/>
    <n v="114.22792876189149"/>
  </r>
  <r>
    <x v="6"/>
    <n v="51"/>
    <n v="12"/>
    <x v="11"/>
    <x v="3"/>
    <n v="27.07235547270961"/>
    <n v="53.693965275205862"/>
    <x v="356"/>
    <n v="0.6252053528206768"/>
    <n v="908.81232707000754"/>
    <n v="544.80978759969162"/>
    <n v="56.2960107968768"/>
    <n v="21.532837066243598"/>
    <n v="12.987012987012987"/>
    <n v="35.255250644564519"/>
    <n v="1017.5354802687893"/>
    <n v="37.585775692644098"/>
    <n v="42.975650399808423"/>
    <n v="1.4978009568629038"/>
    <n v="0.62994638174993844"/>
    <n v="0.89315050402953833"/>
    <x v="356"/>
    <n v="8.9342428516671086E-3"/>
    <n v="37.585775692644098"/>
    <x v="356"/>
    <x v="356"/>
    <x v="1"/>
    <s v=""/>
    <s v=""/>
    <s v=""/>
    <s v=""/>
    <s v=""/>
    <s v=""/>
    <s v=""/>
    <n v="0"/>
    <n v="544.80978759969162"/>
  </r>
  <r>
    <x v="0"/>
    <n v="51"/>
    <n v="12"/>
    <x v="11"/>
    <x v="3"/>
    <n v="23.923232664044921"/>
    <n v="85.222040677679871"/>
    <x v="357"/>
    <n v="0.54986694539842895"/>
    <n v="1121.0614190272402"/>
    <n v="917.72528820959587"/>
    <n v="42.83419174667992"/>
    <n v="26.15171471134077"/>
    <n v="12.987012987012987"/>
    <n v="41.956360645334087"/>
    <n v="1427.1506950657852"/>
    <n v="59.65542847437591"/>
    <n v="39.370492261587231"/>
    <n v="0.71802672182764893"/>
    <n v="0.60764372731468741"/>
    <n v="0.78552420771204146"/>
    <x v="357"/>
    <n v="6.3699713858809005E-3"/>
    <n v="59.65542847437591"/>
    <x v="357"/>
    <x v="357"/>
    <x v="1"/>
    <s v=""/>
    <s v=""/>
    <s v=""/>
    <s v=""/>
    <s v=""/>
    <s v=""/>
    <s v=""/>
    <n v="0"/>
    <n v="917.72528820959587"/>
  </r>
  <r>
    <x v="1"/>
    <n v="52"/>
    <n v="12"/>
    <x v="11"/>
    <x v="3"/>
    <n v="1.5888530885347976"/>
    <n v="12.699583439974466"/>
    <x v="358"/>
    <n v="0.29650657664005214"/>
    <n v="5.9828422101576013"/>
    <n v="14.194930161551197"/>
    <n v="15.206224197956232"/>
    <n v="3.7851211217498504"/>
    <n v="28.571428571428573"/>
    <n v="16.194880842472141"/>
    <n v="14.124440660196157"/>
    <n v="8.8897084079821251"/>
    <n v="15.691890940363386"/>
    <n v="1.7105425172666482"/>
    <n v="0.10125313096893111"/>
    <n v="0.42358082377150308"/>
    <x v="358"/>
    <n v="1.4159852755346025"/>
    <n v="8.8897084079821251"/>
    <x v="358"/>
    <x v="358"/>
    <x v="1"/>
    <n v="1000"/>
    <s v=""/>
    <s v=""/>
    <s v=""/>
    <s v=""/>
    <n v="83"/>
    <s v=""/>
    <n v="1083"/>
    <n v="-1068.8050698384488"/>
  </r>
  <r>
    <x v="2"/>
    <n v="52"/>
    <n v="12"/>
    <x v="11"/>
    <x v="3"/>
    <n v="4.6741504365318844"/>
    <n v="111.60407812956583"/>
    <x v="359"/>
    <n v="0.48601575950727183"/>
    <n v="253.53218676086593"/>
    <n v="268.12206374718278"/>
    <n v="44.34054176455512"/>
    <n v="14.151808095797911"/>
    <n v="12.987012987012987"/>
    <n v="39.521038977079712"/>
    <n v="365.15797535563405"/>
    <n v="78.122854690696073"/>
    <n v="29.957687879436804"/>
    <n v="0.56757452015940979"/>
    <n v="0.15602507294096812"/>
    <n v="0.69430822786753121"/>
    <x v="359"/>
    <n v="2.4895825107079442E-2"/>
    <n v="78.122854690696073"/>
    <x v="359"/>
    <x v="359"/>
    <x v="1"/>
    <s v=""/>
    <s v=""/>
    <s v=""/>
    <s v=""/>
    <s v=""/>
    <s v=""/>
    <s v=""/>
    <n v="0"/>
    <n v="268.12206374718278"/>
  </r>
  <r>
    <x v="3"/>
    <n v="52"/>
    <n v="12"/>
    <x v="11"/>
    <x v="3"/>
    <n v="12.657227295214664"/>
    <n v="79.692877380686554"/>
    <x v="360"/>
    <n v="0.75585498859483868"/>
    <n v="762.42402061027758"/>
    <n v="246.2668422067436"/>
    <n v="42.809632965915299"/>
    <n v="21.08775782350639"/>
    <n v="12.987012987012987"/>
    <n v="34.115317544305839"/>
    <n v="706.08360397191484"/>
    <n v="55.785014166480593"/>
    <n v="36.796045488311186"/>
    <n v="0.76740381992478224"/>
    <n v="0.34398335819090725"/>
    <n v="1.0797928408497697"/>
    <x v="360"/>
    <n v="1.2875117110452958E-2"/>
    <n v="55.785014166480593"/>
    <x v="360"/>
    <x v="360"/>
    <x v="1"/>
    <s v=""/>
    <s v=""/>
    <s v=""/>
    <s v=""/>
    <s v=""/>
    <s v=""/>
    <s v=""/>
    <n v="0"/>
    <n v="246.2668422067436"/>
  </r>
  <r>
    <x v="4"/>
    <n v="52"/>
    <n v="12"/>
    <x v="11"/>
    <x v="3"/>
    <n v="17.054586254131944"/>
    <n v="45.871309267224653"/>
    <x v="361"/>
    <n v="0.83468092323098109"/>
    <n v="652.98440848174766"/>
    <n v="129.3317920060972"/>
    <n v="32.750515949208236"/>
    <n v="16.653137944851263"/>
    <n v="12.987012987012987"/>
    <n v="35.290840549624171"/>
    <n v="547.62134034149142"/>
    <n v="32.109916487057262"/>
    <n v="38.493286719355709"/>
    <n v="1.0199502064232768"/>
    <n v="0.4430535219939099"/>
    <n v="1.1924013189014016"/>
    <x v="361"/>
    <n v="1.6600721011420204E-2"/>
    <n v="32.109916487057262"/>
    <x v="361"/>
    <x v="361"/>
    <x v="1"/>
    <s v=""/>
    <s v=""/>
    <s v=""/>
    <s v=""/>
    <s v=""/>
    <s v=""/>
    <s v=""/>
    <n v="0"/>
    <n v="129.3317920060972"/>
  </r>
  <r>
    <x v="5"/>
    <n v="52"/>
    <n v="12"/>
    <x v="11"/>
    <x v="3"/>
    <n v="20.391536886353411"/>
    <n v="56.738477546018132"/>
    <x v="362"/>
    <n v="0.51233570220035562"/>
    <n v="592.76459829960004"/>
    <n v="564.22015945556336"/>
    <n v="38.522717319205427"/>
    <n v="17.296552246714448"/>
    <n v="12.987012987012987"/>
    <n v="40.762154675542"/>
    <n v="809.88933042861436"/>
    <n v="39.716934282212691"/>
    <n v="36.646902012124329"/>
    <n v="0.96993179396673379"/>
    <n v="0.55643276148164"/>
    <n v="0.73190814600050813"/>
    <x v="362"/>
    <n v="1.1224878201689541E-2"/>
    <n v="39.716934282212691"/>
    <x v="362"/>
    <x v="362"/>
    <x v="1"/>
    <s v=""/>
    <s v=""/>
    <s v=""/>
    <s v=""/>
    <s v=""/>
    <s v=""/>
    <s v=""/>
    <n v="0"/>
    <n v="564.22015945556336"/>
  </r>
  <r>
    <x v="6"/>
    <n v="52"/>
    <n v="12"/>
    <x v="11"/>
    <x v="3"/>
    <n v="21.387380544250561"/>
    <n v="33.597033370839725"/>
    <x v="363"/>
    <n v="0.65940319256310997"/>
    <n v="473.81583748923163"/>
    <n v="244.73670037080274"/>
    <n v="47.393265752335758"/>
    <n v="11.196263315479129"/>
    <n v="12.987012987012987"/>
    <n v="48.075286681356182"/>
    <n v="502.98677650202404"/>
    <n v="23.517923359587805"/>
    <n v="46.81645162159807"/>
    <n v="2.0151977293103318"/>
    <n v="0.45683471949385873"/>
    <n v="0.94200456080444284"/>
    <x v="363"/>
    <n v="1.8073853062561592E-2"/>
    <n v="23.517923359587805"/>
    <x v="363"/>
    <x v="363"/>
    <x v="1"/>
    <s v=""/>
    <s v=""/>
    <s v=""/>
    <s v=""/>
    <s v=""/>
    <s v=""/>
    <s v=""/>
    <n v="0"/>
    <n v="244.73670037080274"/>
  </r>
  <r>
    <x v="0"/>
    <n v="52"/>
    <n v="12"/>
    <x v="11"/>
    <x v="3"/>
    <n v="6.4038069555508628"/>
    <n v="55.163928043924201"/>
    <x v="364"/>
    <n v="0.73075665084783348"/>
    <n v="258.14647048773196"/>
    <n v="95.112675615457135"/>
    <n v="43.641931842011786"/>
    <n v="10.292481360014161"/>
    <n v="12.987012987012987"/>
    <n v="40.949615880372797"/>
    <n v="247.28140227223236"/>
    <n v="38.614749630746935"/>
    <n v="38.734059230206817"/>
    <n v="1.1301881343097449"/>
    <n v="0.16532754590711329"/>
    <n v="1.0439380726397622"/>
    <x v="364"/>
    <n v="3.676341612177085E-2"/>
    <n v="38.614749630746935"/>
    <x v="364"/>
    <x v="364"/>
    <x v="1"/>
    <s v=""/>
    <s v=""/>
    <s v=""/>
    <s v=""/>
    <s v=""/>
    <s v=""/>
    <s v=""/>
    <n v="0"/>
    <n v="95.112675615457135"/>
  </r>
  <r>
    <x v="1"/>
    <n v="52"/>
    <n v="1"/>
    <x v="0"/>
    <x v="3"/>
    <n v="13.60869710528582"/>
    <n v="28.088596900676407"/>
    <x v="365"/>
    <n v="0.17156509093467959"/>
    <n v="65.580620015928346"/>
    <n v="316.66858731784697"/>
    <n v="28.984361582868587"/>
    <n v="5.6991992770189324"/>
    <n v="28.571428571428573"/>
    <n v="15.912486630439108"/>
    <n v="267.57444513364271"/>
    <n v="19.662017830473484"/>
    <n v="19.553896898321032"/>
    <n v="1.4741295543912447"/>
    <n v="0.69595831337610825"/>
    <n v="0.24509298704954224"/>
    <x v="365"/>
    <n v="7.4745553485164859E-2"/>
    <n v="19.662017830473484"/>
    <x v="365"/>
    <x v="365"/>
    <x v="0"/>
    <n v="1000"/>
    <s v=""/>
    <s v=""/>
    <s v=""/>
    <s v=""/>
    <s v=""/>
    <s v=""/>
    <n v="4000"/>
    <n v="-3683.3314126821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FB9EA-E720-0541-B037-58DCC0805A4C}" name="PivotTable14" cacheId="6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25:Q38" firstHeaderRow="0" firstDataRow="1" firstDataCol="1"/>
  <pivotFields count="36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numFmtId="1" showAll="0"/>
    <pivotField numFmtId="1" showAll="0"/>
    <pivotField dataField="1" numFmtId="1" showAll="0"/>
    <pivotField numFmtId="2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Expenses" fld="34" subtotal="average" baseField="0" baseItem="0"/>
    <dataField name="Average of Total Reven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A6EE1-7EF3-264B-B6D5-026E8DE5CE32}" name="PivotTable13" cacheId="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23:L34" firstHeaderRow="1" firstDataRow="1" firstDataCol="1"/>
  <pivotFields count="36"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" showAll="0"/>
    <pivotField numFmtId="1" showAll="0"/>
    <pivotField dataField="1" numFmtId="1" showAll="0">
      <items count="367">
        <item x="180"/>
        <item x="232"/>
        <item x="107"/>
        <item x="230"/>
        <item x="162"/>
        <item x="149"/>
        <item x="358"/>
        <item x="15"/>
        <item x="238"/>
        <item x="204"/>
        <item x="85"/>
        <item x="70"/>
        <item x="267"/>
        <item x="169"/>
        <item x="274"/>
        <item x="11"/>
        <item x="306"/>
        <item x="176"/>
        <item x="141"/>
        <item x="268"/>
        <item x="158"/>
        <item x="302"/>
        <item x="166"/>
        <item x="337"/>
        <item x="255"/>
        <item x="351"/>
        <item x="2"/>
        <item x="148"/>
        <item x="201"/>
        <item x="304"/>
        <item x="323"/>
        <item x="89"/>
        <item x="165"/>
        <item x="218"/>
        <item x="8"/>
        <item x="77"/>
        <item x="134"/>
        <item x="241"/>
        <item x="295"/>
        <item x="349"/>
        <item x="316"/>
        <item x="35"/>
        <item x="208"/>
        <item x="239"/>
        <item x="155"/>
        <item x="171"/>
        <item x="113"/>
        <item x="104"/>
        <item x="190"/>
        <item x="16"/>
        <item x="183"/>
        <item x="119"/>
        <item x="355"/>
        <item x="312"/>
        <item x="246"/>
        <item x="64"/>
        <item x="303"/>
        <item x="325"/>
        <item x="29"/>
        <item x="336"/>
        <item x="276"/>
        <item x="352"/>
        <item x="309"/>
        <item x="288"/>
        <item x="297"/>
        <item x="296"/>
        <item x="1"/>
        <item x="200"/>
        <item x="81"/>
        <item x="301"/>
        <item x="22"/>
        <item x="92"/>
        <item x="18"/>
        <item x="234"/>
        <item x="78"/>
        <item x="6"/>
        <item x="225"/>
        <item x="256"/>
        <item x="252"/>
        <item x="236"/>
        <item x="318"/>
        <item x="262"/>
        <item x="300"/>
        <item x="5"/>
        <item x="344"/>
        <item x="30"/>
        <item x="88"/>
        <item x="214"/>
        <item x="330"/>
        <item x="206"/>
        <item x="266"/>
        <item x="197"/>
        <item x="7"/>
        <item x="4"/>
        <item x="98"/>
        <item x="156"/>
        <item x="233"/>
        <item x="99"/>
        <item x="281"/>
        <item x="260"/>
        <item x="3"/>
        <item x="106"/>
        <item x="71"/>
        <item x="211"/>
        <item x="185"/>
        <item x="282"/>
        <item x="317"/>
        <item x="63"/>
        <item x="364"/>
        <item x="263"/>
        <item x="365"/>
        <item x="284"/>
        <item x="33"/>
        <item x="339"/>
        <item x="50"/>
        <item x="193"/>
        <item x="26"/>
        <item x="258"/>
        <item x="82"/>
        <item x="196"/>
        <item x="13"/>
        <item x="181"/>
        <item x="184"/>
        <item x="101"/>
        <item x="9"/>
        <item x="145"/>
        <item x="17"/>
        <item x="253"/>
        <item x="320"/>
        <item x="307"/>
        <item x="221"/>
        <item x="310"/>
        <item x="76"/>
        <item x="191"/>
        <item x="340"/>
        <item x="192"/>
        <item x="332"/>
        <item x="217"/>
        <item x="57"/>
        <item x="290"/>
        <item x="315"/>
        <item x="322"/>
        <item x="95"/>
        <item x="359"/>
        <item x="36"/>
        <item x="23"/>
        <item x="160"/>
        <item x="127"/>
        <item x="314"/>
        <item x="205"/>
        <item x="321"/>
        <item x="283"/>
        <item x="168"/>
        <item x="199"/>
        <item x="254"/>
        <item x="280"/>
        <item x="215"/>
        <item x="161"/>
        <item x="37"/>
        <item x="305"/>
        <item x="294"/>
        <item x="43"/>
        <item x="74"/>
        <item x="14"/>
        <item x="249"/>
        <item x="244"/>
        <item x="203"/>
        <item x="293"/>
        <item x="278"/>
        <item x="182"/>
        <item x="311"/>
        <item x="45"/>
        <item x="188"/>
        <item x="299"/>
        <item x="207"/>
        <item x="21"/>
        <item x="287"/>
        <item x="226"/>
        <item x="363"/>
        <item x="179"/>
        <item x="335"/>
        <item x="224"/>
        <item x="12"/>
        <item x="264"/>
        <item x="31"/>
        <item x="298"/>
        <item x="173"/>
        <item x="86"/>
        <item x="216"/>
        <item x="319"/>
        <item x="147"/>
        <item x="10"/>
        <item x="120"/>
        <item x="361"/>
        <item x="44"/>
        <item x="84"/>
        <item x="19"/>
        <item x="87"/>
        <item x="341"/>
        <item x="34"/>
        <item x="27"/>
        <item x="186"/>
        <item x="210"/>
        <item x="164"/>
        <item x="102"/>
        <item x="202"/>
        <item x="220"/>
        <item x="251"/>
        <item x="159"/>
        <item x="212"/>
        <item x="324"/>
        <item x="80"/>
        <item x="250"/>
        <item x="289"/>
        <item x="275"/>
        <item x="154"/>
        <item x="157"/>
        <item x="354"/>
        <item x="248"/>
        <item x="360"/>
        <item x="213"/>
        <item x="110"/>
        <item x="28"/>
        <item x="142"/>
        <item x="242"/>
        <item x="55"/>
        <item x="150"/>
        <item x="131"/>
        <item x="143"/>
        <item x="327"/>
        <item x="62"/>
        <item x="277"/>
        <item x="292"/>
        <item x="25"/>
        <item x="128"/>
        <item x="83"/>
        <item x="285"/>
        <item x="174"/>
        <item x="67"/>
        <item x="100"/>
        <item x="334"/>
        <item x="65"/>
        <item x="286"/>
        <item x="72"/>
        <item x="0"/>
        <item x="362"/>
        <item x="187"/>
        <item x="20"/>
        <item x="170"/>
        <item x="326"/>
        <item x="117"/>
        <item x="167"/>
        <item x="247"/>
        <item x="223"/>
        <item x="103"/>
        <item x="346"/>
        <item x="245"/>
        <item x="151"/>
        <item x="313"/>
        <item x="229"/>
        <item x="126"/>
        <item x="261"/>
        <item x="243"/>
        <item x="93"/>
        <item x="178"/>
        <item x="111"/>
        <item x="257"/>
        <item x="52"/>
        <item x="198"/>
        <item x="139"/>
        <item x="195"/>
        <item x="328"/>
        <item x="343"/>
        <item x="96"/>
        <item x="194"/>
        <item x="175"/>
        <item x="90"/>
        <item x="135"/>
        <item x="356"/>
        <item x="265"/>
        <item x="269"/>
        <item x="152"/>
        <item x="270"/>
        <item x="259"/>
        <item x="125"/>
        <item x="279"/>
        <item x="105"/>
        <item x="132"/>
        <item x="177"/>
        <item x="49"/>
        <item x="338"/>
        <item x="68"/>
        <item x="271"/>
        <item x="146"/>
        <item x="24"/>
        <item x="79"/>
        <item x="189"/>
        <item x="228"/>
        <item x="240"/>
        <item x="60"/>
        <item x="75"/>
        <item x="144"/>
        <item x="308"/>
        <item x="61"/>
        <item x="32"/>
        <item x="69"/>
        <item x="38"/>
        <item x="42"/>
        <item x="108"/>
        <item x="345"/>
        <item x="91"/>
        <item x="331"/>
        <item x="235"/>
        <item x="58"/>
        <item x="163"/>
        <item x="227"/>
        <item x="129"/>
        <item x="347"/>
        <item x="116"/>
        <item x="209"/>
        <item x="153"/>
        <item x="97"/>
        <item x="272"/>
        <item x="56"/>
        <item x="222"/>
        <item x="94"/>
        <item x="46"/>
        <item x="219"/>
        <item x="329"/>
        <item x="40"/>
        <item x="172"/>
        <item x="237"/>
        <item x="333"/>
        <item x="140"/>
        <item x="273"/>
        <item x="357"/>
        <item x="291"/>
        <item x="39"/>
        <item x="41"/>
        <item x="231"/>
        <item x="124"/>
        <item x="121"/>
        <item x="114"/>
        <item x="342"/>
        <item x="66"/>
        <item x="350"/>
        <item x="348"/>
        <item x="73"/>
        <item x="51"/>
        <item x="122"/>
        <item x="137"/>
        <item x="353"/>
        <item x="59"/>
        <item x="53"/>
        <item x="112"/>
        <item x="115"/>
        <item x="138"/>
        <item x="118"/>
        <item x="136"/>
        <item x="109"/>
        <item x="130"/>
        <item x="54"/>
        <item x="123"/>
        <item x="47"/>
        <item x="133"/>
        <item x="48"/>
        <item t="default"/>
      </items>
    </pivotField>
    <pivotField numFmtId="2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>
      <items count="367">
        <item x="180"/>
        <item x="107"/>
        <item x="149"/>
        <item x="232"/>
        <item x="158"/>
        <item x="89"/>
        <item x="255"/>
        <item x="254"/>
        <item x="166"/>
        <item x="113"/>
        <item x="181"/>
        <item x="268"/>
        <item x="169"/>
        <item x="239"/>
        <item x="349"/>
        <item x="359"/>
        <item x="104"/>
        <item x="55"/>
        <item x="45"/>
        <item x="141"/>
        <item x="77"/>
        <item x="119"/>
        <item x="171"/>
        <item x="340"/>
        <item x="52"/>
        <item x="38"/>
        <item x="320"/>
        <item x="81"/>
        <item x="117"/>
        <item x="50"/>
        <item x="196"/>
        <item x="335"/>
        <item x="348"/>
        <item x="283"/>
        <item x="289"/>
        <item x="101"/>
        <item x="354"/>
        <item x="108"/>
        <item x="161"/>
        <item x="24"/>
        <item x="11"/>
        <item x="364"/>
        <item x="28"/>
        <item x="61"/>
        <item x="47"/>
        <item x="202"/>
        <item x="337"/>
        <item x="226"/>
        <item x="358"/>
        <item x="343"/>
        <item x="287"/>
        <item x="249"/>
        <item x="90"/>
        <item x="333"/>
        <item x="281"/>
        <item x="6"/>
        <item x="244"/>
        <item x="157"/>
        <item x="78"/>
        <item x="175"/>
        <item x="307"/>
        <item x="187"/>
        <item x="114"/>
        <item x="326"/>
        <item x="42"/>
        <item x="200"/>
        <item x="142"/>
        <item x="220"/>
        <item x="323"/>
        <item x="147"/>
        <item x="109"/>
        <item x="68"/>
        <item x="144"/>
        <item x="34"/>
        <item x="163"/>
        <item x="138"/>
        <item x="334"/>
        <item x="91"/>
        <item x="1"/>
        <item x="51"/>
        <item x="190"/>
        <item x="191"/>
        <item x="172"/>
        <item x="315"/>
        <item x="360"/>
        <item x="257"/>
        <item x="228"/>
        <item x="35"/>
        <item x="193"/>
        <item x="94"/>
        <item x="267"/>
        <item x="260"/>
        <item x="43"/>
        <item x="344"/>
        <item x="26"/>
        <item x="210"/>
        <item x="298"/>
        <item x="297"/>
        <item x="9"/>
        <item x="301"/>
        <item x="291"/>
        <item x="311"/>
        <item x="80"/>
        <item x="264"/>
        <item x="309"/>
        <item x="75"/>
        <item x="111"/>
        <item x="198"/>
        <item x="60"/>
        <item x="79"/>
        <item x="203"/>
        <item x="174"/>
        <item x="199"/>
        <item x="248"/>
        <item x="164"/>
        <item x="279"/>
        <item x="261"/>
        <item x="346"/>
        <item x="256"/>
        <item x="155"/>
        <item x="250"/>
        <item x="231"/>
        <item x="153"/>
        <item x="106"/>
        <item x="73"/>
        <item x="37"/>
        <item x="318"/>
        <item x="275"/>
        <item x="273"/>
        <item x="219"/>
        <item x="4"/>
        <item x="329"/>
        <item x="316"/>
        <item x="262"/>
        <item x="227"/>
        <item x="168"/>
        <item x="148"/>
        <item x="338"/>
        <item x="56"/>
        <item x="72"/>
        <item x="277"/>
        <item x="253"/>
        <item x="25"/>
        <item x="102"/>
        <item x="215"/>
        <item x="177"/>
        <item x="85"/>
        <item x="130"/>
        <item x="20"/>
        <item x="305"/>
        <item x="23"/>
        <item x="192"/>
        <item x="128"/>
        <item x="352"/>
        <item x="216"/>
        <item x="127"/>
        <item x="197"/>
        <item x="300"/>
        <item x="245"/>
        <item x="206"/>
        <item x="112"/>
        <item x="65"/>
        <item x="115"/>
        <item x="129"/>
        <item x="99"/>
        <item x="170"/>
        <item x="178"/>
        <item x="14"/>
        <item x="295"/>
        <item x="276"/>
        <item x="74"/>
        <item x="302"/>
        <item x="319"/>
        <item x="19"/>
        <item x="8"/>
        <item x="12"/>
        <item x="53"/>
        <item x="342"/>
        <item x="48"/>
        <item x="120"/>
        <item x="308"/>
        <item x="179"/>
        <item x="17"/>
        <item x="22"/>
        <item x="64"/>
        <item x="30"/>
        <item x="124"/>
        <item x="39"/>
        <item x="236"/>
        <item x="21"/>
        <item x="237"/>
        <item x="266"/>
        <item x="96"/>
        <item x="143"/>
        <item x="357"/>
        <item x="167"/>
        <item x="71"/>
        <item x="31"/>
        <item x="285"/>
        <item x="222"/>
        <item x="93"/>
        <item x="0"/>
        <item x="122"/>
        <item x="246"/>
        <item x="243"/>
        <item x="29"/>
        <item x="18"/>
        <item x="13"/>
        <item x="330"/>
        <item x="263"/>
        <item x="240"/>
        <item x="57"/>
        <item x="189"/>
        <item x="123"/>
        <item x="41"/>
        <item x="100"/>
        <item x="46"/>
        <item x="310"/>
        <item x="5"/>
        <item x="133"/>
        <item x="209"/>
        <item x="345"/>
        <item x="211"/>
        <item x="7"/>
        <item x="137"/>
        <item x="27"/>
        <item x="272"/>
        <item x="36"/>
        <item x="49"/>
        <item x="294"/>
        <item x="313"/>
        <item x="229"/>
        <item x="146"/>
        <item x="152"/>
        <item x="270"/>
        <item x="328"/>
        <item x="286"/>
        <item x="214"/>
        <item x="331"/>
        <item x="332"/>
        <item x="136"/>
        <item x="201"/>
        <item x="140"/>
        <item x="290"/>
        <item x="126"/>
        <item x="212"/>
        <item x="336"/>
        <item x="362"/>
        <item x="269"/>
        <item x="207"/>
        <item x="135"/>
        <item x="132"/>
        <item x="97"/>
        <item x="282"/>
        <item x="361"/>
        <item x="235"/>
        <item x="304"/>
        <item x="40"/>
        <item x="67"/>
        <item x="280"/>
        <item x="278"/>
        <item x="95"/>
        <item x="33"/>
        <item x="194"/>
        <item x="87"/>
        <item x="69"/>
        <item x="105"/>
        <item x="188"/>
        <item x="151"/>
        <item x="327"/>
        <item x="54"/>
        <item x="84"/>
        <item x="195"/>
        <item x="341"/>
        <item x="288"/>
        <item x="150"/>
        <item x="159"/>
        <item x="10"/>
        <item x="258"/>
        <item x="110"/>
        <item x="186"/>
        <item x="271"/>
        <item x="247"/>
        <item x="259"/>
        <item x="314"/>
        <item x="83"/>
        <item x="353"/>
        <item x="3"/>
        <item x="131"/>
        <item x="145"/>
        <item x="350"/>
        <item x="32"/>
        <item x="16"/>
        <item x="351"/>
        <item x="86"/>
        <item x="213"/>
        <item x="58"/>
        <item x="59"/>
        <item x="204"/>
        <item x="365"/>
        <item x="103"/>
        <item x="234"/>
        <item x="356"/>
        <item x="173"/>
        <item x="225"/>
        <item x="347"/>
        <item x="233"/>
        <item x="321"/>
        <item x="205"/>
        <item x="182"/>
        <item x="118"/>
        <item x="292"/>
        <item x="66"/>
        <item x="160"/>
        <item x="293"/>
        <item x="241"/>
        <item x="154"/>
        <item x="284"/>
        <item x="265"/>
        <item x="299"/>
        <item x="296"/>
        <item x="98"/>
        <item x="183"/>
        <item x="274"/>
        <item x="217"/>
        <item x="139"/>
        <item x="121"/>
        <item x="223"/>
        <item x="218"/>
        <item x="62"/>
        <item x="317"/>
        <item x="15"/>
        <item x="70"/>
        <item x="363"/>
        <item x="324"/>
        <item x="242"/>
        <item x="92"/>
        <item x="76"/>
        <item x="125"/>
        <item x="116"/>
        <item x="339"/>
        <item x="134"/>
        <item x="185"/>
        <item x="224"/>
        <item x="322"/>
        <item x="184"/>
        <item x="252"/>
        <item x="251"/>
        <item x="156"/>
        <item x="221"/>
        <item x="82"/>
        <item x="63"/>
        <item x="176"/>
        <item x="2"/>
        <item x="44"/>
        <item x="303"/>
        <item x="88"/>
        <item x="208"/>
        <item x="312"/>
        <item x="162"/>
        <item x="355"/>
        <item x="165"/>
        <item x="325"/>
        <item x="306"/>
        <item x="238"/>
        <item x="230"/>
        <item t="default"/>
      </items>
    </pivotField>
    <pivotField numFmtId="2" showAll="0"/>
    <pivotField numFmtId="1" showAll="0"/>
    <pivotField numFmtId="2" showAll="0"/>
    <pivotField numFmtId="2" showAll="0">
      <items count="367">
        <item x="54"/>
        <item x="347"/>
        <item x="94"/>
        <item x="73"/>
        <item x="66"/>
        <item x="91"/>
        <item x="109"/>
        <item x="237"/>
        <item x="235"/>
        <item x="20"/>
        <item x="69"/>
        <item x="79"/>
        <item x="227"/>
        <item x="350"/>
        <item x="146"/>
        <item x="271"/>
        <item x="97"/>
        <item x="291"/>
        <item x="342"/>
        <item x="136"/>
        <item x="187"/>
        <item x="219"/>
        <item x="222"/>
        <item x="118"/>
        <item x="333"/>
        <item x="348"/>
        <item x="153"/>
        <item x="75"/>
        <item x="209"/>
        <item x="223"/>
        <item x="112"/>
        <item x="144"/>
        <item x="273"/>
        <item x="357"/>
        <item x="229"/>
        <item x="194"/>
        <item x="123"/>
        <item x="331"/>
        <item x="189"/>
        <item x="47"/>
        <item x="48"/>
        <item x="71"/>
        <item x="345"/>
        <item x="353"/>
        <item x="68"/>
        <item x="308"/>
        <item x="338"/>
        <item x="329"/>
        <item x="159"/>
        <item x="231"/>
        <item x="114"/>
        <item x="270"/>
        <item x="143"/>
        <item x="228"/>
        <item x="17"/>
        <item x="115"/>
        <item x="130"/>
        <item x="172"/>
        <item x="240"/>
        <item x="41"/>
        <item x="175"/>
        <item x="178"/>
        <item x="151"/>
        <item x="90"/>
        <item x="265"/>
        <item x="279"/>
        <item x="259"/>
        <item x="286"/>
        <item x="170"/>
        <item x="124"/>
        <item x="56"/>
        <item x="24"/>
        <item x="328"/>
        <item x="154"/>
        <item x="343"/>
        <item x="96"/>
        <item x="110"/>
        <item x="177"/>
        <item x="59"/>
        <item x="261"/>
        <item x="133"/>
        <item x="247"/>
        <item x="105"/>
        <item x="152"/>
        <item x="245"/>
        <item x="186"/>
        <item x="248"/>
        <item x="220"/>
        <item x="354"/>
        <item x="157"/>
        <item x="257"/>
        <item x="108"/>
        <item x="272"/>
        <item x="198"/>
        <item x="298"/>
        <item x="163"/>
        <item x="362"/>
        <item x="167"/>
        <item x="84"/>
        <item x="269"/>
        <item x="242"/>
        <item x="212"/>
        <item x="65"/>
        <item x="53"/>
        <item x="122"/>
        <item x="100"/>
        <item x="46"/>
        <item x="93"/>
        <item x="51"/>
        <item x="164"/>
        <item x="202"/>
        <item x="283"/>
        <item x="72"/>
        <item x="243"/>
        <item x="150"/>
        <item x="327"/>
        <item x="127"/>
        <item x="346"/>
        <item x="142"/>
        <item x="326"/>
        <item x="58"/>
        <item x="250"/>
        <item x="292"/>
        <item x="0"/>
        <item x="182"/>
        <item x="356"/>
        <item x="140"/>
        <item x="275"/>
        <item x="195"/>
        <item x="277"/>
        <item x="36"/>
        <item x="138"/>
        <item x="111"/>
        <item x="39"/>
        <item x="174"/>
        <item x="264"/>
        <item x="137"/>
        <item x="334"/>
        <item x="324"/>
        <item x="12"/>
        <item x="361"/>
        <item x="253"/>
        <item x="168"/>
        <item x="120"/>
        <item x="103"/>
        <item x="360"/>
        <item x="285"/>
        <item x="116"/>
        <item x="32"/>
        <item x="80"/>
        <item x="121"/>
        <item x="216"/>
        <item x="341"/>
        <item x="213"/>
        <item x="280"/>
        <item x="40"/>
        <item x="224"/>
        <item x="139"/>
        <item x="87"/>
        <item x="313"/>
        <item x="42"/>
        <item x="25"/>
        <item x="67"/>
        <item x="74"/>
        <item x="179"/>
        <item x="28"/>
        <item x="83"/>
        <item x="117"/>
        <item x="38"/>
        <item x="215"/>
        <item x="21"/>
        <item x="210"/>
        <item x="78"/>
        <item x="251"/>
        <item x="14"/>
        <item x="289"/>
        <item x="244"/>
        <item x="92"/>
        <item x="299"/>
        <item x="305"/>
        <item x="129"/>
        <item x="19"/>
        <item x="322"/>
        <item x="188"/>
        <item x="173"/>
        <item x="205"/>
        <item x="191"/>
        <item x="319"/>
        <item x="60"/>
        <item x="260"/>
        <item x="320"/>
        <item x="52"/>
        <item x="161"/>
        <item x="61"/>
        <item x="278"/>
        <item x="211"/>
        <item x="287"/>
        <item x="102"/>
        <item x="10"/>
        <item x="160"/>
        <item x="226"/>
        <item x="147"/>
        <item x="293"/>
        <item x="132"/>
        <item x="311"/>
        <item x="43"/>
        <item x="335"/>
        <item x="192"/>
        <item x="330"/>
        <item x="190"/>
        <item x="363"/>
        <item x="281"/>
        <item x="249"/>
        <item x="203"/>
        <item x="126"/>
        <item x="37"/>
        <item x="207"/>
        <item x="314"/>
        <item x="197"/>
        <item x="135"/>
        <item x="57"/>
        <item x="315"/>
        <item x="86"/>
        <item x="199"/>
        <item x="184"/>
        <item x="294"/>
        <item x="1"/>
        <item x="131"/>
        <item x="290"/>
        <item x="254"/>
        <item x="365"/>
        <item x="125"/>
        <item x="99"/>
        <item x="62"/>
        <item x="7"/>
        <item x="106"/>
        <item x="3"/>
        <item x="263"/>
        <item x="45"/>
        <item x="76"/>
        <item x="217"/>
        <item x="193"/>
        <item x="34"/>
        <item x="95"/>
        <item x="340"/>
        <item x="27"/>
        <item x="31"/>
        <item x="344"/>
        <item x="145"/>
        <item x="9"/>
        <item x="359"/>
        <item x="221"/>
        <item x="321"/>
        <item x="49"/>
        <item x="196"/>
        <item x="309"/>
        <item x="64"/>
        <item x="225"/>
        <item x="332"/>
        <item x="26"/>
        <item x="258"/>
        <item x="101"/>
        <item x="181"/>
        <item x="44"/>
        <item x="233"/>
        <item x="317"/>
        <item x="310"/>
        <item x="266"/>
        <item x="82"/>
        <item x="282"/>
        <item x="185"/>
        <item x="239"/>
        <item x="128"/>
        <item x="262"/>
        <item x="13"/>
        <item x="4"/>
        <item x="318"/>
        <item x="156"/>
        <item x="288"/>
        <item x="339"/>
        <item x="55"/>
        <item x="98"/>
        <item x="50"/>
        <item x="6"/>
        <item x="284"/>
        <item x="183"/>
        <item x="256"/>
        <item x="246"/>
        <item x="88"/>
        <item x="364"/>
        <item x="155"/>
        <item x="23"/>
        <item x="316"/>
        <item x="214"/>
        <item x="252"/>
        <item x="22"/>
        <item x="301"/>
        <item x="307"/>
        <item x="8"/>
        <item x="148"/>
        <item x="5"/>
        <item x="297"/>
        <item x="234"/>
        <item x="300"/>
        <item x="295"/>
        <item x="206"/>
        <item x="236"/>
        <item x="176"/>
        <item x="336"/>
        <item x="18"/>
        <item x="352"/>
        <item x="323"/>
        <item x="218"/>
        <item x="208"/>
        <item x="113"/>
        <item x="302"/>
        <item x="29"/>
        <item x="81"/>
        <item x="276"/>
        <item x="33"/>
        <item x="337"/>
        <item x="104"/>
        <item x="325"/>
        <item x="303"/>
        <item x="200"/>
        <item x="63"/>
        <item x="16"/>
        <item x="201"/>
        <item x="30"/>
        <item x="351"/>
        <item x="171"/>
        <item x="355"/>
        <item x="165"/>
        <item x="296"/>
        <item x="241"/>
        <item x="141"/>
        <item x="274"/>
        <item x="89"/>
        <item x="312"/>
        <item x="77"/>
        <item x="2"/>
        <item x="134"/>
        <item x="304"/>
        <item x="255"/>
        <item x="119"/>
        <item x="158"/>
        <item x="349"/>
        <item x="11"/>
        <item x="169"/>
        <item x="85"/>
        <item x="267"/>
        <item x="35"/>
        <item x="268"/>
        <item x="306"/>
        <item x="166"/>
        <item x="238"/>
        <item x="358"/>
        <item x="15"/>
        <item x="70"/>
        <item x="204"/>
        <item x="162"/>
        <item x="230"/>
        <item x="149"/>
        <item x="232"/>
        <item x="107"/>
        <item x="180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dataField="1" numFmtId="164" showAl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Items count="1">
    <i/>
  </colItems>
  <dataFields count="11">
    <dataField name="Sum of Total Revenue" fld="7" baseField="0" baseItem="0"/>
    <dataField name="Sum of COGS" fld="9" baseField="0" baseItem="0"/>
    <dataField name="Sum of Rent / Lease" fld="26" baseField="0" baseItem="0"/>
    <dataField name="Sum of Wages and Salaries" fld="27" baseField="0" baseItem="0"/>
    <dataField name="Sum of Insurance" fld="28" baseField="0" baseItem="0"/>
    <dataField name="Sum of Water" fld="30" baseField="0" baseItem="0"/>
    <dataField name="Sum of Phone" fld="31" baseField="0" baseItem="0"/>
    <dataField name="Sum of Electric" fld="29" baseField="0" baseItem="0"/>
    <dataField name="Sum of Internet" fld="32" baseField="0" baseItem="0"/>
    <dataField name="Sum of Delivery" fld="33" baseField="0" baseItem="0"/>
    <dataField name="Sum of Profi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49F6-4805-46ED-9C43-22F75769BB73}">
  <dimension ref="A1:AP373"/>
  <sheetViews>
    <sheetView topLeftCell="L1" workbookViewId="0">
      <selection activeCell="AM8" sqref="AM8:AM373"/>
    </sheetView>
  </sheetViews>
  <sheetFormatPr baseColWidth="10" defaultColWidth="8.83203125" defaultRowHeight="15" x14ac:dyDescent="0.2"/>
  <cols>
    <col min="1" max="1" width="11.5" customWidth="1"/>
    <col min="6" max="6" width="11.83203125" customWidth="1"/>
    <col min="10" max="10" width="12.5" customWidth="1"/>
    <col min="11" max="11" width="10.6640625" customWidth="1"/>
    <col min="13" max="13" width="12.1640625" bestFit="1" customWidth="1"/>
    <col min="15" max="15" width="7.6640625" customWidth="1"/>
    <col min="16" max="16" width="0" hidden="1" customWidth="1"/>
    <col min="17" max="21" width="12.6640625" hidden="1" customWidth="1"/>
    <col min="22" max="22" width="10.5" hidden="1" customWidth="1"/>
    <col min="23" max="23" width="7.5" bestFit="1" customWidth="1"/>
    <col min="24" max="24" width="9.6640625" bestFit="1" customWidth="1"/>
    <col min="25" max="25" width="9.83203125" bestFit="1" customWidth="1"/>
    <col min="26" max="26" width="9.5" bestFit="1" customWidth="1"/>
    <col min="27" max="27" width="9.83203125" bestFit="1" customWidth="1"/>
    <col min="28" max="28" width="12" bestFit="1" customWidth="1"/>
    <col min="29" max="29" width="11.5" bestFit="1" customWidth="1"/>
    <col min="30" max="30" width="7" bestFit="1" customWidth="1"/>
    <col min="31" max="31" width="10.6640625" bestFit="1" customWidth="1"/>
    <col min="32" max="32" width="16" customWidth="1"/>
    <col min="33" max="33" width="8.6640625" bestFit="1" customWidth="1"/>
    <col min="34" max="34" width="7" bestFit="1" customWidth="1"/>
    <col min="35" max="36" width="6.1640625" bestFit="1" customWidth="1"/>
    <col min="37" max="38" width="7.6640625" bestFit="1" customWidth="1"/>
    <col min="39" max="39" width="11.1640625" bestFit="1" customWidth="1"/>
    <col min="40" max="40" width="11.6640625" bestFit="1" customWidth="1"/>
    <col min="41" max="41" width="12.6640625" bestFit="1" customWidth="1"/>
  </cols>
  <sheetData>
    <row r="1" spans="1:42" ht="16" thickBot="1" x14ac:dyDescent="0.25">
      <c r="A1" s="1" t="s">
        <v>0</v>
      </c>
      <c r="D1" s="3" t="s">
        <v>40</v>
      </c>
      <c r="E1" s="4"/>
      <c r="F1" s="5"/>
    </row>
    <row r="2" spans="1:42" x14ac:dyDescent="0.2">
      <c r="I2" s="14"/>
      <c r="K2" s="11"/>
      <c r="R2" s="25">
        <f>AF9/7</f>
        <v>142.85714285714286</v>
      </c>
      <c r="S2" s="25"/>
      <c r="T2" s="25"/>
      <c r="U2" s="25"/>
      <c r="V2" s="25"/>
      <c r="W2" s="25"/>
      <c r="X2" s="25"/>
      <c r="Y2" s="25"/>
      <c r="Z2" s="25"/>
      <c r="AA2" s="25"/>
    </row>
    <row r="3" spans="1:42" x14ac:dyDescent="0.2">
      <c r="N3" s="14"/>
    </row>
    <row r="4" spans="1:42" x14ac:dyDescent="0.2">
      <c r="I4" s="8"/>
      <c r="M4" s="8"/>
    </row>
    <row r="5" spans="1:42" x14ac:dyDescent="0.2">
      <c r="J5" s="14"/>
      <c r="K5" s="14"/>
      <c r="AE5">
        <v>3000</v>
      </c>
      <c r="AF5" s="19">
        <v>1000</v>
      </c>
      <c r="AG5" s="20">
        <v>300</v>
      </c>
      <c r="AH5" s="21">
        <v>300</v>
      </c>
      <c r="AI5" s="21">
        <v>100</v>
      </c>
      <c r="AJ5" s="21">
        <v>480</v>
      </c>
      <c r="AK5" s="21">
        <v>83</v>
      </c>
      <c r="AL5" s="21">
        <v>1000</v>
      </c>
      <c r="AO5" s="25"/>
    </row>
    <row r="6" spans="1:42" x14ac:dyDescent="0.2">
      <c r="M6" s="15"/>
      <c r="P6" s="35"/>
      <c r="Q6" s="35"/>
      <c r="R6" s="35"/>
      <c r="S6" s="35"/>
      <c r="T6" s="35"/>
      <c r="U6" s="35"/>
      <c r="V6" s="35" t="s">
        <v>92</v>
      </c>
      <c r="W6" s="35"/>
      <c r="X6" s="35"/>
      <c r="Y6" s="35"/>
      <c r="Z6" s="35"/>
      <c r="AA6" s="35"/>
      <c r="AB6" s="35"/>
      <c r="AC6" s="35"/>
      <c r="AD6" s="35"/>
      <c r="AE6">
        <v>1</v>
      </c>
      <c r="AF6" t="s">
        <v>12</v>
      </c>
      <c r="AG6">
        <v>15</v>
      </c>
      <c r="AH6">
        <v>10</v>
      </c>
      <c r="AI6">
        <v>20</v>
      </c>
      <c r="AJ6">
        <v>12</v>
      </c>
      <c r="AK6">
        <v>25</v>
      </c>
      <c r="AL6">
        <v>5</v>
      </c>
    </row>
    <row r="7" spans="1:42" s="2" customFormat="1" ht="48" x14ac:dyDescent="0.2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9" t="s">
        <v>29</v>
      </c>
      <c r="K7" s="10" t="s">
        <v>30</v>
      </c>
      <c r="L7" s="10" t="s">
        <v>31</v>
      </c>
      <c r="M7" s="17" t="s">
        <v>41</v>
      </c>
      <c r="N7" s="17" t="s">
        <v>42</v>
      </c>
      <c r="O7" s="9" t="s">
        <v>43</v>
      </c>
      <c r="P7" s="33" t="s">
        <v>78</v>
      </c>
      <c r="Q7" s="33" t="s">
        <v>79</v>
      </c>
      <c r="R7" s="33" t="s">
        <v>82</v>
      </c>
      <c r="S7" s="33" t="s">
        <v>87</v>
      </c>
      <c r="T7" s="33" t="s">
        <v>83</v>
      </c>
      <c r="U7" s="33" t="s">
        <v>85</v>
      </c>
      <c r="V7" s="33" t="s">
        <v>90</v>
      </c>
      <c r="W7" s="34" t="s">
        <v>91</v>
      </c>
      <c r="X7" s="34" t="s">
        <v>89</v>
      </c>
      <c r="Y7" s="34" t="s">
        <v>86</v>
      </c>
      <c r="Z7" s="34" t="s">
        <v>84</v>
      </c>
      <c r="AA7" s="34" t="s">
        <v>81</v>
      </c>
      <c r="AB7" s="34" t="s">
        <v>88</v>
      </c>
      <c r="AC7" s="34" t="s">
        <v>80</v>
      </c>
      <c r="AD7" s="34" t="s">
        <v>77</v>
      </c>
      <c r="AE7" s="22" t="s">
        <v>45</v>
      </c>
      <c r="AF7" s="22" t="s">
        <v>46</v>
      </c>
      <c r="AG7" s="22" t="s">
        <v>47</v>
      </c>
      <c r="AH7" s="22" t="s">
        <v>48</v>
      </c>
      <c r="AI7" s="22" t="s">
        <v>49</v>
      </c>
      <c r="AJ7" s="22" t="s">
        <v>52</v>
      </c>
      <c r="AK7" s="22" t="s">
        <v>50</v>
      </c>
      <c r="AL7" s="1" t="s">
        <v>53</v>
      </c>
      <c r="AM7" s="22" t="s">
        <v>51</v>
      </c>
      <c r="AN7" s="24" t="s">
        <v>54</v>
      </c>
      <c r="AP7"/>
    </row>
    <row r="8" spans="1:42" x14ac:dyDescent="0.2">
      <c r="A8" s="12">
        <v>44562</v>
      </c>
      <c r="B8" s="6">
        <v>1</v>
      </c>
      <c r="C8" s="6">
        <v>1</v>
      </c>
      <c r="D8" s="6">
        <v>7</v>
      </c>
      <c r="E8" s="6" t="s">
        <v>10</v>
      </c>
      <c r="F8" s="6">
        <v>1</v>
      </c>
      <c r="G8" s="6">
        <v>1</v>
      </c>
      <c r="H8" s="6" t="s">
        <v>11</v>
      </c>
      <c r="I8" s="6">
        <v>1</v>
      </c>
      <c r="J8" s="14">
        <v>18.248423200876413</v>
      </c>
      <c r="K8" s="14">
        <v>63.210072575258103</v>
      </c>
      <c r="L8" s="14">
        <f>J8*K8</f>
        <v>1153.4841549114219</v>
      </c>
      <c r="M8" s="16">
        <v>0.3887682269525603</v>
      </c>
      <c r="N8" s="14">
        <f>L8*M8</f>
        <v>448.43798972278591</v>
      </c>
      <c r="O8" s="14">
        <f>L8-N8</f>
        <v>705.046165188636</v>
      </c>
      <c r="P8" s="14">
        <v>43.748146994482568</v>
      </c>
      <c r="Q8" s="14">
        <v>6.6793626767927403</v>
      </c>
      <c r="R8" s="14">
        <f t="shared" ref="R8:R71" si="0">IF(E8=$AF$6,$R$2/5,$R$2/11)</f>
        <v>12.987012987012987</v>
      </c>
      <c r="S8" s="14">
        <v>28.155117721735419</v>
      </c>
      <c r="T8" s="14">
        <f>L8*0.7</f>
        <v>807.43890843799534</v>
      </c>
      <c r="U8" s="14">
        <f t="shared" ref="U8:U71" si="1">T8/J8</f>
        <v>44.247050802680675</v>
      </c>
      <c r="V8" s="14">
        <v>26.3343514059349</v>
      </c>
      <c r="W8" s="16">
        <f>P8/U8</f>
        <v>0.98872458617811698</v>
      </c>
      <c r="X8" s="16">
        <f>J8/V8</f>
        <v>0.69295130605585431</v>
      </c>
      <c r="Y8" s="16">
        <f>N8/T8</f>
        <v>0.55538318136080045</v>
      </c>
      <c r="Z8" s="16">
        <f t="shared" ref="Z8:Z71" si="2">J8/U8</f>
        <v>0.41242123192018137</v>
      </c>
      <c r="AA8" s="16">
        <f t="shared" ref="AA8:AA71" si="3">R8/L8</f>
        <v>1.1258943550906673E-2</v>
      </c>
      <c r="AB8" s="14">
        <f>T8/J8</f>
        <v>44.247050802680675</v>
      </c>
      <c r="AC8" s="16">
        <f t="shared" ref="AC8:AC71" si="4">Q8/K8</f>
        <v>0.10566927713680871</v>
      </c>
      <c r="AD8" s="16">
        <f t="shared" ref="AD8:AD71" si="5">P8/L8</f>
        <v>3.7926959645008793E-2</v>
      </c>
      <c r="AE8" s="23">
        <f>IF(B8=$AE$6,$AE$5, )</f>
        <v>3000</v>
      </c>
      <c r="AF8" s="23" t="str">
        <f t="shared" ref="AF8:AF71" si="6">IF(E8=$AF$6,$AF$5,"")</f>
        <v/>
      </c>
      <c r="AG8" s="23" t="str">
        <f t="shared" ref="AG8:AG71" si="7">IF(B8=$AG$6,$AG$5,"")</f>
        <v/>
      </c>
      <c r="AH8" s="23" t="str">
        <f>IF($B$8=AH6,AH5,"")</f>
        <v/>
      </c>
      <c r="AI8" s="23" t="str">
        <f t="shared" ref="AI8:AI71" si="8">IF($B8=$AI$6,$AI$5,"")</f>
        <v/>
      </c>
      <c r="AJ8" s="23" t="str">
        <f t="shared" ref="AJ8:AJ71" si="9">IF($B8=$AJ$6,$AJ$5,"")</f>
        <v/>
      </c>
      <c r="AK8" s="23" t="str">
        <f t="shared" ref="AK8:AK71" si="10">IF($B8=$AK$6,$AK$5,"")</f>
        <v/>
      </c>
      <c r="AL8" s="23" t="str">
        <f t="shared" ref="AL8:AL71" si="11">IF($B8=$AL$6,$AL$5,"")</f>
        <v/>
      </c>
      <c r="AM8" s="52">
        <f>SUM(AE8:AL8)</f>
        <v>3000</v>
      </c>
      <c r="AN8" s="26">
        <f>O8-AM8</f>
        <v>-2294.9538348113638</v>
      </c>
    </row>
    <row r="9" spans="1:42" x14ac:dyDescent="0.2">
      <c r="A9" s="12">
        <v>44563</v>
      </c>
      <c r="B9" s="6">
        <v>2</v>
      </c>
      <c r="C9" s="6">
        <v>2</v>
      </c>
      <c r="D9" s="6">
        <v>1</v>
      </c>
      <c r="E9" s="6" t="s">
        <v>12</v>
      </c>
      <c r="F9" s="6">
        <v>1</v>
      </c>
      <c r="G9" s="6">
        <v>1</v>
      </c>
      <c r="H9" s="6" t="s">
        <v>11</v>
      </c>
      <c r="I9" s="6">
        <v>1</v>
      </c>
      <c r="J9" s="14">
        <v>5.6481891661753183</v>
      </c>
      <c r="K9" s="14">
        <v>37.006370224370663</v>
      </c>
      <c r="L9" s="14">
        <f t="shared" ref="L9:L72" si="12">J9*K9</f>
        <v>209.01897938076326</v>
      </c>
      <c r="M9" s="16">
        <v>0.21121234991947319</v>
      </c>
      <c r="N9" s="14">
        <f t="shared" ref="N9:N72" si="13">L9*M9</f>
        <v>44.147389812780922</v>
      </c>
      <c r="O9" s="14">
        <f>L9-N9</f>
        <v>164.87158956798234</v>
      </c>
      <c r="P9" s="14">
        <v>15.607485284482456</v>
      </c>
      <c r="Q9" s="14">
        <v>7.0101523900234399</v>
      </c>
      <c r="R9" s="14">
        <f t="shared" si="0"/>
        <v>28.571428571428573</v>
      </c>
      <c r="S9" s="14">
        <v>13.589794070312738</v>
      </c>
      <c r="T9" s="14">
        <f t="shared" ref="T9:T72" si="14">L9*0.7</f>
        <v>146.31328556653426</v>
      </c>
      <c r="U9" s="14">
        <f t="shared" si="1"/>
        <v>25.90445915705946</v>
      </c>
      <c r="V9" s="14">
        <v>13.883588087048542</v>
      </c>
      <c r="W9" s="16">
        <f t="shared" ref="W9:W72" si="15">P9/U9</f>
        <v>0.60250187775988051</v>
      </c>
      <c r="X9" s="16">
        <f t="shared" ref="X9:X72" si="16">J9/V9</f>
        <v>0.40682488782883824</v>
      </c>
      <c r="Y9" s="16">
        <f t="shared" ref="Y9:Y72" si="17">N9/T9</f>
        <v>0.3017319284563903</v>
      </c>
      <c r="Z9" s="16">
        <f t="shared" si="2"/>
        <v>0.21803926234978269</v>
      </c>
      <c r="AA9" s="16">
        <f t="shared" si="3"/>
        <v>0.13669298671380892</v>
      </c>
      <c r="AB9" s="14">
        <f t="shared" ref="AB9:AB72" si="18">T9/J9</f>
        <v>25.90445915705946</v>
      </c>
      <c r="AC9" s="16">
        <f t="shared" si="4"/>
        <v>0.18943096411565599</v>
      </c>
      <c r="AD9" s="16">
        <f t="shared" si="5"/>
        <v>7.4670182251970502E-2</v>
      </c>
      <c r="AE9" s="23" t="str">
        <f t="shared" ref="AE9:AE72" si="19">IF(B9=$AE$6,$AE$5, "")</f>
        <v/>
      </c>
      <c r="AF9" s="23">
        <f t="shared" si="6"/>
        <v>1000</v>
      </c>
      <c r="AG9" s="23" t="str">
        <f t="shared" si="7"/>
        <v/>
      </c>
      <c r="AH9" s="23" t="str">
        <f t="shared" ref="AH9:AH72" si="20">IF(B9=$AH$6,$AH$5,"")</f>
        <v/>
      </c>
      <c r="AI9" s="23" t="str">
        <f t="shared" si="8"/>
        <v/>
      </c>
      <c r="AJ9" s="23" t="str">
        <f t="shared" si="9"/>
        <v/>
      </c>
      <c r="AK9" s="23" t="str">
        <f t="shared" si="10"/>
        <v/>
      </c>
      <c r="AL9" s="23" t="str">
        <f t="shared" si="11"/>
        <v/>
      </c>
      <c r="AM9" s="52">
        <f>SUM(AE9:AL9)</f>
        <v>1000</v>
      </c>
      <c r="AN9" s="26">
        <f t="shared" ref="AN9:AN71" si="21">O9-AM9</f>
        <v>-835.12841043201763</v>
      </c>
    </row>
    <row r="10" spans="1:42" x14ac:dyDescent="0.2">
      <c r="A10" s="12">
        <v>44564</v>
      </c>
      <c r="B10" s="6">
        <v>3</v>
      </c>
      <c r="C10" s="6">
        <v>3</v>
      </c>
      <c r="D10" s="6">
        <v>2</v>
      </c>
      <c r="E10" s="6" t="s">
        <v>13</v>
      </c>
      <c r="F10" s="6">
        <v>1</v>
      </c>
      <c r="G10" s="6">
        <v>1</v>
      </c>
      <c r="H10" s="6" t="s">
        <v>11</v>
      </c>
      <c r="I10" s="6">
        <v>1</v>
      </c>
      <c r="J10" s="14">
        <v>10.949240508270515</v>
      </c>
      <c r="K10" s="14">
        <v>8.9188617105274481</v>
      </c>
      <c r="L10" s="14">
        <f t="shared" si="12"/>
        <v>97.654761928569997</v>
      </c>
      <c r="M10" s="16">
        <v>0.50933335067008101</v>
      </c>
      <c r="N10" s="14">
        <f t="shared" si="13"/>
        <v>49.738827101967615</v>
      </c>
      <c r="O10" s="14">
        <f t="shared" ref="O10:O72" si="22">L10-N10</f>
        <v>47.915934826602381</v>
      </c>
      <c r="P10" s="14">
        <v>36.952445857667207</v>
      </c>
      <c r="Q10" s="14">
        <v>7.7018362333785992</v>
      </c>
      <c r="R10" s="14">
        <f t="shared" si="0"/>
        <v>12.987012987012987</v>
      </c>
      <c r="S10" s="14">
        <v>30.385295086636653</v>
      </c>
      <c r="T10" s="14">
        <f t="shared" si="14"/>
        <v>68.358333349998986</v>
      </c>
      <c r="U10" s="14">
        <f t="shared" si="1"/>
        <v>6.2432031973692128</v>
      </c>
      <c r="V10" s="14">
        <v>25.259285927410474</v>
      </c>
      <c r="W10" s="16">
        <f t="shared" si="15"/>
        <v>5.9188279941358282</v>
      </c>
      <c r="X10" s="16">
        <f t="shared" si="16"/>
        <v>0.43347387332073356</v>
      </c>
      <c r="Y10" s="16">
        <f t="shared" si="17"/>
        <v>0.72761907238583012</v>
      </c>
      <c r="Z10" s="16">
        <f t="shared" si="2"/>
        <v>1.7537857029680457</v>
      </c>
      <c r="AA10" s="16">
        <f t="shared" si="3"/>
        <v>0.13298903945423976</v>
      </c>
      <c r="AB10" s="14">
        <f t="shared" si="18"/>
        <v>6.2432031973692128</v>
      </c>
      <c r="AC10" s="16">
        <f t="shared" si="4"/>
        <v>0.86354475305830525</v>
      </c>
      <c r="AD10" s="16">
        <f t="shared" si="5"/>
        <v>0.37839881156738914</v>
      </c>
      <c r="AE10" s="23" t="str">
        <f t="shared" si="19"/>
        <v/>
      </c>
      <c r="AF10" s="23" t="str">
        <f t="shared" si="6"/>
        <v/>
      </c>
      <c r="AG10" s="23" t="str">
        <f t="shared" si="7"/>
        <v/>
      </c>
      <c r="AH10" s="23" t="str">
        <f t="shared" si="20"/>
        <v/>
      </c>
      <c r="AI10" s="23" t="str">
        <f t="shared" si="8"/>
        <v/>
      </c>
      <c r="AJ10" s="23" t="str">
        <f t="shared" si="9"/>
        <v/>
      </c>
      <c r="AK10" s="23" t="str">
        <f t="shared" si="10"/>
        <v/>
      </c>
      <c r="AL10" s="23" t="str">
        <f t="shared" si="11"/>
        <v/>
      </c>
      <c r="AM10" s="52">
        <f t="shared" ref="AM10:AM71" si="23">SUM(AE10:AL10)</f>
        <v>0</v>
      </c>
      <c r="AN10" s="26">
        <f t="shared" si="21"/>
        <v>47.915934826602381</v>
      </c>
    </row>
    <row r="11" spans="1:42" x14ac:dyDescent="0.2">
      <c r="A11" s="12">
        <v>44565</v>
      </c>
      <c r="B11" s="6">
        <v>4</v>
      </c>
      <c r="C11" s="6">
        <v>4</v>
      </c>
      <c r="D11" s="6">
        <v>3</v>
      </c>
      <c r="E11" s="6" t="s">
        <v>14</v>
      </c>
      <c r="F11" s="6">
        <v>1</v>
      </c>
      <c r="G11" s="6">
        <v>1</v>
      </c>
      <c r="H11" s="6" t="s">
        <v>11</v>
      </c>
      <c r="I11" s="6">
        <v>1</v>
      </c>
      <c r="J11" s="14">
        <v>12.174664145182406</v>
      </c>
      <c r="K11" s="14">
        <v>27.250855944986942</v>
      </c>
      <c r="L11" s="14">
        <f t="shared" si="12"/>
        <v>331.77001879896335</v>
      </c>
      <c r="M11" s="16">
        <v>0.36085715250712685</v>
      </c>
      <c r="N11" s="14">
        <f t="shared" si="13"/>
        <v>119.72158427102985</v>
      </c>
      <c r="O11" s="14">
        <f t="shared" si="22"/>
        <v>212.04843452793349</v>
      </c>
      <c r="P11" s="14">
        <v>26.314823457908481</v>
      </c>
      <c r="Q11" s="14">
        <v>5.9731019243932932</v>
      </c>
      <c r="R11" s="14">
        <f t="shared" si="0"/>
        <v>12.987012987012987</v>
      </c>
      <c r="S11" s="14">
        <v>25.204278126226324</v>
      </c>
      <c r="T11" s="14">
        <f t="shared" si="14"/>
        <v>232.23901315927432</v>
      </c>
      <c r="U11" s="14">
        <f t="shared" si="1"/>
        <v>19.075599161490857</v>
      </c>
      <c r="V11" s="14">
        <v>35.670770616189259</v>
      </c>
      <c r="W11" s="16">
        <f t="shared" si="15"/>
        <v>1.3795018041180018</v>
      </c>
      <c r="X11" s="16">
        <f t="shared" si="16"/>
        <v>0.34130645160934392</v>
      </c>
      <c r="Y11" s="16">
        <f t="shared" si="17"/>
        <v>0.51551021786732409</v>
      </c>
      <c r="Z11" s="16">
        <f t="shared" si="2"/>
        <v>0.63823233242184008</v>
      </c>
      <c r="AA11" s="16">
        <f t="shared" si="3"/>
        <v>3.914462504486426E-2</v>
      </c>
      <c r="AB11" s="14">
        <f t="shared" si="18"/>
        <v>19.075599161490857</v>
      </c>
      <c r="AC11" s="16">
        <f t="shared" si="4"/>
        <v>0.21918951597159292</v>
      </c>
      <c r="AD11" s="16">
        <f t="shared" si="5"/>
        <v>7.9316460098385194E-2</v>
      </c>
      <c r="AE11" s="23" t="str">
        <f t="shared" si="19"/>
        <v/>
      </c>
      <c r="AF11" s="23" t="str">
        <f t="shared" si="6"/>
        <v/>
      </c>
      <c r="AG11" s="23" t="str">
        <f t="shared" si="7"/>
        <v/>
      </c>
      <c r="AH11" s="23" t="str">
        <f t="shared" si="20"/>
        <v/>
      </c>
      <c r="AI11" s="23" t="str">
        <f t="shared" si="8"/>
        <v/>
      </c>
      <c r="AJ11" s="23" t="str">
        <f t="shared" si="9"/>
        <v/>
      </c>
      <c r="AK11" s="23" t="str">
        <f t="shared" si="10"/>
        <v/>
      </c>
      <c r="AL11" s="23" t="str">
        <f t="shared" si="11"/>
        <v/>
      </c>
      <c r="AM11" s="52">
        <f t="shared" si="23"/>
        <v>0</v>
      </c>
      <c r="AN11" s="26">
        <f t="shared" si="21"/>
        <v>212.04843452793349</v>
      </c>
    </row>
    <row r="12" spans="1:42" x14ac:dyDescent="0.2">
      <c r="A12" s="12">
        <v>44566</v>
      </c>
      <c r="B12" s="6">
        <v>5</v>
      </c>
      <c r="C12" s="6">
        <v>5</v>
      </c>
      <c r="D12" s="6">
        <v>4</v>
      </c>
      <c r="E12" s="6" t="s">
        <v>15</v>
      </c>
      <c r="F12" s="6">
        <v>1</v>
      </c>
      <c r="G12" s="6">
        <v>1</v>
      </c>
      <c r="H12" s="6" t="s">
        <v>11</v>
      </c>
      <c r="I12" s="6">
        <v>1</v>
      </c>
      <c r="J12" s="14">
        <v>7.8061021468449603</v>
      </c>
      <c r="K12" s="14">
        <v>38.129850402935503</v>
      </c>
      <c r="L12" s="14">
        <f t="shared" si="12"/>
        <v>297.64550708923201</v>
      </c>
      <c r="M12" s="16">
        <v>0.34623885142589333</v>
      </c>
      <c r="N12" s="14">
        <f t="shared" si="13"/>
        <v>103.05643850665328</v>
      </c>
      <c r="O12" s="14">
        <f t="shared" si="22"/>
        <v>194.58906858257873</v>
      </c>
      <c r="P12" s="14">
        <v>32.519419058218013</v>
      </c>
      <c r="Q12" s="14">
        <v>1.4195718067607401</v>
      </c>
      <c r="R12" s="14">
        <f t="shared" si="0"/>
        <v>12.987012987012987</v>
      </c>
      <c r="S12" s="14">
        <v>27.172086192937858</v>
      </c>
      <c r="T12" s="14">
        <f t="shared" si="14"/>
        <v>208.3518549624624</v>
      </c>
      <c r="U12" s="14">
        <f t="shared" si="1"/>
        <v>26.69089528205485</v>
      </c>
      <c r="V12" s="14">
        <v>24.852600992513146</v>
      </c>
      <c r="W12" s="16">
        <f t="shared" si="15"/>
        <v>1.218371235380848</v>
      </c>
      <c r="X12" s="16">
        <f t="shared" si="16"/>
        <v>0.31409598332168737</v>
      </c>
      <c r="Y12" s="16">
        <f t="shared" si="17"/>
        <v>0.49462693060841906</v>
      </c>
      <c r="Z12" s="16">
        <f t="shared" si="2"/>
        <v>0.2924631064021766</v>
      </c>
      <c r="AA12" s="16">
        <f t="shared" si="3"/>
        <v>4.3632484541819651E-2</v>
      </c>
      <c r="AB12" s="14">
        <f t="shared" si="18"/>
        <v>26.69089528205485</v>
      </c>
      <c r="AC12" s="16">
        <f t="shared" si="4"/>
        <v>3.722993381194728E-2</v>
      </c>
      <c r="AD12" s="16">
        <f t="shared" si="5"/>
        <v>0.10925553480123226</v>
      </c>
      <c r="AE12" s="23" t="str">
        <f t="shared" si="19"/>
        <v/>
      </c>
      <c r="AF12" s="23" t="str">
        <f t="shared" si="6"/>
        <v/>
      </c>
      <c r="AG12" s="23" t="str">
        <f t="shared" si="7"/>
        <v/>
      </c>
      <c r="AH12" s="23" t="str">
        <f t="shared" si="20"/>
        <v/>
      </c>
      <c r="AI12" s="23" t="str">
        <f t="shared" si="8"/>
        <v/>
      </c>
      <c r="AJ12" s="23" t="str">
        <f t="shared" si="9"/>
        <v/>
      </c>
      <c r="AK12" s="23" t="str">
        <f t="shared" si="10"/>
        <v/>
      </c>
      <c r="AL12" s="23">
        <f t="shared" si="11"/>
        <v>1000</v>
      </c>
      <c r="AM12" s="52">
        <f t="shared" si="23"/>
        <v>1000</v>
      </c>
      <c r="AN12" s="26">
        <f t="shared" si="21"/>
        <v>-805.41093141742124</v>
      </c>
    </row>
    <row r="13" spans="1:42" x14ac:dyDescent="0.2">
      <c r="A13" s="12">
        <v>44567</v>
      </c>
      <c r="B13" s="6">
        <v>6</v>
      </c>
      <c r="C13" s="6">
        <v>6</v>
      </c>
      <c r="D13" s="6">
        <v>5</v>
      </c>
      <c r="E13" s="6" t="s">
        <v>16</v>
      </c>
      <c r="F13" s="6">
        <v>1</v>
      </c>
      <c r="G13" s="6">
        <v>1</v>
      </c>
      <c r="H13" s="6" t="s">
        <v>11</v>
      </c>
      <c r="I13" s="6">
        <v>1</v>
      </c>
      <c r="J13" s="14">
        <v>9.2683236905603508</v>
      </c>
      <c r="K13" s="14">
        <v>29.78046757291348</v>
      </c>
      <c r="L13" s="14">
        <f t="shared" si="12"/>
        <v>276.01501312199832</v>
      </c>
      <c r="M13" s="16">
        <v>0.40558506565508257</v>
      </c>
      <c r="N13" s="14">
        <f t="shared" si="13"/>
        <v>111.94756721887417</v>
      </c>
      <c r="O13" s="14">
        <f t="shared" si="22"/>
        <v>164.06744590312417</v>
      </c>
      <c r="P13" s="14">
        <v>38.666183786218703</v>
      </c>
      <c r="Q13" s="14">
        <v>8.9853592925932908</v>
      </c>
      <c r="R13" s="14">
        <f t="shared" si="0"/>
        <v>12.987012987012987</v>
      </c>
      <c r="S13" s="14">
        <v>34.524216400349218</v>
      </c>
      <c r="T13" s="14">
        <f t="shared" si="14"/>
        <v>193.21050918539882</v>
      </c>
      <c r="U13" s="14">
        <f t="shared" si="1"/>
        <v>20.846327301039437</v>
      </c>
      <c r="V13" s="14">
        <v>34.428735526848072</v>
      </c>
      <c r="W13" s="16">
        <f t="shared" si="15"/>
        <v>1.854819951152294</v>
      </c>
      <c r="X13" s="16">
        <f t="shared" si="16"/>
        <v>0.26920313943370838</v>
      </c>
      <c r="Y13" s="16">
        <f t="shared" si="17"/>
        <v>0.57940723665011795</v>
      </c>
      <c r="Z13" s="16">
        <f t="shared" si="2"/>
        <v>0.4446022340874507</v>
      </c>
      <c r="AA13" s="16">
        <f t="shared" si="3"/>
        <v>4.705183547850255E-2</v>
      </c>
      <c r="AB13" s="14">
        <f t="shared" si="18"/>
        <v>20.846327301039437</v>
      </c>
      <c r="AC13" s="16">
        <f t="shared" si="4"/>
        <v>0.3017198863850557</v>
      </c>
      <c r="AD13" s="16">
        <f t="shared" si="5"/>
        <v>0.14008724869298431</v>
      </c>
      <c r="AE13" s="23" t="str">
        <f t="shared" si="19"/>
        <v/>
      </c>
      <c r="AF13" s="23" t="str">
        <f t="shared" si="6"/>
        <v/>
      </c>
      <c r="AG13" s="23" t="str">
        <f t="shared" si="7"/>
        <v/>
      </c>
      <c r="AH13" s="23" t="str">
        <f t="shared" si="20"/>
        <v/>
      </c>
      <c r="AI13" s="23" t="str">
        <f t="shared" si="8"/>
        <v/>
      </c>
      <c r="AJ13" s="23" t="str">
        <f t="shared" si="9"/>
        <v/>
      </c>
      <c r="AK13" s="23" t="str">
        <f t="shared" si="10"/>
        <v/>
      </c>
      <c r="AL13" s="23" t="str">
        <f t="shared" si="11"/>
        <v/>
      </c>
      <c r="AM13" s="52">
        <f t="shared" si="23"/>
        <v>0</v>
      </c>
      <c r="AN13" s="26">
        <f t="shared" si="21"/>
        <v>164.06744590312417</v>
      </c>
    </row>
    <row r="14" spans="1:42" x14ac:dyDescent="0.2">
      <c r="A14" s="12">
        <v>44568</v>
      </c>
      <c r="B14" s="6">
        <v>7</v>
      </c>
      <c r="C14" s="6">
        <v>7</v>
      </c>
      <c r="D14" s="6">
        <v>6</v>
      </c>
      <c r="E14" s="6" t="s">
        <v>17</v>
      </c>
      <c r="F14" s="6">
        <v>1</v>
      </c>
      <c r="G14" s="6">
        <v>1</v>
      </c>
      <c r="H14" s="6" t="s">
        <v>11</v>
      </c>
      <c r="I14" s="6">
        <v>1</v>
      </c>
      <c r="J14" s="14">
        <v>5.7375578106885738</v>
      </c>
      <c r="K14" s="14">
        <v>43.485500934790231</v>
      </c>
      <c r="L14" s="14">
        <f t="shared" si="12"/>
        <v>249.50057554011096</v>
      </c>
      <c r="M14" s="16">
        <v>0.39389748487976423</v>
      </c>
      <c r="N14" s="14">
        <f t="shared" si="13"/>
        <v>98.277649181303332</v>
      </c>
      <c r="O14" s="14">
        <f t="shared" si="22"/>
        <v>151.22292635880763</v>
      </c>
      <c r="P14" s="14">
        <v>29.232183682861567</v>
      </c>
      <c r="Q14" s="14">
        <v>7.089705945721354</v>
      </c>
      <c r="R14" s="14">
        <f t="shared" si="0"/>
        <v>12.987012987012987</v>
      </c>
      <c r="S14" s="14">
        <v>31.12645652091749</v>
      </c>
      <c r="T14" s="14">
        <f t="shared" si="14"/>
        <v>174.65040287807767</v>
      </c>
      <c r="U14" s="14">
        <f t="shared" si="1"/>
        <v>30.439850654353162</v>
      </c>
      <c r="V14" s="14">
        <v>35.18849497431804</v>
      </c>
      <c r="W14" s="16">
        <f t="shared" si="15"/>
        <v>0.96032612034780507</v>
      </c>
      <c r="X14" s="16">
        <f t="shared" si="16"/>
        <v>0.16305209458023343</v>
      </c>
      <c r="Y14" s="16">
        <f t="shared" si="17"/>
        <v>0.56271069268537743</v>
      </c>
      <c r="Z14" s="16">
        <f t="shared" si="2"/>
        <v>0.18848836927089369</v>
      </c>
      <c r="AA14" s="16">
        <f t="shared" si="3"/>
        <v>5.2052036188289796E-2</v>
      </c>
      <c r="AB14" s="14">
        <f t="shared" si="18"/>
        <v>30.439850654353162</v>
      </c>
      <c r="AC14" s="16">
        <f t="shared" si="4"/>
        <v>0.16303608773767836</v>
      </c>
      <c r="AD14" s="16">
        <f t="shared" si="5"/>
        <v>0.11716279058507445</v>
      </c>
      <c r="AE14" s="23" t="str">
        <f t="shared" si="19"/>
        <v/>
      </c>
      <c r="AF14" s="23" t="str">
        <f t="shared" si="6"/>
        <v/>
      </c>
      <c r="AG14" s="23" t="str">
        <f t="shared" si="7"/>
        <v/>
      </c>
      <c r="AH14" s="23" t="str">
        <f t="shared" si="20"/>
        <v/>
      </c>
      <c r="AI14" s="23" t="str">
        <f t="shared" si="8"/>
        <v/>
      </c>
      <c r="AJ14" s="23" t="str">
        <f t="shared" si="9"/>
        <v/>
      </c>
      <c r="AK14" s="23" t="str">
        <f t="shared" si="10"/>
        <v/>
      </c>
      <c r="AL14" s="23" t="str">
        <f t="shared" si="11"/>
        <v/>
      </c>
      <c r="AM14" s="52">
        <f t="shared" si="23"/>
        <v>0</v>
      </c>
      <c r="AN14" s="26">
        <f t="shared" si="21"/>
        <v>151.22292635880763</v>
      </c>
    </row>
    <row r="15" spans="1:42" x14ac:dyDescent="0.2">
      <c r="A15" s="12">
        <v>44569</v>
      </c>
      <c r="B15" s="6">
        <v>8</v>
      </c>
      <c r="C15" s="6">
        <v>8</v>
      </c>
      <c r="D15" s="6">
        <v>7</v>
      </c>
      <c r="E15" s="6" t="s">
        <v>10</v>
      </c>
      <c r="F15" s="6">
        <v>1</v>
      </c>
      <c r="G15" s="6">
        <v>1</v>
      </c>
      <c r="H15" s="6" t="s">
        <v>11</v>
      </c>
      <c r="I15" s="6">
        <v>1</v>
      </c>
      <c r="J15" s="14">
        <v>9.6976876586493361</v>
      </c>
      <c r="K15" s="14">
        <v>30.347754905621983</v>
      </c>
      <c r="L15" s="14">
        <f t="shared" si="12"/>
        <v>294.30304821596513</v>
      </c>
      <c r="M15" s="16">
        <v>0.33384866353712683</v>
      </c>
      <c r="N15" s="14">
        <f t="shared" si="13"/>
        <v>98.25267932180256</v>
      </c>
      <c r="O15" s="14">
        <f t="shared" si="22"/>
        <v>196.05036889416257</v>
      </c>
      <c r="P15" s="14">
        <v>23.267167856627182</v>
      </c>
      <c r="Q15" s="14">
        <v>2.1453246108884398</v>
      </c>
      <c r="R15" s="14">
        <f t="shared" si="0"/>
        <v>12.987012987012987</v>
      </c>
      <c r="S15" s="14">
        <v>30.204551972580045</v>
      </c>
      <c r="T15" s="14">
        <f t="shared" si="14"/>
        <v>206.01213375117558</v>
      </c>
      <c r="U15" s="14">
        <f t="shared" si="1"/>
        <v>21.243428433935385</v>
      </c>
      <c r="V15" s="14">
        <v>28.435653478050376</v>
      </c>
      <c r="W15" s="16">
        <f t="shared" si="15"/>
        <v>1.0952642568493778</v>
      </c>
      <c r="X15" s="16">
        <f t="shared" si="16"/>
        <v>0.34103973260663872</v>
      </c>
      <c r="Y15" s="16">
        <f t="shared" si="17"/>
        <v>0.47692666219589552</v>
      </c>
      <c r="Z15" s="16">
        <f t="shared" si="2"/>
        <v>0.45650294578429407</v>
      </c>
      <c r="AA15" s="16">
        <f t="shared" si="3"/>
        <v>4.4128027438855716E-2</v>
      </c>
      <c r="AB15" s="14">
        <f t="shared" si="18"/>
        <v>21.243428433935385</v>
      </c>
      <c r="AC15" s="16">
        <f t="shared" si="4"/>
        <v>7.0691377914450404E-2</v>
      </c>
      <c r="AD15" s="16">
        <f t="shared" si="5"/>
        <v>7.9058535063331367E-2</v>
      </c>
      <c r="AE15" s="23" t="str">
        <f t="shared" si="19"/>
        <v/>
      </c>
      <c r="AF15" s="23" t="str">
        <f t="shared" si="6"/>
        <v/>
      </c>
      <c r="AG15" s="23" t="str">
        <f t="shared" si="7"/>
        <v/>
      </c>
      <c r="AH15" s="23" t="str">
        <f t="shared" si="20"/>
        <v/>
      </c>
      <c r="AI15" s="23" t="str">
        <f t="shared" si="8"/>
        <v/>
      </c>
      <c r="AJ15" s="23" t="str">
        <f t="shared" si="9"/>
        <v/>
      </c>
      <c r="AK15" s="23" t="str">
        <f t="shared" si="10"/>
        <v/>
      </c>
      <c r="AL15" s="23" t="str">
        <f t="shared" si="11"/>
        <v/>
      </c>
      <c r="AM15" s="52">
        <f t="shared" si="23"/>
        <v>0</v>
      </c>
      <c r="AN15" s="26">
        <f t="shared" si="21"/>
        <v>196.05036889416257</v>
      </c>
    </row>
    <row r="16" spans="1:42" x14ac:dyDescent="0.2">
      <c r="A16" s="12">
        <v>44570</v>
      </c>
      <c r="B16" s="6">
        <v>9</v>
      </c>
      <c r="C16" s="6">
        <v>9</v>
      </c>
      <c r="D16" s="6">
        <v>1</v>
      </c>
      <c r="E16" s="6" t="s">
        <v>12</v>
      </c>
      <c r="F16" s="6">
        <v>2</v>
      </c>
      <c r="G16" s="6">
        <v>1</v>
      </c>
      <c r="H16" s="6" t="s">
        <v>11</v>
      </c>
      <c r="I16" s="6">
        <v>1</v>
      </c>
      <c r="J16" s="14">
        <v>5.587144921435371</v>
      </c>
      <c r="K16" s="14">
        <v>21.602629506476681</v>
      </c>
      <c r="L16" s="14">
        <f t="shared" si="12"/>
        <v>120.69702173676109</v>
      </c>
      <c r="M16" s="16">
        <v>0.27132474801241857</v>
      </c>
      <c r="N16" s="14">
        <f t="shared" si="13"/>
        <v>32.748089008576109</v>
      </c>
      <c r="O16" s="14">
        <f t="shared" si="22"/>
        <v>87.948932728184985</v>
      </c>
      <c r="P16" s="14">
        <v>16.590911053998049</v>
      </c>
      <c r="Q16" s="14">
        <v>3.6238352287261719</v>
      </c>
      <c r="R16" s="14">
        <f t="shared" si="0"/>
        <v>28.571428571428573</v>
      </c>
      <c r="S16" s="14">
        <v>14.68030157011073</v>
      </c>
      <c r="T16" s="14">
        <f t="shared" si="14"/>
        <v>84.487915215732755</v>
      </c>
      <c r="U16" s="14">
        <f t="shared" si="1"/>
        <v>15.121840654533676</v>
      </c>
      <c r="V16" s="14">
        <v>12.701462202110578</v>
      </c>
      <c r="W16" s="16">
        <f t="shared" si="15"/>
        <v>1.0971489141451793</v>
      </c>
      <c r="X16" s="16">
        <f t="shared" si="16"/>
        <v>0.43988202559127132</v>
      </c>
      <c r="Y16" s="16">
        <f t="shared" si="17"/>
        <v>0.3876067828748837</v>
      </c>
      <c r="Z16" s="16">
        <f t="shared" si="2"/>
        <v>0.36947518817825198</v>
      </c>
      <c r="AA16" s="16">
        <f t="shared" si="3"/>
        <v>0.23672024512537312</v>
      </c>
      <c r="AB16" s="14">
        <f t="shared" si="18"/>
        <v>15.121840654533676</v>
      </c>
      <c r="AC16" s="16">
        <f t="shared" si="4"/>
        <v>0.16774972822820991</v>
      </c>
      <c r="AD16" s="16">
        <f t="shared" si="5"/>
        <v>0.13745915860444882</v>
      </c>
      <c r="AE16" s="23" t="str">
        <f t="shared" si="19"/>
        <v/>
      </c>
      <c r="AF16" s="23">
        <f t="shared" si="6"/>
        <v>1000</v>
      </c>
      <c r="AG16" s="23" t="str">
        <f t="shared" si="7"/>
        <v/>
      </c>
      <c r="AH16" s="23" t="str">
        <f t="shared" si="20"/>
        <v/>
      </c>
      <c r="AI16" s="23" t="str">
        <f t="shared" si="8"/>
        <v/>
      </c>
      <c r="AJ16" s="23" t="str">
        <f t="shared" si="9"/>
        <v/>
      </c>
      <c r="AK16" s="23" t="str">
        <f t="shared" si="10"/>
        <v/>
      </c>
      <c r="AL16" s="23" t="str">
        <f t="shared" si="11"/>
        <v/>
      </c>
      <c r="AM16" s="52">
        <f t="shared" si="23"/>
        <v>1000</v>
      </c>
      <c r="AN16" s="26">
        <f t="shared" si="21"/>
        <v>-912.05106727181499</v>
      </c>
    </row>
    <row r="17" spans="1:40" x14ac:dyDescent="0.2">
      <c r="A17" s="12">
        <v>44571</v>
      </c>
      <c r="B17" s="6">
        <v>10</v>
      </c>
      <c r="C17" s="6">
        <v>10</v>
      </c>
      <c r="D17" s="6">
        <v>2</v>
      </c>
      <c r="E17" s="6" t="s">
        <v>13</v>
      </c>
      <c r="F17" s="6">
        <v>2</v>
      </c>
      <c r="G17" s="6">
        <v>1</v>
      </c>
      <c r="H17" s="6" t="s">
        <v>11</v>
      </c>
      <c r="I17" s="6">
        <v>1</v>
      </c>
      <c r="J17" s="14">
        <v>8.7214496152882059</v>
      </c>
      <c r="K17" s="14">
        <v>50.462988296712588</v>
      </c>
      <c r="L17" s="14">
        <f t="shared" si="12"/>
        <v>440.11040986665722</v>
      </c>
      <c r="M17" s="16">
        <v>0.29690507218814188</v>
      </c>
      <c r="N17" s="14">
        <f t="shared" si="13"/>
        <v>130.67101301221257</v>
      </c>
      <c r="O17" s="14">
        <f t="shared" si="22"/>
        <v>309.43939685444468</v>
      </c>
      <c r="P17" s="14">
        <v>37.404430376417679</v>
      </c>
      <c r="Q17" s="14">
        <v>7.6271942413353644</v>
      </c>
      <c r="R17" s="14">
        <f t="shared" si="0"/>
        <v>12.987012987012987</v>
      </c>
      <c r="S17" s="14">
        <v>25.735659509561092</v>
      </c>
      <c r="T17" s="14">
        <f t="shared" si="14"/>
        <v>308.07728690666005</v>
      </c>
      <c r="U17" s="14">
        <f t="shared" si="1"/>
        <v>35.324091807698807</v>
      </c>
      <c r="V17" s="14">
        <v>34.111473786011146</v>
      </c>
      <c r="W17" s="16">
        <f t="shared" si="15"/>
        <v>1.0588929102563782</v>
      </c>
      <c r="X17" s="16">
        <f t="shared" si="16"/>
        <v>0.25567495764034698</v>
      </c>
      <c r="Y17" s="16">
        <f t="shared" si="17"/>
        <v>0.42415010312591694</v>
      </c>
      <c r="Z17" s="16">
        <f t="shared" si="2"/>
        <v>0.24689805650961946</v>
      </c>
      <c r="AA17" s="16">
        <f t="shared" si="3"/>
        <v>2.9508533985705399E-2</v>
      </c>
      <c r="AB17" s="14">
        <f t="shared" si="18"/>
        <v>35.324091807698807</v>
      </c>
      <c r="AC17" s="16">
        <f t="shared" si="4"/>
        <v>0.15114432376634021</v>
      </c>
      <c r="AD17" s="16">
        <f t="shared" si="5"/>
        <v>8.4988742683342375E-2</v>
      </c>
      <c r="AE17" s="23" t="str">
        <f t="shared" si="19"/>
        <v/>
      </c>
      <c r="AF17" s="23" t="str">
        <f t="shared" si="6"/>
        <v/>
      </c>
      <c r="AG17" s="23" t="str">
        <f t="shared" si="7"/>
        <v/>
      </c>
      <c r="AH17" s="23">
        <f t="shared" si="20"/>
        <v>300</v>
      </c>
      <c r="AI17" s="23" t="str">
        <f t="shared" si="8"/>
        <v/>
      </c>
      <c r="AJ17" s="23" t="str">
        <f t="shared" si="9"/>
        <v/>
      </c>
      <c r="AK17" s="23" t="str">
        <f t="shared" si="10"/>
        <v/>
      </c>
      <c r="AL17" s="23" t="str">
        <f t="shared" si="11"/>
        <v/>
      </c>
      <c r="AM17" s="52">
        <f t="shared" si="23"/>
        <v>300</v>
      </c>
      <c r="AN17" s="26">
        <f t="shared" si="21"/>
        <v>9.4393968544446807</v>
      </c>
    </row>
    <row r="18" spans="1:40" x14ac:dyDescent="0.2">
      <c r="A18" s="12">
        <v>44572</v>
      </c>
      <c r="B18" s="6">
        <v>11</v>
      </c>
      <c r="C18" s="6">
        <v>11</v>
      </c>
      <c r="D18" s="6">
        <v>3</v>
      </c>
      <c r="E18" s="6" t="s">
        <v>14</v>
      </c>
      <c r="F18" s="6">
        <v>2</v>
      </c>
      <c r="G18" s="6">
        <v>1</v>
      </c>
      <c r="H18" s="6" t="s">
        <v>11</v>
      </c>
      <c r="I18" s="6">
        <v>1</v>
      </c>
      <c r="J18" s="14">
        <v>18.144643313499966</v>
      </c>
      <c r="K18" s="14">
        <v>43.016572007118498</v>
      </c>
      <c r="L18" s="14">
        <f t="shared" si="12"/>
        <v>780.5203556386524</v>
      </c>
      <c r="M18" s="16">
        <v>0.5223016054235069</v>
      </c>
      <c r="N18" s="14">
        <f t="shared" si="13"/>
        <v>407.66703481579469</v>
      </c>
      <c r="O18" s="14">
        <f t="shared" si="22"/>
        <v>372.85332082285771</v>
      </c>
      <c r="P18" s="14">
        <v>46.794366386575796</v>
      </c>
      <c r="Q18" s="14">
        <v>9.326060703337113</v>
      </c>
      <c r="R18" s="14">
        <f t="shared" si="0"/>
        <v>12.987012987012987</v>
      </c>
      <c r="S18" s="14">
        <v>31.991610141995576</v>
      </c>
      <c r="T18" s="14">
        <f t="shared" si="14"/>
        <v>546.36424894705669</v>
      </c>
      <c r="U18" s="14">
        <f t="shared" si="1"/>
        <v>30.111600404982948</v>
      </c>
      <c r="V18" s="14">
        <v>30.815820206074868</v>
      </c>
      <c r="W18" s="16">
        <f t="shared" si="15"/>
        <v>1.5540311958587276</v>
      </c>
      <c r="X18" s="16">
        <f t="shared" si="16"/>
        <v>0.58880935805573742</v>
      </c>
      <c r="Y18" s="16">
        <f t="shared" si="17"/>
        <v>0.74614515060500985</v>
      </c>
      <c r="Z18" s="16">
        <f t="shared" si="2"/>
        <v>0.60257983864907239</v>
      </c>
      <c r="AA18" s="16">
        <f t="shared" si="3"/>
        <v>1.6638916452584383E-2</v>
      </c>
      <c r="AB18" s="14">
        <f t="shared" si="18"/>
        <v>30.111600404982948</v>
      </c>
      <c r="AC18" s="16">
        <f t="shared" si="4"/>
        <v>0.21680157827996641</v>
      </c>
      <c r="AD18" s="16">
        <f t="shared" si="5"/>
        <v>5.9952781562355034E-2</v>
      </c>
      <c r="AE18" s="23" t="str">
        <f t="shared" si="19"/>
        <v/>
      </c>
      <c r="AF18" s="23" t="str">
        <f t="shared" si="6"/>
        <v/>
      </c>
      <c r="AG18" s="23" t="str">
        <f t="shared" si="7"/>
        <v/>
      </c>
      <c r="AH18" s="23" t="str">
        <f t="shared" si="20"/>
        <v/>
      </c>
      <c r="AI18" s="23" t="str">
        <f t="shared" si="8"/>
        <v/>
      </c>
      <c r="AJ18" s="23" t="str">
        <f t="shared" si="9"/>
        <v/>
      </c>
      <c r="AK18" s="23" t="str">
        <f t="shared" si="10"/>
        <v/>
      </c>
      <c r="AL18" s="23" t="str">
        <f t="shared" si="11"/>
        <v/>
      </c>
      <c r="AM18" s="52">
        <f t="shared" si="23"/>
        <v>0</v>
      </c>
      <c r="AN18" s="26">
        <f t="shared" si="21"/>
        <v>372.85332082285771</v>
      </c>
    </row>
    <row r="19" spans="1:40" x14ac:dyDescent="0.2">
      <c r="A19" s="12">
        <v>44573</v>
      </c>
      <c r="B19" s="6">
        <v>12</v>
      </c>
      <c r="C19" s="6">
        <v>12</v>
      </c>
      <c r="D19" s="6">
        <v>4</v>
      </c>
      <c r="E19" s="6" t="s">
        <v>15</v>
      </c>
      <c r="F19" s="6">
        <v>2</v>
      </c>
      <c r="G19" s="6">
        <v>1</v>
      </c>
      <c r="H19" s="6" t="s">
        <v>11</v>
      </c>
      <c r="I19" s="6">
        <v>1</v>
      </c>
      <c r="J19" s="14">
        <v>2.6356183746540363</v>
      </c>
      <c r="K19" s="14">
        <v>23.051269479755479</v>
      </c>
      <c r="L19" s="14">
        <f t="shared" si="12"/>
        <v>60.754349399945326</v>
      </c>
      <c r="M19" s="16">
        <v>0.52234831895418687</v>
      </c>
      <c r="N19" s="14">
        <f t="shared" si="13"/>
        <v>31.734932278216753</v>
      </c>
      <c r="O19" s="14">
        <f t="shared" si="22"/>
        <v>29.019417121728573</v>
      </c>
      <c r="P19" s="14">
        <v>29.957513956629445</v>
      </c>
      <c r="Q19" s="14">
        <v>3.9756458199260787</v>
      </c>
      <c r="R19" s="14">
        <f t="shared" si="0"/>
        <v>12.987012987012987</v>
      </c>
      <c r="S19" s="14">
        <v>28.772989307488235</v>
      </c>
      <c r="T19" s="14">
        <f t="shared" si="14"/>
        <v>42.528044579961723</v>
      </c>
      <c r="U19" s="14">
        <f t="shared" si="1"/>
        <v>16.135888635828834</v>
      </c>
      <c r="V19" s="14">
        <v>27.09914639362162</v>
      </c>
      <c r="W19" s="16">
        <f t="shared" si="15"/>
        <v>1.8565766430805966</v>
      </c>
      <c r="X19" s="16">
        <f t="shared" si="16"/>
        <v>9.7258354059240298E-2</v>
      </c>
      <c r="Y19" s="16">
        <f t="shared" si="17"/>
        <v>0.74621188422026707</v>
      </c>
      <c r="Z19" s="16">
        <f t="shared" si="2"/>
        <v>0.16333890460806688</v>
      </c>
      <c r="AA19" s="16">
        <f t="shared" si="3"/>
        <v>0.21376268720317618</v>
      </c>
      <c r="AB19" s="14">
        <f t="shared" si="18"/>
        <v>16.135888635828834</v>
      </c>
      <c r="AC19" s="16">
        <f t="shared" si="4"/>
        <v>0.17246971249968013</v>
      </c>
      <c r="AD19" s="16">
        <f t="shared" si="5"/>
        <v>0.49309249876777389</v>
      </c>
      <c r="AE19" s="23" t="str">
        <f t="shared" si="19"/>
        <v/>
      </c>
      <c r="AF19" s="23" t="str">
        <f t="shared" si="6"/>
        <v/>
      </c>
      <c r="AG19" s="23" t="str">
        <f t="shared" si="7"/>
        <v/>
      </c>
      <c r="AH19" s="23" t="str">
        <f t="shared" si="20"/>
        <v/>
      </c>
      <c r="AI19" s="23" t="str">
        <f t="shared" si="8"/>
        <v/>
      </c>
      <c r="AJ19" s="23">
        <f t="shared" si="9"/>
        <v>480</v>
      </c>
      <c r="AK19" s="23" t="str">
        <f t="shared" si="10"/>
        <v/>
      </c>
      <c r="AL19" s="23" t="str">
        <f t="shared" si="11"/>
        <v/>
      </c>
      <c r="AM19" s="52">
        <f t="shared" si="23"/>
        <v>480</v>
      </c>
      <c r="AN19" s="26">
        <f t="shared" si="21"/>
        <v>-450.98058287827143</v>
      </c>
    </row>
    <row r="20" spans="1:40" x14ac:dyDescent="0.2">
      <c r="A20" s="12">
        <v>44574</v>
      </c>
      <c r="B20" s="6">
        <v>13</v>
      </c>
      <c r="C20" s="6">
        <v>13</v>
      </c>
      <c r="D20" s="6">
        <v>5</v>
      </c>
      <c r="E20" s="6" t="s">
        <v>16</v>
      </c>
      <c r="F20" s="6">
        <v>2</v>
      </c>
      <c r="G20" s="6">
        <v>1</v>
      </c>
      <c r="H20" s="6" t="s">
        <v>11</v>
      </c>
      <c r="I20" s="6">
        <v>1</v>
      </c>
      <c r="J20" s="14">
        <v>13.689948376214849</v>
      </c>
      <c r="K20" s="14">
        <v>52.886583802377487</v>
      </c>
      <c r="L20" s="14">
        <f t="shared" si="12"/>
        <v>724.01460204890816</v>
      </c>
      <c r="M20" s="16">
        <v>0.45813765363882308</v>
      </c>
      <c r="N20" s="14">
        <f t="shared" si="13"/>
        <v>331.69835098293299</v>
      </c>
      <c r="O20" s="14">
        <f t="shared" si="22"/>
        <v>392.31625106597517</v>
      </c>
      <c r="P20" s="14">
        <v>30.053336805707325</v>
      </c>
      <c r="Q20" s="14">
        <v>9.9404558025590983</v>
      </c>
      <c r="R20" s="14">
        <f t="shared" si="0"/>
        <v>12.987012987012987</v>
      </c>
      <c r="S20" s="14">
        <v>25.193106806637793</v>
      </c>
      <c r="T20" s="14">
        <f t="shared" si="14"/>
        <v>506.8102214342357</v>
      </c>
      <c r="U20" s="14">
        <f t="shared" si="1"/>
        <v>37.020608661664241</v>
      </c>
      <c r="V20" s="14">
        <v>26.834491561464208</v>
      </c>
      <c r="W20" s="16">
        <f t="shared" si="15"/>
        <v>0.81180018082275074</v>
      </c>
      <c r="X20" s="16">
        <f t="shared" si="16"/>
        <v>0.51016239099809746</v>
      </c>
      <c r="Y20" s="16">
        <f t="shared" si="17"/>
        <v>0.65448236234117585</v>
      </c>
      <c r="Z20" s="16">
        <f t="shared" si="2"/>
        <v>0.36979263364708342</v>
      </c>
      <c r="AA20" s="16">
        <f t="shared" si="3"/>
        <v>1.7937501467871909E-2</v>
      </c>
      <c r="AB20" s="14">
        <f t="shared" si="18"/>
        <v>37.020608661664241</v>
      </c>
      <c r="AC20" s="16">
        <f t="shared" si="4"/>
        <v>0.18795798646597836</v>
      </c>
      <c r="AD20" s="16">
        <f t="shared" si="5"/>
        <v>4.1509296526145448E-2</v>
      </c>
      <c r="AE20" s="23" t="str">
        <f t="shared" si="19"/>
        <v/>
      </c>
      <c r="AF20" s="23" t="str">
        <f t="shared" si="6"/>
        <v/>
      </c>
      <c r="AG20" s="23" t="str">
        <f t="shared" si="7"/>
        <v/>
      </c>
      <c r="AH20" s="23" t="str">
        <f t="shared" si="20"/>
        <v/>
      </c>
      <c r="AI20" s="23" t="str">
        <f t="shared" si="8"/>
        <v/>
      </c>
      <c r="AJ20" s="23" t="str">
        <f t="shared" si="9"/>
        <v/>
      </c>
      <c r="AK20" s="23" t="str">
        <f t="shared" si="10"/>
        <v/>
      </c>
      <c r="AL20" s="23" t="str">
        <f t="shared" si="11"/>
        <v/>
      </c>
      <c r="AM20" s="52">
        <f t="shared" si="23"/>
        <v>0</v>
      </c>
      <c r="AN20" s="26">
        <f t="shared" si="21"/>
        <v>392.31625106597517</v>
      </c>
    </row>
    <row r="21" spans="1:40" x14ac:dyDescent="0.2">
      <c r="A21" s="12">
        <v>44575</v>
      </c>
      <c r="B21" s="6">
        <v>14</v>
      </c>
      <c r="C21" s="6">
        <v>14</v>
      </c>
      <c r="D21" s="6">
        <v>6</v>
      </c>
      <c r="E21" s="6" t="s">
        <v>17</v>
      </c>
      <c r="F21" s="6">
        <v>2</v>
      </c>
      <c r="G21" s="6">
        <v>1</v>
      </c>
      <c r="H21" s="6" t="s">
        <v>11</v>
      </c>
      <c r="I21" s="6">
        <v>1</v>
      </c>
      <c r="J21" s="14">
        <v>11.243481318950993</v>
      </c>
      <c r="K21" s="14">
        <v>37.997799173077269</v>
      </c>
      <c r="L21" s="14">
        <f t="shared" si="12"/>
        <v>427.22754516374573</v>
      </c>
      <c r="M21" s="16">
        <v>0.51762426190297917</v>
      </c>
      <c r="N21" s="14">
        <f t="shared" si="13"/>
        <v>221.14334273000557</v>
      </c>
      <c r="O21" s="14">
        <f t="shared" si="22"/>
        <v>206.08420243374016</v>
      </c>
      <c r="P21" s="14">
        <v>46.492305831481787</v>
      </c>
      <c r="Q21" s="14">
        <v>13.520609966764738</v>
      </c>
      <c r="R21" s="14">
        <f t="shared" si="0"/>
        <v>12.987012987012987</v>
      </c>
      <c r="S21" s="14">
        <v>21.859398936347546</v>
      </c>
      <c r="T21" s="14">
        <f t="shared" si="14"/>
        <v>299.05928161462197</v>
      </c>
      <c r="U21" s="14">
        <f t="shared" si="1"/>
        <v>26.598459421154082</v>
      </c>
      <c r="V21" s="14">
        <v>25.9714918690917</v>
      </c>
      <c r="W21" s="16">
        <f t="shared" si="15"/>
        <v>1.7479322804126725</v>
      </c>
      <c r="X21" s="16">
        <f t="shared" si="16"/>
        <v>0.43291626740671368</v>
      </c>
      <c r="Y21" s="16">
        <f t="shared" si="17"/>
        <v>0.73946323128997027</v>
      </c>
      <c r="Z21" s="16">
        <f t="shared" si="2"/>
        <v>0.42271174961392366</v>
      </c>
      <c r="AA21" s="16">
        <f t="shared" si="3"/>
        <v>3.039835126275715E-2</v>
      </c>
      <c r="AB21" s="14">
        <f t="shared" si="18"/>
        <v>26.598459421154082</v>
      </c>
      <c r="AC21" s="16">
        <f t="shared" si="4"/>
        <v>0.35582613364472304</v>
      </c>
      <c r="AD21" s="16">
        <f t="shared" si="5"/>
        <v>0.10882328716343052</v>
      </c>
      <c r="AE21" s="23" t="str">
        <f t="shared" si="19"/>
        <v/>
      </c>
      <c r="AF21" s="23" t="str">
        <f t="shared" si="6"/>
        <v/>
      </c>
      <c r="AG21" s="23" t="str">
        <f t="shared" si="7"/>
        <v/>
      </c>
      <c r="AH21" s="23" t="str">
        <f t="shared" si="20"/>
        <v/>
      </c>
      <c r="AI21" s="23" t="str">
        <f t="shared" si="8"/>
        <v/>
      </c>
      <c r="AJ21" s="23" t="str">
        <f t="shared" si="9"/>
        <v/>
      </c>
      <c r="AK21" s="23" t="str">
        <f t="shared" si="10"/>
        <v/>
      </c>
      <c r="AL21" s="23" t="str">
        <f t="shared" si="11"/>
        <v/>
      </c>
      <c r="AM21" s="52">
        <f t="shared" si="23"/>
        <v>0</v>
      </c>
      <c r="AN21" s="26">
        <f t="shared" si="21"/>
        <v>206.08420243374016</v>
      </c>
    </row>
    <row r="22" spans="1:40" x14ac:dyDescent="0.2">
      <c r="A22" s="12">
        <v>44576</v>
      </c>
      <c r="B22" s="6">
        <v>15</v>
      </c>
      <c r="C22" s="6">
        <v>15</v>
      </c>
      <c r="D22" s="6">
        <v>7</v>
      </c>
      <c r="E22" s="6" t="s">
        <v>10</v>
      </c>
      <c r="F22" s="6">
        <v>2</v>
      </c>
      <c r="G22" s="6">
        <v>1</v>
      </c>
      <c r="H22" s="6" t="s">
        <v>11</v>
      </c>
      <c r="I22" s="6">
        <v>1</v>
      </c>
      <c r="J22" s="14">
        <v>12.767483164737854</v>
      </c>
      <c r="K22" s="14">
        <v>50.349850955605206</v>
      </c>
      <c r="L22" s="14">
        <f t="shared" si="12"/>
        <v>642.84087442274961</v>
      </c>
      <c r="M22" s="16">
        <v>0.31679852862843044</v>
      </c>
      <c r="N22" s="14">
        <f t="shared" si="13"/>
        <v>203.6510431593407</v>
      </c>
      <c r="O22" s="14">
        <f t="shared" si="22"/>
        <v>439.18983126340891</v>
      </c>
      <c r="P22" s="14">
        <v>32.521842746990245</v>
      </c>
      <c r="Q22" s="14">
        <v>12.515145422033093</v>
      </c>
      <c r="R22" s="14">
        <f t="shared" si="0"/>
        <v>12.987012987012987</v>
      </c>
      <c r="S22" s="14">
        <v>29.375583056266752</v>
      </c>
      <c r="T22" s="14">
        <f t="shared" si="14"/>
        <v>449.98861209592468</v>
      </c>
      <c r="U22" s="14">
        <f t="shared" si="1"/>
        <v>35.24489566892364</v>
      </c>
      <c r="V22" s="14">
        <v>21.982762085496244</v>
      </c>
      <c r="W22" s="16">
        <f t="shared" si="15"/>
        <v>0.92273908405027905</v>
      </c>
      <c r="X22" s="16">
        <f t="shared" si="16"/>
        <v>0.58079522105011394</v>
      </c>
      <c r="Y22" s="16">
        <f t="shared" si="17"/>
        <v>0.45256932661204352</v>
      </c>
      <c r="Z22" s="16">
        <f t="shared" si="2"/>
        <v>0.36225055919218629</v>
      </c>
      <c r="AA22" s="16">
        <f t="shared" si="3"/>
        <v>2.0202531456443098E-2</v>
      </c>
      <c r="AB22" s="14">
        <f t="shared" si="18"/>
        <v>35.24489566892364</v>
      </c>
      <c r="AC22" s="16">
        <f t="shared" si="4"/>
        <v>0.24856370345699788</v>
      </c>
      <c r="AD22" s="16">
        <f t="shared" si="5"/>
        <v>5.0590813436052602E-2</v>
      </c>
      <c r="AE22" s="23" t="str">
        <f t="shared" si="19"/>
        <v/>
      </c>
      <c r="AF22" s="23" t="str">
        <f t="shared" si="6"/>
        <v/>
      </c>
      <c r="AG22" s="23">
        <f t="shared" si="7"/>
        <v>300</v>
      </c>
      <c r="AH22" s="23" t="str">
        <f t="shared" si="20"/>
        <v/>
      </c>
      <c r="AI22" s="23" t="str">
        <f t="shared" si="8"/>
        <v/>
      </c>
      <c r="AJ22" s="23" t="str">
        <f t="shared" si="9"/>
        <v/>
      </c>
      <c r="AK22" s="23" t="str">
        <f t="shared" si="10"/>
        <v/>
      </c>
      <c r="AL22" s="23" t="str">
        <f t="shared" si="11"/>
        <v/>
      </c>
      <c r="AM22" s="52">
        <f t="shared" si="23"/>
        <v>300</v>
      </c>
      <c r="AN22" s="26">
        <f t="shared" si="21"/>
        <v>139.18983126340891</v>
      </c>
    </row>
    <row r="23" spans="1:40" x14ac:dyDescent="0.2">
      <c r="A23" s="12">
        <v>44577</v>
      </c>
      <c r="B23" s="6">
        <v>16</v>
      </c>
      <c r="C23" s="6">
        <v>16</v>
      </c>
      <c r="D23" s="6">
        <v>1</v>
      </c>
      <c r="E23" s="6" t="s">
        <v>12</v>
      </c>
      <c r="F23" s="6">
        <v>3</v>
      </c>
      <c r="G23" s="6">
        <v>1</v>
      </c>
      <c r="H23" s="6" t="s">
        <v>11</v>
      </c>
      <c r="I23" s="6">
        <v>1</v>
      </c>
      <c r="J23" s="14">
        <v>4.1786155255126269</v>
      </c>
      <c r="K23" s="14">
        <v>6.6677259234508277</v>
      </c>
      <c r="L23" s="14">
        <f t="shared" si="12"/>
        <v>27.861863063594647</v>
      </c>
      <c r="M23" s="16">
        <v>0.12285402002774824</v>
      </c>
      <c r="N23" s="14">
        <f t="shared" si="13"/>
        <v>3.4229418828252358</v>
      </c>
      <c r="O23" s="14">
        <f t="shared" si="22"/>
        <v>24.438921180769412</v>
      </c>
      <c r="P23" s="14">
        <v>21.194717458351452</v>
      </c>
      <c r="Q23" s="14">
        <v>3.0551846931726372</v>
      </c>
      <c r="R23" s="14">
        <f t="shared" si="0"/>
        <v>28.571428571428573</v>
      </c>
      <c r="S23" s="14">
        <v>14.905929881153659</v>
      </c>
      <c r="T23" s="14">
        <f t="shared" si="14"/>
        <v>19.503304144516253</v>
      </c>
      <c r="U23" s="14">
        <f t="shared" si="1"/>
        <v>4.6674081464155792</v>
      </c>
      <c r="V23" s="14">
        <v>18.252894893187786</v>
      </c>
      <c r="W23" s="16">
        <f t="shared" si="15"/>
        <v>4.5410036563072635</v>
      </c>
      <c r="X23" s="16">
        <f t="shared" si="16"/>
        <v>0.22892892058848921</v>
      </c>
      <c r="Y23" s="16">
        <f t="shared" si="17"/>
        <v>0.1755057428967832</v>
      </c>
      <c r="Z23" s="16">
        <f t="shared" si="2"/>
        <v>0.89527536363445537</v>
      </c>
      <c r="AA23" s="16">
        <f t="shared" si="3"/>
        <v>1.0254672670745077</v>
      </c>
      <c r="AB23" s="14">
        <f t="shared" si="18"/>
        <v>4.6674081464155792</v>
      </c>
      <c r="AC23" s="16">
        <f t="shared" si="4"/>
        <v>0.45820490047849044</v>
      </c>
      <c r="AD23" s="16">
        <f t="shared" si="5"/>
        <v>0.76070711459512064</v>
      </c>
      <c r="AE23" s="23" t="str">
        <f t="shared" si="19"/>
        <v/>
      </c>
      <c r="AF23" s="23">
        <f t="shared" si="6"/>
        <v>1000</v>
      </c>
      <c r="AG23" s="23" t="str">
        <f t="shared" si="7"/>
        <v/>
      </c>
      <c r="AH23" s="23" t="str">
        <f t="shared" si="20"/>
        <v/>
      </c>
      <c r="AI23" s="23" t="str">
        <f t="shared" si="8"/>
        <v/>
      </c>
      <c r="AJ23" s="23" t="str">
        <f t="shared" si="9"/>
        <v/>
      </c>
      <c r="AK23" s="23" t="str">
        <f t="shared" si="10"/>
        <v/>
      </c>
      <c r="AL23" s="23" t="str">
        <f t="shared" si="11"/>
        <v/>
      </c>
      <c r="AM23" s="52">
        <f t="shared" si="23"/>
        <v>1000</v>
      </c>
      <c r="AN23" s="26">
        <f t="shared" si="21"/>
        <v>-975.5610788192306</v>
      </c>
    </row>
    <row r="24" spans="1:40" x14ac:dyDescent="0.2">
      <c r="A24" s="12">
        <v>44578</v>
      </c>
      <c r="B24" s="6">
        <v>17</v>
      </c>
      <c r="C24" s="6">
        <v>17</v>
      </c>
      <c r="D24" s="6">
        <v>2</v>
      </c>
      <c r="E24" s="6" t="s">
        <v>13</v>
      </c>
      <c r="F24" s="6">
        <v>3</v>
      </c>
      <c r="G24" s="6">
        <v>1</v>
      </c>
      <c r="H24" s="6" t="s">
        <v>11</v>
      </c>
      <c r="I24" s="6">
        <v>1</v>
      </c>
      <c r="J24" s="14">
        <v>8.8928238633712624</v>
      </c>
      <c r="K24" s="14">
        <v>19.075995572975181</v>
      </c>
      <c r="L24" s="14">
        <f t="shared" si="12"/>
        <v>169.63946864891824</v>
      </c>
      <c r="M24" s="16">
        <v>0.36280842437272792</v>
      </c>
      <c r="N24" s="14">
        <f t="shared" si="13"/>
        <v>61.546628331940802</v>
      </c>
      <c r="O24" s="14">
        <f t="shared" si="22"/>
        <v>108.09284031697743</v>
      </c>
      <c r="P24" s="14">
        <v>40.360021321155635</v>
      </c>
      <c r="Q24" s="14">
        <v>6.6146234866903875</v>
      </c>
      <c r="R24" s="14">
        <f t="shared" si="0"/>
        <v>12.987012987012987</v>
      </c>
      <c r="S24" s="14">
        <v>39.104345002534302</v>
      </c>
      <c r="T24" s="14">
        <f t="shared" si="14"/>
        <v>118.74762805424275</v>
      </c>
      <c r="U24" s="14">
        <f t="shared" si="1"/>
        <v>13.353196901082624</v>
      </c>
      <c r="V24" s="14">
        <v>35.008061425575917</v>
      </c>
      <c r="W24" s="16">
        <f t="shared" si="15"/>
        <v>3.0224987783924164</v>
      </c>
      <c r="X24" s="16">
        <f t="shared" si="16"/>
        <v>0.25402217378636144</v>
      </c>
      <c r="Y24" s="16">
        <f t="shared" si="17"/>
        <v>0.51829774910389714</v>
      </c>
      <c r="Z24" s="16">
        <f t="shared" si="2"/>
        <v>0.66596964975857331</v>
      </c>
      <c r="AA24" s="16">
        <f t="shared" si="3"/>
        <v>7.6556553085476806E-2</v>
      </c>
      <c r="AB24" s="14">
        <f t="shared" si="18"/>
        <v>13.353196901082624</v>
      </c>
      <c r="AC24" s="16">
        <f t="shared" si="4"/>
        <v>0.34675115442264387</v>
      </c>
      <c r="AD24" s="16">
        <f t="shared" si="5"/>
        <v>0.23791645683991008</v>
      </c>
      <c r="AE24" s="23" t="str">
        <f t="shared" si="19"/>
        <v/>
      </c>
      <c r="AF24" s="23" t="str">
        <f t="shared" si="6"/>
        <v/>
      </c>
      <c r="AG24" s="23" t="str">
        <f t="shared" si="7"/>
        <v/>
      </c>
      <c r="AH24" s="23" t="str">
        <f t="shared" si="20"/>
        <v/>
      </c>
      <c r="AI24" s="23" t="str">
        <f t="shared" si="8"/>
        <v/>
      </c>
      <c r="AJ24" s="23" t="str">
        <f t="shared" si="9"/>
        <v/>
      </c>
      <c r="AK24" s="23" t="str">
        <f t="shared" si="10"/>
        <v/>
      </c>
      <c r="AL24" s="23" t="str">
        <f t="shared" si="11"/>
        <v/>
      </c>
      <c r="AM24" s="52">
        <f t="shared" si="23"/>
        <v>0</v>
      </c>
      <c r="AN24" s="26">
        <f t="shared" si="21"/>
        <v>108.09284031697743</v>
      </c>
    </row>
    <row r="25" spans="1:40" x14ac:dyDescent="0.2">
      <c r="A25" s="12">
        <v>44579</v>
      </c>
      <c r="B25" s="6">
        <v>18</v>
      </c>
      <c r="C25" s="6">
        <v>18</v>
      </c>
      <c r="D25" s="6">
        <v>3</v>
      </c>
      <c r="E25" s="6" t="s">
        <v>14</v>
      </c>
      <c r="F25" s="6">
        <v>3</v>
      </c>
      <c r="G25" s="6">
        <v>1</v>
      </c>
      <c r="H25" s="6" t="s">
        <v>11</v>
      </c>
      <c r="I25" s="6">
        <v>1</v>
      </c>
      <c r="J25" s="14">
        <v>10.99841201922411</v>
      </c>
      <c r="K25" s="14">
        <v>41.131284188205491</v>
      </c>
      <c r="L25" s="14">
        <f t="shared" si="12"/>
        <v>452.37881038168189</v>
      </c>
      <c r="M25" s="16">
        <v>0.37259579460108228</v>
      </c>
      <c r="N25" s="14">
        <f t="shared" si="13"/>
        <v>168.55444231485509</v>
      </c>
      <c r="O25" s="14">
        <f t="shared" si="22"/>
        <v>283.82436806682676</v>
      </c>
      <c r="P25" s="14">
        <v>11.080532966081041</v>
      </c>
      <c r="Q25" s="14">
        <v>8.1425324972190243</v>
      </c>
      <c r="R25" s="14">
        <f t="shared" si="0"/>
        <v>12.987012987012987</v>
      </c>
      <c r="S25" s="14">
        <v>22.957940437880879</v>
      </c>
      <c r="T25" s="14">
        <f t="shared" si="14"/>
        <v>316.66516726717731</v>
      </c>
      <c r="U25" s="14">
        <f t="shared" si="1"/>
        <v>28.791898931743845</v>
      </c>
      <c r="V25" s="14">
        <v>30.607431752677975</v>
      </c>
      <c r="W25" s="16">
        <f t="shared" si="15"/>
        <v>0.38484898103974846</v>
      </c>
      <c r="X25" s="16">
        <f t="shared" si="16"/>
        <v>0.35933795779065364</v>
      </c>
      <c r="Y25" s="16">
        <f t="shared" si="17"/>
        <v>0.53227970657297474</v>
      </c>
      <c r="Z25" s="16">
        <f t="shared" si="2"/>
        <v>0.38199675698007068</v>
      </c>
      <c r="AA25" s="16">
        <f t="shared" si="3"/>
        <v>2.8708269903392602E-2</v>
      </c>
      <c r="AB25" s="14">
        <f t="shared" si="18"/>
        <v>28.791898931743845</v>
      </c>
      <c r="AC25" s="16">
        <f t="shared" si="4"/>
        <v>0.19796446082162245</v>
      </c>
      <c r="AD25" s="16">
        <f t="shared" si="5"/>
        <v>2.4493925691904429E-2</v>
      </c>
      <c r="AE25" s="23" t="str">
        <f t="shared" si="19"/>
        <v/>
      </c>
      <c r="AF25" s="23" t="str">
        <f t="shared" si="6"/>
        <v/>
      </c>
      <c r="AG25" s="23" t="str">
        <f t="shared" si="7"/>
        <v/>
      </c>
      <c r="AH25" s="23" t="str">
        <f t="shared" si="20"/>
        <v/>
      </c>
      <c r="AI25" s="23" t="str">
        <f t="shared" si="8"/>
        <v/>
      </c>
      <c r="AJ25" s="23" t="str">
        <f t="shared" si="9"/>
        <v/>
      </c>
      <c r="AK25" s="23" t="str">
        <f t="shared" si="10"/>
        <v/>
      </c>
      <c r="AL25" s="23" t="str">
        <f t="shared" si="11"/>
        <v/>
      </c>
      <c r="AM25" s="52">
        <f t="shared" si="23"/>
        <v>0</v>
      </c>
      <c r="AN25" s="26">
        <f t="shared" si="21"/>
        <v>283.82436806682676</v>
      </c>
    </row>
    <row r="26" spans="1:40" x14ac:dyDescent="0.2">
      <c r="A26" s="12">
        <v>44580</v>
      </c>
      <c r="B26" s="6">
        <v>19</v>
      </c>
      <c r="C26" s="6">
        <v>19</v>
      </c>
      <c r="D26" s="6">
        <v>4</v>
      </c>
      <c r="E26" s="6" t="s">
        <v>15</v>
      </c>
      <c r="F26" s="6">
        <v>3</v>
      </c>
      <c r="G26" s="6">
        <v>1</v>
      </c>
      <c r="H26" s="6" t="s">
        <v>11</v>
      </c>
      <c r="I26" s="6">
        <v>1</v>
      </c>
      <c r="J26" s="14">
        <v>8.2899432686292975</v>
      </c>
      <c r="K26" s="14">
        <v>28.036358780917315</v>
      </c>
      <c r="L26" s="14">
        <f t="shared" si="12"/>
        <v>232.41982375274139</v>
      </c>
      <c r="M26" s="16">
        <v>0.26885609849292408</v>
      </c>
      <c r="N26" s="14">
        <f t="shared" si="13"/>
        <v>62.487487026575096</v>
      </c>
      <c r="O26" s="14">
        <f t="shared" si="22"/>
        <v>169.93233672616628</v>
      </c>
      <c r="P26" s="14">
        <v>41.695511951717563</v>
      </c>
      <c r="Q26" s="14">
        <v>6.377447594510274</v>
      </c>
      <c r="R26" s="14">
        <f t="shared" si="0"/>
        <v>12.987012987012987</v>
      </c>
      <c r="S26" s="14">
        <v>31.258024509731296</v>
      </c>
      <c r="T26" s="14">
        <f t="shared" si="14"/>
        <v>162.69387662691898</v>
      </c>
      <c r="U26" s="14">
        <f t="shared" si="1"/>
        <v>19.625451146642121</v>
      </c>
      <c r="V26" s="14">
        <v>27.0701989538492</v>
      </c>
      <c r="W26" s="16">
        <f t="shared" si="15"/>
        <v>2.1245632337400604</v>
      </c>
      <c r="X26" s="16">
        <f t="shared" si="16"/>
        <v>0.30623872705045352</v>
      </c>
      <c r="Y26" s="16">
        <f t="shared" si="17"/>
        <v>0.38408014070417723</v>
      </c>
      <c r="Z26" s="16">
        <f t="shared" si="2"/>
        <v>0.42240778093132864</v>
      </c>
      <c r="AA26" s="16">
        <f t="shared" si="3"/>
        <v>5.5877389360853971E-2</v>
      </c>
      <c r="AB26" s="14">
        <f t="shared" si="18"/>
        <v>19.625451146642121</v>
      </c>
      <c r="AC26" s="16">
        <f t="shared" si="4"/>
        <v>0.227470608588838</v>
      </c>
      <c r="AD26" s="16">
        <f t="shared" si="5"/>
        <v>0.17939739940632221</v>
      </c>
      <c r="AE26" s="23" t="str">
        <f t="shared" si="19"/>
        <v/>
      </c>
      <c r="AF26" s="23" t="str">
        <f t="shared" si="6"/>
        <v/>
      </c>
      <c r="AG26" s="23" t="str">
        <f t="shared" si="7"/>
        <v/>
      </c>
      <c r="AH26" s="23" t="str">
        <f t="shared" si="20"/>
        <v/>
      </c>
      <c r="AI26" s="23" t="str">
        <f t="shared" si="8"/>
        <v/>
      </c>
      <c r="AJ26" s="23" t="str">
        <f t="shared" si="9"/>
        <v/>
      </c>
      <c r="AK26" s="23" t="str">
        <f t="shared" si="10"/>
        <v/>
      </c>
      <c r="AL26" s="23" t="str">
        <f t="shared" si="11"/>
        <v/>
      </c>
      <c r="AM26" s="52">
        <f t="shared" si="23"/>
        <v>0</v>
      </c>
      <c r="AN26" s="26">
        <f t="shared" si="21"/>
        <v>169.93233672616628</v>
      </c>
    </row>
    <row r="27" spans="1:40" x14ac:dyDescent="0.2">
      <c r="A27" s="12">
        <v>44581</v>
      </c>
      <c r="B27" s="6">
        <v>20</v>
      </c>
      <c r="C27" s="6">
        <v>20</v>
      </c>
      <c r="D27" s="6">
        <v>5</v>
      </c>
      <c r="E27" s="6" t="s">
        <v>16</v>
      </c>
      <c r="F27" s="6">
        <v>3</v>
      </c>
      <c r="G27" s="6">
        <v>1</v>
      </c>
      <c r="H27" s="6" t="s">
        <v>11</v>
      </c>
      <c r="I27" s="6">
        <v>1</v>
      </c>
      <c r="J27" s="14">
        <v>14.574848648338195</v>
      </c>
      <c r="K27" s="14">
        <v>56.382767694231291</v>
      </c>
      <c r="L27" s="14">
        <f t="shared" si="12"/>
        <v>821.77030551783332</v>
      </c>
      <c r="M27" s="16">
        <v>0.32311618996417446</v>
      </c>
      <c r="N27" s="14">
        <f t="shared" si="13"/>
        <v>265.52729014461789</v>
      </c>
      <c r="O27" s="14">
        <f t="shared" si="22"/>
        <v>556.24301537321548</v>
      </c>
      <c r="P27" s="14">
        <v>45.364670543083257</v>
      </c>
      <c r="Q27" s="14">
        <v>8.2198072978148584</v>
      </c>
      <c r="R27" s="14">
        <f t="shared" si="0"/>
        <v>12.987012987012987</v>
      </c>
      <c r="S27" s="14">
        <v>18.813353163745003</v>
      </c>
      <c r="T27" s="14">
        <f t="shared" si="14"/>
        <v>575.23921386248333</v>
      </c>
      <c r="U27" s="14">
        <f t="shared" si="1"/>
        <v>39.467937385961903</v>
      </c>
      <c r="V27" s="14">
        <v>28.407129479790349</v>
      </c>
      <c r="W27" s="16">
        <f t="shared" si="15"/>
        <v>1.1494056580524201</v>
      </c>
      <c r="X27" s="16">
        <f t="shared" si="16"/>
        <v>0.51307009596682984</v>
      </c>
      <c r="Y27" s="16">
        <f t="shared" si="17"/>
        <v>0.46159455709167774</v>
      </c>
      <c r="Z27" s="16">
        <f t="shared" si="2"/>
        <v>0.36928326164625541</v>
      </c>
      <c r="AA27" s="16">
        <f t="shared" si="3"/>
        <v>1.5803701958820845E-2</v>
      </c>
      <c r="AB27" s="14">
        <f t="shared" si="18"/>
        <v>39.467937385961903</v>
      </c>
      <c r="AC27" s="16">
        <f t="shared" si="4"/>
        <v>0.14578580715284495</v>
      </c>
      <c r="AD27" s="16">
        <f t="shared" si="5"/>
        <v>5.5203589419670011E-2</v>
      </c>
      <c r="AE27" s="23" t="str">
        <f t="shared" si="19"/>
        <v/>
      </c>
      <c r="AF27" s="23" t="str">
        <f t="shared" si="6"/>
        <v/>
      </c>
      <c r="AG27" s="23" t="str">
        <f t="shared" si="7"/>
        <v/>
      </c>
      <c r="AH27" s="23" t="str">
        <f t="shared" si="20"/>
        <v/>
      </c>
      <c r="AI27" s="23">
        <f t="shared" si="8"/>
        <v>100</v>
      </c>
      <c r="AJ27" s="23" t="str">
        <f t="shared" si="9"/>
        <v/>
      </c>
      <c r="AK27" s="23" t="str">
        <f t="shared" si="10"/>
        <v/>
      </c>
      <c r="AL27" s="23" t="str">
        <f t="shared" si="11"/>
        <v/>
      </c>
      <c r="AM27" s="52">
        <f t="shared" si="23"/>
        <v>100</v>
      </c>
      <c r="AN27" s="26">
        <f t="shared" si="21"/>
        <v>456.24301537321548</v>
      </c>
    </row>
    <row r="28" spans="1:40" x14ac:dyDescent="0.2">
      <c r="A28" s="12">
        <v>44582</v>
      </c>
      <c r="B28" s="6">
        <v>21</v>
      </c>
      <c r="C28" s="6">
        <v>21</v>
      </c>
      <c r="D28" s="6">
        <v>6</v>
      </c>
      <c r="E28" s="6" t="s">
        <v>17</v>
      </c>
      <c r="F28" s="6">
        <v>3</v>
      </c>
      <c r="G28" s="6">
        <v>1</v>
      </c>
      <c r="H28" s="6" t="s">
        <v>11</v>
      </c>
      <c r="I28" s="6">
        <v>1</v>
      </c>
      <c r="J28" s="14">
        <v>16.321754577514859</v>
      </c>
      <c r="K28" s="14">
        <v>71.608305203707104</v>
      </c>
      <c r="L28" s="14">
        <f t="shared" si="12"/>
        <v>1168.7731832466875</v>
      </c>
      <c r="M28" s="16">
        <v>0.30966748841646119</v>
      </c>
      <c r="N28" s="14">
        <f t="shared" si="13"/>
        <v>361.93105618451409</v>
      </c>
      <c r="O28" s="14">
        <f t="shared" si="22"/>
        <v>806.8421270621734</v>
      </c>
      <c r="P28" s="14">
        <v>17.82043709613518</v>
      </c>
      <c r="Q28" s="14">
        <v>7.1530848325964316</v>
      </c>
      <c r="R28" s="14">
        <f t="shared" si="0"/>
        <v>12.987012987012987</v>
      </c>
      <c r="S28" s="14">
        <v>29.551488075959064</v>
      </c>
      <c r="T28" s="14">
        <f t="shared" si="14"/>
        <v>818.14122827268125</v>
      </c>
      <c r="U28" s="14">
        <f t="shared" si="1"/>
        <v>50.12581364259497</v>
      </c>
      <c r="V28" s="14">
        <v>26.525505961531252</v>
      </c>
      <c r="W28" s="16">
        <f t="shared" si="15"/>
        <v>0.35551417126508378</v>
      </c>
      <c r="X28" s="16">
        <f t="shared" si="16"/>
        <v>0.61532302536228967</v>
      </c>
      <c r="Y28" s="16">
        <f t="shared" si="17"/>
        <v>0.44238212630923029</v>
      </c>
      <c r="Z28" s="16">
        <f t="shared" si="2"/>
        <v>0.32561575346969063</v>
      </c>
      <c r="AA28" s="16">
        <f t="shared" si="3"/>
        <v>1.1111662359446758E-2</v>
      </c>
      <c r="AB28" s="14">
        <f t="shared" si="18"/>
        <v>50.12581364259497</v>
      </c>
      <c r="AC28" s="16">
        <f t="shared" si="4"/>
        <v>9.9891832549978049E-2</v>
      </c>
      <c r="AD28" s="16">
        <f t="shared" si="5"/>
        <v>1.5247130368471078E-2</v>
      </c>
      <c r="AE28" s="23" t="str">
        <f t="shared" si="19"/>
        <v/>
      </c>
      <c r="AF28" s="23" t="str">
        <f t="shared" si="6"/>
        <v/>
      </c>
      <c r="AG28" s="23" t="str">
        <f t="shared" si="7"/>
        <v/>
      </c>
      <c r="AH28" s="23" t="str">
        <f t="shared" si="20"/>
        <v/>
      </c>
      <c r="AI28" s="23" t="str">
        <f t="shared" si="8"/>
        <v/>
      </c>
      <c r="AJ28" s="23" t="str">
        <f t="shared" si="9"/>
        <v/>
      </c>
      <c r="AK28" s="23" t="str">
        <f t="shared" si="10"/>
        <v/>
      </c>
      <c r="AL28" s="23" t="str">
        <f t="shared" si="11"/>
        <v/>
      </c>
      <c r="AM28" s="52">
        <f t="shared" si="23"/>
        <v>0</v>
      </c>
      <c r="AN28" s="26">
        <f t="shared" si="21"/>
        <v>806.8421270621734</v>
      </c>
    </row>
    <row r="29" spans="1:40" x14ac:dyDescent="0.2">
      <c r="A29" s="12">
        <v>44583</v>
      </c>
      <c r="B29" s="6">
        <v>22</v>
      </c>
      <c r="C29" s="6">
        <v>22</v>
      </c>
      <c r="D29" s="6">
        <v>7</v>
      </c>
      <c r="E29" s="6" t="s">
        <v>10</v>
      </c>
      <c r="F29" s="6">
        <v>3</v>
      </c>
      <c r="G29" s="6">
        <v>1</v>
      </c>
      <c r="H29" s="6" t="s">
        <v>11</v>
      </c>
      <c r="I29" s="6">
        <v>1</v>
      </c>
      <c r="J29" s="14">
        <v>13.892050108302623</v>
      </c>
      <c r="K29" s="14">
        <v>50.155409072357315</v>
      </c>
      <c r="L29" s="14">
        <f t="shared" si="12"/>
        <v>696.76145603560383</v>
      </c>
      <c r="M29" s="16">
        <v>0.51131900475460801</v>
      </c>
      <c r="N29" s="14">
        <f t="shared" si="13"/>
        <v>356.26737425149651</v>
      </c>
      <c r="O29" s="14">
        <f t="shared" si="22"/>
        <v>340.49408178410732</v>
      </c>
      <c r="P29" s="14">
        <v>34.149029051011908</v>
      </c>
      <c r="Q29" s="14">
        <v>10.228027437209471</v>
      </c>
      <c r="R29" s="14">
        <f t="shared" si="0"/>
        <v>12.987012987012987</v>
      </c>
      <c r="S29" s="14">
        <v>25.701599641167935</v>
      </c>
      <c r="T29" s="14">
        <f t="shared" si="14"/>
        <v>487.73301922492266</v>
      </c>
      <c r="U29" s="14">
        <f t="shared" si="1"/>
        <v>35.108786350650121</v>
      </c>
      <c r="V29" s="14">
        <v>25.612169363451329</v>
      </c>
      <c r="W29" s="16">
        <f t="shared" si="15"/>
        <v>0.97266333019738693</v>
      </c>
      <c r="X29" s="16">
        <f t="shared" si="16"/>
        <v>0.54240036879213505</v>
      </c>
      <c r="Y29" s="16">
        <f t="shared" si="17"/>
        <v>0.73045572107801149</v>
      </c>
      <c r="Z29" s="16">
        <f t="shared" si="2"/>
        <v>0.39568585394992956</v>
      </c>
      <c r="AA29" s="16">
        <f t="shared" si="3"/>
        <v>1.8639109374542329E-2</v>
      </c>
      <c r="AB29" s="14">
        <f t="shared" si="18"/>
        <v>35.108786350650121</v>
      </c>
      <c r="AC29" s="16">
        <f t="shared" si="4"/>
        <v>0.20392670753525072</v>
      </c>
      <c r="AD29" s="16">
        <f t="shared" si="5"/>
        <v>4.9011076538750052E-2</v>
      </c>
      <c r="AE29" s="23" t="str">
        <f t="shared" si="19"/>
        <v/>
      </c>
      <c r="AF29" s="23" t="str">
        <f t="shared" si="6"/>
        <v/>
      </c>
      <c r="AG29" s="23" t="str">
        <f t="shared" si="7"/>
        <v/>
      </c>
      <c r="AH29" s="23" t="str">
        <f t="shared" si="20"/>
        <v/>
      </c>
      <c r="AI29" s="23" t="str">
        <f t="shared" si="8"/>
        <v/>
      </c>
      <c r="AJ29" s="23" t="str">
        <f t="shared" si="9"/>
        <v/>
      </c>
      <c r="AK29" s="23" t="str">
        <f t="shared" si="10"/>
        <v/>
      </c>
      <c r="AL29" s="23" t="str">
        <f t="shared" si="11"/>
        <v/>
      </c>
      <c r="AM29" s="52">
        <f t="shared" si="23"/>
        <v>0</v>
      </c>
      <c r="AN29" s="26">
        <f t="shared" si="21"/>
        <v>340.49408178410732</v>
      </c>
    </row>
    <row r="30" spans="1:40" x14ac:dyDescent="0.2">
      <c r="A30" s="12">
        <v>44584</v>
      </c>
      <c r="B30" s="6">
        <v>23</v>
      </c>
      <c r="C30" s="6">
        <v>23</v>
      </c>
      <c r="D30" s="6">
        <v>1</v>
      </c>
      <c r="E30" s="6" t="s">
        <v>12</v>
      </c>
      <c r="F30" s="6">
        <v>4</v>
      </c>
      <c r="G30" s="6">
        <v>1</v>
      </c>
      <c r="H30" s="6" t="s">
        <v>11</v>
      </c>
      <c r="I30" s="6">
        <v>1</v>
      </c>
      <c r="J30" s="14">
        <v>7.8972022567366285</v>
      </c>
      <c r="K30" s="14">
        <v>29.057494314594052</v>
      </c>
      <c r="L30" s="14">
        <f t="shared" si="12"/>
        <v>229.47290967632389</v>
      </c>
      <c r="M30" s="16">
        <v>0.19495880030232582</v>
      </c>
      <c r="N30" s="14">
        <f t="shared" si="13"/>
        <v>44.737763172380077</v>
      </c>
      <c r="O30" s="14">
        <f t="shared" si="22"/>
        <v>184.73514650394381</v>
      </c>
      <c r="P30" s="14">
        <v>30.623702176179219</v>
      </c>
      <c r="Q30" s="14">
        <v>2.8944195603519294</v>
      </c>
      <c r="R30" s="14">
        <f t="shared" si="0"/>
        <v>28.571428571428573</v>
      </c>
      <c r="S30" s="14">
        <v>29.51346190296432</v>
      </c>
      <c r="T30" s="14">
        <f t="shared" si="14"/>
        <v>160.63103677342673</v>
      </c>
      <c r="U30" s="14">
        <f t="shared" si="1"/>
        <v>20.340246020215837</v>
      </c>
      <c r="V30" s="14">
        <v>19.329010843560063</v>
      </c>
      <c r="W30" s="16">
        <f t="shared" si="15"/>
        <v>1.50557186701394</v>
      </c>
      <c r="X30" s="16">
        <f t="shared" si="16"/>
        <v>0.40856732507694654</v>
      </c>
      <c r="Y30" s="16">
        <f t="shared" si="17"/>
        <v>0.27851257186046541</v>
      </c>
      <c r="Z30" s="16">
        <f t="shared" si="2"/>
        <v>0.38825500187597184</v>
      </c>
      <c r="AA30" s="16">
        <f t="shared" si="3"/>
        <v>0.12450893925443809</v>
      </c>
      <c r="AB30" s="14">
        <f t="shared" si="18"/>
        <v>20.340246020215837</v>
      </c>
      <c r="AC30" s="16">
        <f t="shared" si="4"/>
        <v>9.9610087814702403E-2</v>
      </c>
      <c r="AD30" s="16">
        <f t="shared" si="5"/>
        <v>0.13345236358999657</v>
      </c>
      <c r="AE30" s="23" t="str">
        <f t="shared" si="19"/>
        <v/>
      </c>
      <c r="AF30" s="23">
        <f t="shared" si="6"/>
        <v>1000</v>
      </c>
      <c r="AG30" s="23" t="str">
        <f t="shared" si="7"/>
        <v/>
      </c>
      <c r="AH30" s="23" t="str">
        <f t="shared" si="20"/>
        <v/>
      </c>
      <c r="AI30" s="23" t="str">
        <f t="shared" si="8"/>
        <v/>
      </c>
      <c r="AJ30" s="23" t="str">
        <f t="shared" si="9"/>
        <v/>
      </c>
      <c r="AK30" s="23" t="str">
        <f t="shared" si="10"/>
        <v/>
      </c>
      <c r="AL30" s="23" t="str">
        <f t="shared" si="11"/>
        <v/>
      </c>
      <c r="AM30" s="52">
        <f t="shared" si="23"/>
        <v>1000</v>
      </c>
      <c r="AN30" s="26">
        <f t="shared" si="21"/>
        <v>-815.26485349605616</v>
      </c>
    </row>
    <row r="31" spans="1:40" x14ac:dyDescent="0.2">
      <c r="A31" s="12">
        <v>44585</v>
      </c>
      <c r="B31" s="6">
        <v>24</v>
      </c>
      <c r="C31" s="6">
        <v>24</v>
      </c>
      <c r="D31" s="6">
        <v>2</v>
      </c>
      <c r="E31" s="6" t="s">
        <v>13</v>
      </c>
      <c r="F31" s="6">
        <v>4</v>
      </c>
      <c r="G31" s="6">
        <v>1</v>
      </c>
      <c r="H31" s="6" t="s">
        <v>11</v>
      </c>
      <c r="I31" s="6">
        <v>1</v>
      </c>
      <c r="J31" s="14">
        <v>11.387260536758729</v>
      </c>
      <c r="K31" s="14">
        <v>48.723865838931154</v>
      </c>
      <c r="L31" s="14">
        <f t="shared" si="12"/>
        <v>554.83135466598753</v>
      </c>
      <c r="M31" s="16">
        <v>0.29905140328159469</v>
      </c>
      <c r="N31" s="14">
        <f t="shared" si="13"/>
        <v>165.92309519749173</v>
      </c>
      <c r="O31" s="14">
        <f t="shared" si="22"/>
        <v>388.90825946849577</v>
      </c>
      <c r="P31" s="14">
        <v>72.642025055027389</v>
      </c>
      <c r="Q31" s="14">
        <v>14.207313009518359</v>
      </c>
      <c r="R31" s="14">
        <f t="shared" si="0"/>
        <v>12.987012987012987</v>
      </c>
      <c r="S31" s="14">
        <v>42.619785681498001</v>
      </c>
      <c r="T31" s="14">
        <f t="shared" si="14"/>
        <v>388.38194826619127</v>
      </c>
      <c r="U31" s="14">
        <f t="shared" si="1"/>
        <v>34.106706087251808</v>
      </c>
      <c r="V31" s="14">
        <v>61.519263653991239</v>
      </c>
      <c r="W31" s="16">
        <f t="shared" si="15"/>
        <v>2.1298458100642872</v>
      </c>
      <c r="X31" s="16">
        <f t="shared" si="16"/>
        <v>0.18510072878643677</v>
      </c>
      <c r="Y31" s="16">
        <f t="shared" si="17"/>
        <v>0.42721629040227815</v>
      </c>
      <c r="Z31" s="16">
        <f t="shared" si="2"/>
        <v>0.33387160013716449</v>
      </c>
      <c r="AA31" s="16">
        <f t="shared" si="3"/>
        <v>2.3407136020334073E-2</v>
      </c>
      <c r="AB31" s="14">
        <f t="shared" si="18"/>
        <v>34.106706087251808</v>
      </c>
      <c r="AC31" s="16">
        <f t="shared" si="4"/>
        <v>0.29158837799291548</v>
      </c>
      <c r="AD31" s="16">
        <f t="shared" si="5"/>
        <v>0.13092631561667673</v>
      </c>
      <c r="AE31" s="23" t="str">
        <f t="shared" si="19"/>
        <v/>
      </c>
      <c r="AF31" s="23" t="str">
        <f t="shared" si="6"/>
        <v/>
      </c>
      <c r="AG31" s="23" t="str">
        <f t="shared" si="7"/>
        <v/>
      </c>
      <c r="AH31" s="23" t="str">
        <f t="shared" si="20"/>
        <v/>
      </c>
      <c r="AI31" s="23" t="str">
        <f t="shared" si="8"/>
        <v/>
      </c>
      <c r="AJ31" s="23" t="str">
        <f t="shared" si="9"/>
        <v/>
      </c>
      <c r="AK31" s="23" t="str">
        <f t="shared" si="10"/>
        <v/>
      </c>
      <c r="AL31" s="23" t="str">
        <f t="shared" si="11"/>
        <v/>
      </c>
      <c r="AM31" s="52">
        <f t="shared" si="23"/>
        <v>0</v>
      </c>
      <c r="AN31" s="26">
        <f t="shared" si="21"/>
        <v>388.90825946849577</v>
      </c>
    </row>
    <row r="32" spans="1:40" x14ac:dyDescent="0.2">
      <c r="A32" s="12">
        <v>44586</v>
      </c>
      <c r="B32" s="6">
        <v>25</v>
      </c>
      <c r="C32" s="6">
        <v>25</v>
      </c>
      <c r="D32" s="6">
        <v>3</v>
      </c>
      <c r="E32" s="6" t="s">
        <v>14</v>
      </c>
      <c r="F32" s="6">
        <v>4</v>
      </c>
      <c r="G32" s="6">
        <v>1</v>
      </c>
      <c r="H32" s="6" t="s">
        <v>11</v>
      </c>
      <c r="I32" s="6">
        <v>1</v>
      </c>
      <c r="J32" s="14">
        <v>13.291160321798269</v>
      </c>
      <c r="K32" s="14">
        <v>117.57123123164216</v>
      </c>
      <c r="L32" s="14">
        <f t="shared" si="12"/>
        <v>1562.6580835309717</v>
      </c>
      <c r="M32" s="16">
        <v>0.152978101789598</v>
      </c>
      <c r="N32" s="14">
        <f t="shared" si="13"/>
        <v>239.05246736473913</v>
      </c>
      <c r="O32" s="14">
        <f t="shared" si="22"/>
        <v>1323.6056161662325</v>
      </c>
      <c r="P32" s="14">
        <v>44.527586967277493</v>
      </c>
      <c r="Q32" s="14">
        <v>9.5856276971265952</v>
      </c>
      <c r="R32" s="14">
        <f t="shared" si="0"/>
        <v>12.987012987012987</v>
      </c>
      <c r="S32" s="14">
        <v>31.405386198392833</v>
      </c>
      <c r="T32" s="14">
        <f t="shared" si="14"/>
        <v>1093.8606584716802</v>
      </c>
      <c r="U32" s="14">
        <f t="shared" si="1"/>
        <v>82.299861862149513</v>
      </c>
      <c r="V32" s="14">
        <v>44.401486291940614</v>
      </c>
      <c r="W32" s="16">
        <f t="shared" si="15"/>
        <v>0.54104084696837329</v>
      </c>
      <c r="X32" s="16">
        <f t="shared" si="16"/>
        <v>0.29934043726393839</v>
      </c>
      <c r="Y32" s="16">
        <f t="shared" si="17"/>
        <v>0.21854014541371145</v>
      </c>
      <c r="Z32" s="16">
        <f t="shared" si="2"/>
        <v>0.16149675128326066</v>
      </c>
      <c r="AA32" s="16">
        <f t="shared" si="3"/>
        <v>8.3108474744952657E-3</v>
      </c>
      <c r="AB32" s="14">
        <f t="shared" si="18"/>
        <v>82.299861862149513</v>
      </c>
      <c r="AC32" s="16">
        <f t="shared" si="4"/>
        <v>8.1530384573762951E-2</v>
      </c>
      <c r="AD32" s="16">
        <f t="shared" si="5"/>
        <v>2.8494772744312214E-2</v>
      </c>
      <c r="AE32" s="23" t="str">
        <f t="shared" si="19"/>
        <v/>
      </c>
      <c r="AF32" s="23" t="str">
        <f t="shared" si="6"/>
        <v/>
      </c>
      <c r="AG32" s="23" t="str">
        <f t="shared" si="7"/>
        <v/>
      </c>
      <c r="AH32" s="23" t="str">
        <f t="shared" si="20"/>
        <v/>
      </c>
      <c r="AI32" s="23" t="str">
        <f t="shared" si="8"/>
        <v/>
      </c>
      <c r="AJ32" s="23" t="str">
        <f t="shared" si="9"/>
        <v/>
      </c>
      <c r="AK32" s="23">
        <f t="shared" si="10"/>
        <v>83</v>
      </c>
      <c r="AL32" s="23" t="str">
        <f t="shared" si="11"/>
        <v/>
      </c>
      <c r="AM32" s="52">
        <f t="shared" si="23"/>
        <v>83</v>
      </c>
      <c r="AN32" s="26">
        <f t="shared" si="21"/>
        <v>1240.6056161662325</v>
      </c>
    </row>
    <row r="33" spans="1:40" x14ac:dyDescent="0.2">
      <c r="A33" s="12">
        <v>44587</v>
      </c>
      <c r="B33" s="6">
        <v>26</v>
      </c>
      <c r="C33" s="6">
        <v>26</v>
      </c>
      <c r="D33" s="6">
        <v>4</v>
      </c>
      <c r="E33" s="6" t="s">
        <v>15</v>
      </c>
      <c r="F33" s="6">
        <v>4</v>
      </c>
      <c r="G33" s="6">
        <v>1</v>
      </c>
      <c r="H33" s="6" t="s">
        <v>11</v>
      </c>
      <c r="I33" s="6">
        <v>1</v>
      </c>
      <c r="J33" s="14">
        <v>15.536745757215304</v>
      </c>
      <c r="K33" s="14">
        <v>70.240454971124706</v>
      </c>
      <c r="L33" s="14">
        <f t="shared" si="12"/>
        <v>1091.3080907574943</v>
      </c>
      <c r="M33" s="16">
        <v>0.5483522423594045</v>
      </c>
      <c r="N33" s="14">
        <f t="shared" si="13"/>
        <v>598.4212386718325</v>
      </c>
      <c r="O33" s="14">
        <f t="shared" si="22"/>
        <v>492.88685208566176</v>
      </c>
      <c r="P33" s="14">
        <v>50.853132162896408</v>
      </c>
      <c r="Q33" s="14">
        <v>14.693402194655292</v>
      </c>
      <c r="R33" s="14">
        <f t="shared" si="0"/>
        <v>12.987012987012987</v>
      </c>
      <c r="S33" s="14">
        <v>60.275227822509656</v>
      </c>
      <c r="T33" s="14">
        <f t="shared" si="14"/>
        <v>763.91566353024598</v>
      </c>
      <c r="U33" s="14">
        <f t="shared" si="1"/>
        <v>49.168318479787288</v>
      </c>
      <c r="V33" s="14">
        <v>43.810886955553791</v>
      </c>
      <c r="W33" s="16">
        <f t="shared" si="15"/>
        <v>1.0342662457289795</v>
      </c>
      <c r="X33" s="16">
        <f t="shared" si="16"/>
        <v>0.35463207519576939</v>
      </c>
      <c r="Y33" s="16">
        <f t="shared" si="17"/>
        <v>0.78336034622772077</v>
      </c>
      <c r="Z33" s="16">
        <f t="shared" si="2"/>
        <v>0.31599099252504109</v>
      </c>
      <c r="AA33" s="16">
        <f t="shared" si="3"/>
        <v>1.1900409331702558E-2</v>
      </c>
      <c r="AB33" s="14">
        <f t="shared" si="18"/>
        <v>49.168318479787288</v>
      </c>
      <c r="AC33" s="16">
        <f t="shared" si="4"/>
        <v>0.20918717284356478</v>
      </c>
      <c r="AD33" s="16">
        <f t="shared" si="5"/>
        <v>4.6598327817397964E-2</v>
      </c>
      <c r="AE33" s="23" t="str">
        <f t="shared" si="19"/>
        <v/>
      </c>
      <c r="AF33" s="23" t="str">
        <f t="shared" si="6"/>
        <v/>
      </c>
      <c r="AG33" s="23" t="str">
        <f t="shared" si="7"/>
        <v/>
      </c>
      <c r="AH33" s="23" t="str">
        <f t="shared" si="20"/>
        <v/>
      </c>
      <c r="AI33" s="23" t="str">
        <f t="shared" si="8"/>
        <v/>
      </c>
      <c r="AJ33" s="23" t="str">
        <f t="shared" si="9"/>
        <v/>
      </c>
      <c r="AK33" s="23" t="str">
        <f t="shared" si="10"/>
        <v/>
      </c>
      <c r="AL33" s="23" t="str">
        <f t="shared" si="11"/>
        <v/>
      </c>
      <c r="AM33" s="52">
        <f t="shared" si="23"/>
        <v>0</v>
      </c>
      <c r="AN33" s="26">
        <f t="shared" si="21"/>
        <v>492.88685208566176</v>
      </c>
    </row>
    <row r="34" spans="1:40" x14ac:dyDescent="0.2">
      <c r="A34" s="12">
        <v>44588</v>
      </c>
      <c r="B34" s="6">
        <v>27</v>
      </c>
      <c r="C34" s="6">
        <v>27</v>
      </c>
      <c r="D34" s="6">
        <v>5</v>
      </c>
      <c r="E34" s="6" t="s">
        <v>16</v>
      </c>
      <c r="F34" s="6">
        <v>4</v>
      </c>
      <c r="G34" s="6">
        <v>1</v>
      </c>
      <c r="H34" s="6" t="s">
        <v>11</v>
      </c>
      <c r="I34" s="6">
        <v>1</v>
      </c>
      <c r="J34" s="14">
        <v>8.2798464154411349</v>
      </c>
      <c r="K34" s="14">
        <v>49.582238428723684</v>
      </c>
      <c r="L34" s="14">
        <f t="shared" si="12"/>
        <v>410.53331912361551</v>
      </c>
      <c r="M34" s="16">
        <v>0.65251055763237753</v>
      </c>
      <c r="N34" s="14">
        <f t="shared" si="13"/>
        <v>267.87732498802114</v>
      </c>
      <c r="O34" s="14">
        <f t="shared" si="22"/>
        <v>142.65599413559437</v>
      </c>
      <c r="P34" s="14">
        <v>37.931775527799502</v>
      </c>
      <c r="Q34" s="14">
        <v>15.40375554673261</v>
      </c>
      <c r="R34" s="14">
        <f t="shared" si="0"/>
        <v>12.987012987012987</v>
      </c>
      <c r="S34" s="14">
        <v>66.065495410643393</v>
      </c>
      <c r="T34" s="14">
        <f t="shared" si="14"/>
        <v>287.37332338653084</v>
      </c>
      <c r="U34" s="14">
        <f t="shared" si="1"/>
        <v>34.707566900106578</v>
      </c>
      <c r="V34" s="14">
        <v>54.846462517419383</v>
      </c>
      <c r="W34" s="16">
        <f t="shared" si="15"/>
        <v>1.0928964175729363</v>
      </c>
      <c r="X34" s="16">
        <f t="shared" si="16"/>
        <v>0.15096409203804956</v>
      </c>
      <c r="Y34" s="16">
        <f t="shared" si="17"/>
        <v>0.93215793947482506</v>
      </c>
      <c r="Z34" s="16">
        <f t="shared" si="2"/>
        <v>0.23856026667820698</v>
      </c>
      <c r="AA34" s="16">
        <f t="shared" si="3"/>
        <v>3.1634491969462955E-2</v>
      </c>
      <c r="AB34" s="14">
        <f t="shared" si="18"/>
        <v>34.707566900106578</v>
      </c>
      <c r="AC34" s="16">
        <f t="shared" si="4"/>
        <v>0.31067083768063603</v>
      </c>
      <c r="AD34" s="16">
        <f t="shared" si="5"/>
        <v>9.2396338520766647E-2</v>
      </c>
      <c r="AE34" s="23" t="str">
        <f t="shared" si="19"/>
        <v/>
      </c>
      <c r="AF34" s="23" t="str">
        <f t="shared" si="6"/>
        <v/>
      </c>
      <c r="AG34" s="23" t="str">
        <f t="shared" si="7"/>
        <v/>
      </c>
      <c r="AH34" s="23" t="str">
        <f t="shared" si="20"/>
        <v/>
      </c>
      <c r="AI34" s="23" t="str">
        <f t="shared" si="8"/>
        <v/>
      </c>
      <c r="AJ34" s="23" t="str">
        <f t="shared" si="9"/>
        <v/>
      </c>
      <c r="AK34" s="23" t="str">
        <f t="shared" si="10"/>
        <v/>
      </c>
      <c r="AL34" s="23" t="str">
        <f t="shared" si="11"/>
        <v/>
      </c>
      <c r="AM34" s="52">
        <f t="shared" si="23"/>
        <v>0</v>
      </c>
      <c r="AN34" s="26">
        <f t="shared" si="21"/>
        <v>142.65599413559437</v>
      </c>
    </row>
    <row r="35" spans="1:40" x14ac:dyDescent="0.2">
      <c r="A35" s="12">
        <v>44589</v>
      </c>
      <c r="B35" s="6">
        <v>28</v>
      </c>
      <c r="C35" s="6">
        <v>28</v>
      </c>
      <c r="D35" s="6">
        <v>6</v>
      </c>
      <c r="E35" s="6" t="s">
        <v>17</v>
      </c>
      <c r="F35" s="6">
        <v>4</v>
      </c>
      <c r="G35" s="6">
        <v>1</v>
      </c>
      <c r="H35" s="6" t="s">
        <v>11</v>
      </c>
      <c r="I35" s="6">
        <v>1</v>
      </c>
      <c r="J35" s="14">
        <v>16.508339456429443</v>
      </c>
      <c r="K35" s="14">
        <v>50.919568321160916</v>
      </c>
      <c r="L35" s="14">
        <f t="shared" si="12"/>
        <v>840.59751882057549</v>
      </c>
      <c r="M35" s="16">
        <v>0.48376781139411573</v>
      </c>
      <c r="N35" s="14">
        <f t="shared" si="13"/>
        <v>406.65402194315379</v>
      </c>
      <c r="O35" s="14">
        <f t="shared" si="22"/>
        <v>433.94349687742169</v>
      </c>
      <c r="P35" s="14">
        <v>69.965372029556406</v>
      </c>
      <c r="Q35" s="14">
        <v>15.737721832892973</v>
      </c>
      <c r="R35" s="14">
        <f t="shared" si="0"/>
        <v>12.987012987012987</v>
      </c>
      <c r="S35" s="14">
        <v>41.929469742803477</v>
      </c>
      <c r="T35" s="14">
        <f t="shared" si="14"/>
        <v>588.4182631744028</v>
      </c>
      <c r="U35" s="14">
        <f t="shared" si="1"/>
        <v>35.643697824812641</v>
      </c>
      <c r="V35" s="14">
        <v>52.256721390889084</v>
      </c>
      <c r="W35" s="16">
        <f t="shared" si="15"/>
        <v>1.9629100317658799</v>
      </c>
      <c r="X35" s="16">
        <f t="shared" si="16"/>
        <v>0.31590844234073318</v>
      </c>
      <c r="Y35" s="16">
        <f t="shared" si="17"/>
        <v>0.69109687342016535</v>
      </c>
      <c r="Z35" s="16">
        <f t="shared" si="2"/>
        <v>0.46314890047512119</v>
      </c>
      <c r="AA35" s="16">
        <f t="shared" si="3"/>
        <v>1.5449739853187752E-2</v>
      </c>
      <c r="AB35" s="14">
        <f t="shared" si="18"/>
        <v>35.643697824812641</v>
      </c>
      <c r="AC35" s="16">
        <f t="shared" si="4"/>
        <v>0.30907021311790589</v>
      </c>
      <c r="AD35" s="16">
        <f t="shared" si="5"/>
        <v>8.3232903337287181E-2</v>
      </c>
      <c r="AE35" s="23" t="str">
        <f t="shared" si="19"/>
        <v/>
      </c>
      <c r="AF35" s="23" t="str">
        <f t="shared" si="6"/>
        <v/>
      </c>
      <c r="AG35" s="23" t="str">
        <f t="shared" si="7"/>
        <v/>
      </c>
      <c r="AH35" s="23" t="str">
        <f t="shared" si="20"/>
        <v/>
      </c>
      <c r="AI35" s="23" t="str">
        <f t="shared" si="8"/>
        <v/>
      </c>
      <c r="AJ35" s="23" t="str">
        <f t="shared" si="9"/>
        <v/>
      </c>
      <c r="AK35" s="23" t="str">
        <f t="shared" si="10"/>
        <v/>
      </c>
      <c r="AL35" s="23" t="str">
        <f t="shared" si="11"/>
        <v/>
      </c>
      <c r="AM35" s="52">
        <f t="shared" si="23"/>
        <v>0</v>
      </c>
      <c r="AN35" s="26">
        <f t="shared" si="21"/>
        <v>433.94349687742169</v>
      </c>
    </row>
    <row r="36" spans="1:40" x14ac:dyDescent="0.2">
      <c r="A36" s="12">
        <v>44590</v>
      </c>
      <c r="B36" s="6">
        <v>29</v>
      </c>
      <c r="C36" s="6">
        <v>29</v>
      </c>
      <c r="D36" s="6">
        <v>7</v>
      </c>
      <c r="E36" s="6" t="s">
        <v>10</v>
      </c>
      <c r="F36" s="6">
        <v>4</v>
      </c>
      <c r="G36" s="6">
        <v>1</v>
      </c>
      <c r="H36" s="6" t="s">
        <v>11</v>
      </c>
      <c r="I36" s="6">
        <v>1</v>
      </c>
      <c r="J36" s="14">
        <v>10.970620953831924</v>
      </c>
      <c r="K36" s="14">
        <v>94.283258342258677</v>
      </c>
      <c r="L36" s="14">
        <f t="shared" si="12"/>
        <v>1034.3458895651315</v>
      </c>
      <c r="M36" s="16">
        <v>0.24933334441415855</v>
      </c>
      <c r="N36" s="14">
        <f t="shared" si="13"/>
        <v>257.89691992631214</v>
      </c>
      <c r="O36" s="14">
        <f t="shared" si="22"/>
        <v>776.44896963881934</v>
      </c>
      <c r="P36" s="14">
        <v>48.601564284201189</v>
      </c>
      <c r="Q36" s="14">
        <v>14.845973658119274</v>
      </c>
      <c r="R36" s="14">
        <f t="shared" si="0"/>
        <v>12.987012987012987</v>
      </c>
      <c r="S36" s="14">
        <v>43.587324012372505</v>
      </c>
      <c r="T36" s="14">
        <f t="shared" si="14"/>
        <v>724.04212269559207</v>
      </c>
      <c r="U36" s="14">
        <f t="shared" si="1"/>
        <v>65.998280839581071</v>
      </c>
      <c r="V36" s="14">
        <v>57.900264105500419</v>
      </c>
      <c r="W36" s="16">
        <f t="shared" si="15"/>
        <v>0.73640651947184399</v>
      </c>
      <c r="X36" s="16">
        <f t="shared" si="16"/>
        <v>0.18947445444881372</v>
      </c>
      <c r="Y36" s="16">
        <f t="shared" si="17"/>
        <v>0.35619049202022651</v>
      </c>
      <c r="Z36" s="16">
        <f t="shared" si="2"/>
        <v>0.16622585943560708</v>
      </c>
      <c r="AA36" s="16">
        <f t="shared" si="3"/>
        <v>1.2555773767780038E-2</v>
      </c>
      <c r="AB36" s="14">
        <f t="shared" si="18"/>
        <v>65.998280839581071</v>
      </c>
      <c r="AC36" s="16">
        <f t="shared" si="4"/>
        <v>0.15746139791039832</v>
      </c>
      <c r="AD36" s="16">
        <f t="shared" si="5"/>
        <v>4.6987728935273934E-2</v>
      </c>
      <c r="AE36" s="23" t="str">
        <f t="shared" si="19"/>
        <v/>
      </c>
      <c r="AF36" s="23" t="str">
        <f t="shared" si="6"/>
        <v/>
      </c>
      <c r="AG36" s="23" t="str">
        <f t="shared" si="7"/>
        <v/>
      </c>
      <c r="AH36" s="23" t="str">
        <f t="shared" si="20"/>
        <v/>
      </c>
      <c r="AI36" s="23" t="str">
        <f t="shared" si="8"/>
        <v/>
      </c>
      <c r="AJ36" s="23" t="str">
        <f t="shared" si="9"/>
        <v/>
      </c>
      <c r="AK36" s="23" t="str">
        <f t="shared" si="10"/>
        <v/>
      </c>
      <c r="AL36" s="23" t="str">
        <f t="shared" si="11"/>
        <v/>
      </c>
      <c r="AM36" s="52">
        <f t="shared" si="23"/>
        <v>0</v>
      </c>
      <c r="AN36" s="26">
        <f t="shared" si="21"/>
        <v>776.44896963881934</v>
      </c>
    </row>
    <row r="37" spans="1:40" x14ac:dyDescent="0.2">
      <c r="A37" s="12">
        <v>44591</v>
      </c>
      <c r="B37" s="6">
        <v>30</v>
      </c>
      <c r="C37" s="6">
        <v>30</v>
      </c>
      <c r="D37" s="6">
        <v>1</v>
      </c>
      <c r="E37" s="6" t="s">
        <v>12</v>
      </c>
      <c r="F37" s="6">
        <v>5</v>
      </c>
      <c r="G37" s="6">
        <v>1</v>
      </c>
      <c r="H37" s="6" t="s">
        <v>11</v>
      </c>
      <c r="I37" s="6">
        <v>1</v>
      </c>
      <c r="J37" s="14">
        <v>7.3724797018319936</v>
      </c>
      <c r="K37" s="14">
        <v>25.009178207076488</v>
      </c>
      <c r="L37" s="14">
        <f t="shared" si="12"/>
        <v>184.37965869117045</v>
      </c>
      <c r="M37" s="16">
        <v>0.23280064168165271</v>
      </c>
      <c r="N37" s="14">
        <f t="shared" si="13"/>
        <v>42.923702856348598</v>
      </c>
      <c r="O37" s="14">
        <f t="shared" si="22"/>
        <v>141.45595583482185</v>
      </c>
      <c r="P37" s="14">
        <v>36.309951792277595</v>
      </c>
      <c r="Q37" s="14">
        <v>3.6669294375142747</v>
      </c>
      <c r="R37" s="14">
        <f t="shared" si="0"/>
        <v>28.571428571428573</v>
      </c>
      <c r="S37" s="14">
        <v>29.591619125359777</v>
      </c>
      <c r="T37" s="14">
        <f t="shared" si="14"/>
        <v>129.0657610838193</v>
      </c>
      <c r="U37" s="14">
        <f t="shared" si="1"/>
        <v>17.506424744953538</v>
      </c>
      <c r="V37" s="14">
        <v>29.889544556204473</v>
      </c>
      <c r="W37" s="16">
        <f t="shared" si="15"/>
        <v>2.0740929299538688</v>
      </c>
      <c r="X37" s="16">
        <f t="shared" si="16"/>
        <v>0.24665747877050251</v>
      </c>
      <c r="Y37" s="16">
        <f t="shared" si="17"/>
        <v>0.33257234525950391</v>
      </c>
      <c r="Z37" s="16">
        <f t="shared" si="2"/>
        <v>0.42112994567649858</v>
      </c>
      <c r="AA37" s="16">
        <f t="shared" si="3"/>
        <v>0.15495976494502969</v>
      </c>
      <c r="AB37" s="14">
        <f t="shared" si="18"/>
        <v>17.506424744953538</v>
      </c>
      <c r="AC37" s="16">
        <f t="shared" si="4"/>
        <v>0.14662334792259174</v>
      </c>
      <c r="AD37" s="16">
        <f t="shared" si="5"/>
        <v>0.19693035582138432</v>
      </c>
      <c r="AE37" s="23" t="str">
        <f t="shared" si="19"/>
        <v/>
      </c>
      <c r="AF37" s="23">
        <f t="shared" si="6"/>
        <v>1000</v>
      </c>
      <c r="AG37" s="23" t="str">
        <f t="shared" si="7"/>
        <v/>
      </c>
      <c r="AH37" s="23" t="str">
        <f t="shared" si="20"/>
        <v/>
      </c>
      <c r="AI37" s="23" t="str">
        <f t="shared" si="8"/>
        <v/>
      </c>
      <c r="AJ37" s="23" t="str">
        <f t="shared" si="9"/>
        <v/>
      </c>
      <c r="AK37" s="23" t="str">
        <f t="shared" si="10"/>
        <v/>
      </c>
      <c r="AL37" s="23" t="str">
        <f t="shared" si="11"/>
        <v/>
      </c>
      <c r="AM37" s="52">
        <f t="shared" si="23"/>
        <v>1000</v>
      </c>
      <c r="AN37" s="26">
        <f t="shared" si="21"/>
        <v>-858.54404416517809</v>
      </c>
    </row>
    <row r="38" spans="1:40" x14ac:dyDescent="0.2">
      <c r="A38" s="12">
        <v>44592</v>
      </c>
      <c r="B38" s="6">
        <v>31</v>
      </c>
      <c r="C38" s="6">
        <v>31</v>
      </c>
      <c r="D38" s="6">
        <v>2</v>
      </c>
      <c r="E38" s="6" t="s">
        <v>13</v>
      </c>
      <c r="F38" s="6">
        <v>5</v>
      </c>
      <c r="G38" s="6">
        <v>1</v>
      </c>
      <c r="H38" s="6" t="s">
        <v>11</v>
      </c>
      <c r="I38" s="6">
        <v>1</v>
      </c>
      <c r="J38" s="14">
        <v>8.7648832159991059</v>
      </c>
      <c r="K38" s="14">
        <v>32.199326815748179</v>
      </c>
      <c r="L38" s="14">
        <f t="shared" si="12"/>
        <v>282.22333917382116</v>
      </c>
      <c r="M38" s="16">
        <v>0.5216418155673892</v>
      </c>
      <c r="N38" s="14">
        <f t="shared" si="13"/>
        <v>147.21949504212316</v>
      </c>
      <c r="O38" s="14">
        <f t="shared" si="22"/>
        <v>135.003844131698</v>
      </c>
      <c r="P38" s="14">
        <v>71.663319832317015</v>
      </c>
      <c r="Q38" s="14">
        <v>7.7333283644123165</v>
      </c>
      <c r="R38" s="14">
        <f t="shared" si="0"/>
        <v>12.987012987012987</v>
      </c>
      <c r="S38" s="14">
        <v>49.634748552070064</v>
      </c>
      <c r="T38" s="14">
        <f t="shared" si="14"/>
        <v>197.55633742167481</v>
      </c>
      <c r="U38" s="14">
        <f t="shared" si="1"/>
        <v>22.539528771023726</v>
      </c>
      <c r="V38" s="14">
        <v>67.101300794781892</v>
      </c>
      <c r="W38" s="16">
        <f t="shared" si="15"/>
        <v>3.1794506691038569</v>
      </c>
      <c r="X38" s="16">
        <f t="shared" si="16"/>
        <v>0.13062165877834522</v>
      </c>
      <c r="Y38" s="16">
        <f t="shared" si="17"/>
        <v>0.74520259366769892</v>
      </c>
      <c r="Z38" s="16">
        <f t="shared" si="2"/>
        <v>0.38886718995061814</v>
      </c>
      <c r="AA38" s="16">
        <f t="shared" si="3"/>
        <v>4.6016793030055868E-2</v>
      </c>
      <c r="AB38" s="14">
        <f t="shared" si="18"/>
        <v>22.539528771023726</v>
      </c>
      <c r="AC38" s="16">
        <f t="shared" si="4"/>
        <v>0.24017049824253059</v>
      </c>
      <c r="AD38" s="16">
        <f t="shared" si="5"/>
        <v>0.25392414405592312</v>
      </c>
      <c r="AE38" s="23" t="str">
        <f t="shared" si="19"/>
        <v/>
      </c>
      <c r="AF38" s="23" t="str">
        <f t="shared" si="6"/>
        <v/>
      </c>
      <c r="AG38" s="23" t="str">
        <f t="shared" si="7"/>
        <v/>
      </c>
      <c r="AH38" s="23" t="str">
        <f t="shared" si="20"/>
        <v/>
      </c>
      <c r="AI38" s="23" t="str">
        <f t="shared" si="8"/>
        <v/>
      </c>
      <c r="AJ38" s="23" t="str">
        <f t="shared" si="9"/>
        <v/>
      </c>
      <c r="AK38" s="23" t="str">
        <f t="shared" si="10"/>
        <v/>
      </c>
      <c r="AL38" s="23" t="str">
        <f t="shared" si="11"/>
        <v/>
      </c>
      <c r="AM38" s="52">
        <f t="shared" si="23"/>
        <v>0</v>
      </c>
      <c r="AN38" s="26">
        <f t="shared" si="21"/>
        <v>135.003844131698</v>
      </c>
    </row>
    <row r="39" spans="1:40" x14ac:dyDescent="0.2">
      <c r="A39" s="12">
        <v>44593</v>
      </c>
      <c r="B39" s="6">
        <v>1</v>
      </c>
      <c r="C39" s="6">
        <v>32</v>
      </c>
      <c r="D39" s="6">
        <v>3</v>
      </c>
      <c r="E39" s="6" t="s">
        <v>14</v>
      </c>
      <c r="F39" s="6">
        <v>5</v>
      </c>
      <c r="G39" s="6">
        <v>2</v>
      </c>
      <c r="H39" s="6" t="s">
        <v>18</v>
      </c>
      <c r="I39" s="6">
        <v>1</v>
      </c>
      <c r="J39" s="14">
        <v>14.527800914189736</v>
      </c>
      <c r="K39" s="14">
        <v>50.953442607060374</v>
      </c>
      <c r="L39" s="14">
        <f t="shared" si="12"/>
        <v>740.24147008796592</v>
      </c>
      <c r="M39" s="16">
        <v>0.44355669442035472</v>
      </c>
      <c r="N39" s="14">
        <f t="shared" si="13"/>
        <v>328.33905954508208</v>
      </c>
      <c r="O39" s="14">
        <f t="shared" si="22"/>
        <v>411.90241054288384</v>
      </c>
      <c r="P39" s="14">
        <v>62.029815334441757</v>
      </c>
      <c r="Q39" s="14">
        <v>13.816093946208319</v>
      </c>
      <c r="R39" s="14">
        <f t="shared" si="0"/>
        <v>12.987012987012987</v>
      </c>
      <c r="S39" s="14">
        <v>58.166916841892409</v>
      </c>
      <c r="T39" s="14">
        <f t="shared" si="14"/>
        <v>518.16902906157611</v>
      </c>
      <c r="U39" s="14">
        <f t="shared" si="1"/>
        <v>35.667409824942254</v>
      </c>
      <c r="V39" s="14">
        <v>60.882166778633007</v>
      </c>
      <c r="W39" s="16">
        <f t="shared" si="15"/>
        <v>1.7391174643431564</v>
      </c>
      <c r="X39" s="16">
        <f t="shared" si="16"/>
        <v>0.23862161422428813</v>
      </c>
      <c r="Y39" s="16">
        <f t="shared" si="17"/>
        <v>0.63365242060050686</v>
      </c>
      <c r="Z39" s="16">
        <f t="shared" si="2"/>
        <v>0.40731303409731845</v>
      </c>
      <c r="AA39" s="16">
        <f t="shared" si="3"/>
        <v>1.7544292655570469E-2</v>
      </c>
      <c r="AB39" s="14">
        <f t="shared" si="18"/>
        <v>35.667409824942254</v>
      </c>
      <c r="AC39" s="16">
        <f t="shared" si="4"/>
        <v>0.2711513342239586</v>
      </c>
      <c r="AD39" s="16">
        <f t="shared" si="5"/>
        <v>8.3796730987079793E-2</v>
      </c>
      <c r="AE39" s="23">
        <f t="shared" si="19"/>
        <v>3000</v>
      </c>
      <c r="AF39" s="23" t="str">
        <f t="shared" si="6"/>
        <v/>
      </c>
      <c r="AG39" s="23" t="str">
        <f t="shared" si="7"/>
        <v/>
      </c>
      <c r="AH39" s="23" t="str">
        <f t="shared" si="20"/>
        <v/>
      </c>
      <c r="AI39" s="23" t="str">
        <f t="shared" si="8"/>
        <v/>
      </c>
      <c r="AJ39" s="23" t="str">
        <f t="shared" si="9"/>
        <v/>
      </c>
      <c r="AK39" s="23" t="str">
        <f t="shared" si="10"/>
        <v/>
      </c>
      <c r="AL39" s="23" t="str">
        <f t="shared" si="11"/>
        <v/>
      </c>
      <c r="AM39" s="52">
        <f t="shared" si="23"/>
        <v>3000</v>
      </c>
      <c r="AN39" s="26">
        <f t="shared" si="21"/>
        <v>-2588.0975894571161</v>
      </c>
    </row>
    <row r="40" spans="1:40" x14ac:dyDescent="0.2">
      <c r="A40" s="12">
        <v>44594</v>
      </c>
      <c r="B40" s="6">
        <v>2</v>
      </c>
      <c r="C40" s="6">
        <v>33</v>
      </c>
      <c r="D40" s="6">
        <v>4</v>
      </c>
      <c r="E40" s="6" t="s">
        <v>15</v>
      </c>
      <c r="F40" s="6">
        <v>5</v>
      </c>
      <c r="G40" s="6">
        <v>2</v>
      </c>
      <c r="H40" s="6" t="s">
        <v>18</v>
      </c>
      <c r="I40" s="6">
        <v>1</v>
      </c>
      <c r="J40" s="14">
        <v>27.67687283260215</v>
      </c>
      <c r="K40" s="14">
        <v>60.853953648789521</v>
      </c>
      <c r="L40" s="14">
        <f t="shared" si="12"/>
        <v>1684.2471364986131</v>
      </c>
      <c r="M40" s="16">
        <v>0.53931912139269855</v>
      </c>
      <c r="N40" s="14">
        <f t="shared" si="13"/>
        <v>908.34668586460043</v>
      </c>
      <c r="O40" s="14">
        <f t="shared" si="22"/>
        <v>775.90045063401271</v>
      </c>
      <c r="P40" s="14">
        <v>71.998444631239607</v>
      </c>
      <c r="Q40" s="14">
        <v>27.688764778270887</v>
      </c>
      <c r="R40" s="14">
        <f t="shared" si="0"/>
        <v>12.987012987012987</v>
      </c>
      <c r="S40" s="14">
        <v>59.793775800603761</v>
      </c>
      <c r="T40" s="14">
        <f t="shared" si="14"/>
        <v>1178.9729955490291</v>
      </c>
      <c r="U40" s="14">
        <f t="shared" si="1"/>
        <v>42.597767554152661</v>
      </c>
      <c r="V40" s="14">
        <v>50.564861730026678</v>
      </c>
      <c r="W40" s="16">
        <f t="shared" si="15"/>
        <v>1.6901929083422309</v>
      </c>
      <c r="X40" s="16">
        <f t="shared" si="16"/>
        <v>0.54735387155556947</v>
      </c>
      <c r="Y40" s="16">
        <f t="shared" si="17"/>
        <v>0.77045588770385509</v>
      </c>
      <c r="Z40" s="16">
        <f t="shared" si="2"/>
        <v>0.64972589930722924</v>
      </c>
      <c r="AA40" s="16">
        <f t="shared" si="3"/>
        <v>7.7108713475456643E-3</v>
      </c>
      <c r="AB40" s="14">
        <f t="shared" si="18"/>
        <v>42.597767554152661</v>
      </c>
      <c r="AC40" s="16">
        <f t="shared" si="4"/>
        <v>0.45500354731383436</v>
      </c>
      <c r="AD40" s="16">
        <f t="shared" si="5"/>
        <v>4.2748147270665636E-2</v>
      </c>
      <c r="AE40" s="23" t="str">
        <f t="shared" si="19"/>
        <v/>
      </c>
      <c r="AF40" s="23" t="str">
        <f t="shared" si="6"/>
        <v/>
      </c>
      <c r="AG40" s="23" t="str">
        <f t="shared" si="7"/>
        <v/>
      </c>
      <c r="AH40" s="23" t="str">
        <f t="shared" si="20"/>
        <v/>
      </c>
      <c r="AI40" s="23" t="str">
        <f t="shared" si="8"/>
        <v/>
      </c>
      <c r="AJ40" s="23" t="str">
        <f t="shared" si="9"/>
        <v/>
      </c>
      <c r="AK40" s="23" t="str">
        <f t="shared" si="10"/>
        <v/>
      </c>
      <c r="AL40" s="23" t="str">
        <f t="shared" si="11"/>
        <v/>
      </c>
      <c r="AM40" s="52">
        <f t="shared" si="23"/>
        <v>0</v>
      </c>
      <c r="AN40" s="26">
        <f t="shared" si="21"/>
        <v>775.90045063401271</v>
      </c>
    </row>
    <row r="41" spans="1:40" x14ac:dyDescent="0.2">
      <c r="A41" s="12">
        <v>44595</v>
      </c>
      <c r="B41" s="6">
        <v>3</v>
      </c>
      <c r="C41" s="6">
        <v>34</v>
      </c>
      <c r="D41" s="6">
        <v>5</v>
      </c>
      <c r="E41" s="6" t="s">
        <v>16</v>
      </c>
      <c r="F41" s="6">
        <v>5</v>
      </c>
      <c r="G41" s="6">
        <v>2</v>
      </c>
      <c r="H41" s="6" t="s">
        <v>18</v>
      </c>
      <c r="I41" s="6">
        <v>1</v>
      </c>
      <c r="J41" s="14">
        <v>12.249160823142189</v>
      </c>
      <c r="K41" s="14">
        <v>31.610516250668773</v>
      </c>
      <c r="L41" s="14">
        <f t="shared" si="12"/>
        <v>387.20229725699147</v>
      </c>
      <c r="M41" s="16">
        <v>0.38032024684572152</v>
      </c>
      <c r="N41" s="14">
        <f t="shared" si="13"/>
        <v>147.26087327200943</v>
      </c>
      <c r="O41" s="14">
        <f t="shared" si="22"/>
        <v>239.94142398498204</v>
      </c>
      <c r="P41" s="14">
        <v>85.175187000548163</v>
      </c>
      <c r="Q41" s="14">
        <v>11.761877759638585</v>
      </c>
      <c r="R41" s="14">
        <f t="shared" si="0"/>
        <v>12.987012987012987</v>
      </c>
      <c r="S41" s="14">
        <v>42.852576932800886</v>
      </c>
      <c r="T41" s="14">
        <f t="shared" si="14"/>
        <v>271.04160807989399</v>
      </c>
      <c r="U41" s="14">
        <f t="shared" si="1"/>
        <v>22.127361375468141</v>
      </c>
      <c r="V41" s="14">
        <v>39.350598176248369</v>
      </c>
      <c r="W41" s="16">
        <f t="shared" si="15"/>
        <v>3.8493151332078401</v>
      </c>
      <c r="X41" s="16">
        <f t="shared" si="16"/>
        <v>0.31128270956083359</v>
      </c>
      <c r="Y41" s="16">
        <f t="shared" si="17"/>
        <v>0.54331463835103078</v>
      </c>
      <c r="Z41" s="16">
        <f t="shared" si="2"/>
        <v>0.55357530503941699</v>
      </c>
      <c r="AA41" s="16">
        <f t="shared" si="3"/>
        <v>3.354064032939693E-2</v>
      </c>
      <c r="AB41" s="14">
        <f t="shared" si="18"/>
        <v>22.127361375468141</v>
      </c>
      <c r="AC41" s="16">
        <f t="shared" si="4"/>
        <v>0.37208749349007364</v>
      </c>
      <c r="AD41" s="16">
        <f t="shared" si="5"/>
        <v>0.21997593403743734</v>
      </c>
      <c r="AE41" s="23" t="str">
        <f t="shared" si="19"/>
        <v/>
      </c>
      <c r="AF41" s="23" t="str">
        <f t="shared" si="6"/>
        <v/>
      </c>
      <c r="AG41" s="23" t="str">
        <f t="shared" si="7"/>
        <v/>
      </c>
      <c r="AH41" s="23" t="str">
        <f t="shared" si="20"/>
        <v/>
      </c>
      <c r="AI41" s="23" t="str">
        <f t="shared" si="8"/>
        <v/>
      </c>
      <c r="AJ41" s="23" t="str">
        <f t="shared" si="9"/>
        <v/>
      </c>
      <c r="AK41" s="23" t="str">
        <f t="shared" si="10"/>
        <v/>
      </c>
      <c r="AL41" s="23" t="str">
        <f t="shared" si="11"/>
        <v/>
      </c>
      <c r="AM41" s="52">
        <f t="shared" si="23"/>
        <v>0</v>
      </c>
      <c r="AN41" s="26">
        <f t="shared" si="21"/>
        <v>239.94142398498204</v>
      </c>
    </row>
    <row r="42" spans="1:40" x14ac:dyDescent="0.2">
      <c r="A42" s="12">
        <v>44596</v>
      </c>
      <c r="B42" s="6">
        <v>4</v>
      </c>
      <c r="C42" s="6">
        <v>35</v>
      </c>
      <c r="D42" s="6">
        <v>6</v>
      </c>
      <c r="E42" s="6" t="s">
        <v>17</v>
      </c>
      <c r="F42" s="6">
        <v>5</v>
      </c>
      <c r="G42" s="6">
        <v>2</v>
      </c>
      <c r="H42" s="6" t="s">
        <v>18</v>
      </c>
      <c r="I42" s="6">
        <v>1</v>
      </c>
      <c r="J42" s="14">
        <v>11.039963086790973</v>
      </c>
      <c r="K42" s="14">
        <v>74.643981390104173</v>
      </c>
      <c r="L42" s="14">
        <f t="shared" si="12"/>
        <v>824.06679919786245</v>
      </c>
      <c r="M42" s="16">
        <v>0.34362987149636071</v>
      </c>
      <c r="N42" s="14">
        <f t="shared" si="13"/>
        <v>283.17396831277875</v>
      </c>
      <c r="O42" s="14">
        <f t="shared" si="22"/>
        <v>540.89283088508364</v>
      </c>
      <c r="P42" s="14">
        <v>67.828520872633732</v>
      </c>
      <c r="Q42" s="14">
        <v>15.519974587802178</v>
      </c>
      <c r="R42" s="14">
        <f t="shared" si="0"/>
        <v>12.987012987012987</v>
      </c>
      <c r="S42" s="14">
        <v>67.294672320120142</v>
      </c>
      <c r="T42" s="14">
        <f t="shared" si="14"/>
        <v>576.84675943850368</v>
      </c>
      <c r="U42" s="14">
        <f t="shared" si="1"/>
        <v>52.25078697307292</v>
      </c>
      <c r="V42" s="14">
        <v>59.819463402754231</v>
      </c>
      <c r="W42" s="16">
        <f t="shared" si="15"/>
        <v>1.2981339574385491</v>
      </c>
      <c r="X42" s="16">
        <f t="shared" si="16"/>
        <v>0.18455469940378413</v>
      </c>
      <c r="Y42" s="16">
        <f t="shared" si="17"/>
        <v>0.49089981642337244</v>
      </c>
      <c r="Z42" s="16">
        <f t="shared" si="2"/>
        <v>0.2112879772027231</v>
      </c>
      <c r="AA42" s="16">
        <f t="shared" si="3"/>
        <v>1.5759660502831084E-2</v>
      </c>
      <c r="AB42" s="14">
        <f t="shared" si="18"/>
        <v>52.25078697307292</v>
      </c>
      <c r="AC42" s="16">
        <f t="shared" si="4"/>
        <v>0.20791997290031636</v>
      </c>
      <c r="AD42" s="16">
        <f t="shared" si="5"/>
        <v>8.2309493524866273E-2</v>
      </c>
      <c r="AE42" s="23" t="str">
        <f t="shared" si="19"/>
        <v/>
      </c>
      <c r="AF42" s="23" t="str">
        <f t="shared" si="6"/>
        <v/>
      </c>
      <c r="AG42" s="23" t="str">
        <f t="shared" si="7"/>
        <v/>
      </c>
      <c r="AH42" s="23" t="str">
        <f t="shared" si="20"/>
        <v/>
      </c>
      <c r="AI42" s="23" t="str">
        <f t="shared" si="8"/>
        <v/>
      </c>
      <c r="AJ42" s="23" t="str">
        <f t="shared" si="9"/>
        <v/>
      </c>
      <c r="AK42" s="23" t="str">
        <f t="shared" si="10"/>
        <v/>
      </c>
      <c r="AL42" s="23" t="str">
        <f t="shared" si="11"/>
        <v/>
      </c>
      <c r="AM42" s="52">
        <f t="shared" si="23"/>
        <v>0</v>
      </c>
      <c r="AN42" s="26">
        <f t="shared" si="21"/>
        <v>540.89283088508364</v>
      </c>
    </row>
    <row r="43" spans="1:40" x14ac:dyDescent="0.2">
      <c r="A43" s="12">
        <v>44597</v>
      </c>
      <c r="B43" s="6">
        <v>5</v>
      </c>
      <c r="C43" s="6">
        <v>36</v>
      </c>
      <c r="D43" s="6">
        <v>7</v>
      </c>
      <c r="E43" s="6" t="s">
        <v>10</v>
      </c>
      <c r="F43" s="6">
        <v>5</v>
      </c>
      <c r="G43" s="6">
        <v>2</v>
      </c>
      <c r="H43" s="6" t="s">
        <v>18</v>
      </c>
      <c r="I43" s="6">
        <v>1</v>
      </c>
      <c r="J43" s="14">
        <v>4.785792171934955</v>
      </c>
      <c r="K43" s="14">
        <v>29.833149308107394</v>
      </c>
      <c r="L43" s="14">
        <f t="shared" si="12"/>
        <v>142.77525242290707</v>
      </c>
      <c r="M43" s="16">
        <v>0.32245035681508061</v>
      </c>
      <c r="N43" s="14">
        <f t="shared" si="13"/>
        <v>46.037931088129589</v>
      </c>
      <c r="O43" s="14">
        <f t="shared" si="22"/>
        <v>96.737321334777477</v>
      </c>
      <c r="P43" s="14">
        <v>80.399401039785985</v>
      </c>
      <c r="Q43" s="14">
        <v>22.218668593876558</v>
      </c>
      <c r="R43" s="14">
        <f t="shared" si="0"/>
        <v>12.987012987012987</v>
      </c>
      <c r="S43" s="14">
        <v>57.263106681423608</v>
      </c>
      <c r="T43" s="14">
        <f t="shared" si="14"/>
        <v>99.942676696034951</v>
      </c>
      <c r="U43" s="14">
        <f t="shared" si="1"/>
        <v>20.883204515675175</v>
      </c>
      <c r="V43" s="14">
        <v>59.902766914642029</v>
      </c>
      <c r="W43" s="16">
        <f t="shared" si="15"/>
        <v>3.8499551627451267</v>
      </c>
      <c r="X43" s="16">
        <f t="shared" si="16"/>
        <v>7.9892673050552601E-2</v>
      </c>
      <c r="Y43" s="16">
        <f t="shared" si="17"/>
        <v>0.46064336687868662</v>
      </c>
      <c r="Z43" s="16">
        <f t="shared" si="2"/>
        <v>0.22916943462114178</v>
      </c>
      <c r="AA43" s="16">
        <f t="shared" si="3"/>
        <v>9.0961232893112587E-2</v>
      </c>
      <c r="AB43" s="14">
        <f t="shared" si="18"/>
        <v>20.883204515675175</v>
      </c>
      <c r="AC43" s="16">
        <f t="shared" si="4"/>
        <v>0.74476443517273783</v>
      </c>
      <c r="AD43" s="16">
        <f t="shared" si="5"/>
        <v>0.56311860546839831</v>
      </c>
      <c r="AE43" s="23" t="str">
        <f t="shared" si="19"/>
        <v/>
      </c>
      <c r="AF43" s="23" t="str">
        <f t="shared" si="6"/>
        <v/>
      </c>
      <c r="AG43" s="23" t="str">
        <f t="shared" si="7"/>
        <v/>
      </c>
      <c r="AH43" s="23" t="str">
        <f t="shared" si="20"/>
        <v/>
      </c>
      <c r="AI43" s="23" t="str">
        <f t="shared" si="8"/>
        <v/>
      </c>
      <c r="AJ43" s="23" t="str">
        <f t="shared" si="9"/>
        <v/>
      </c>
      <c r="AK43" s="23" t="str">
        <f t="shared" si="10"/>
        <v/>
      </c>
      <c r="AL43" s="23">
        <f t="shared" si="11"/>
        <v>1000</v>
      </c>
      <c r="AM43" s="52">
        <f t="shared" si="23"/>
        <v>1000</v>
      </c>
      <c r="AN43" s="26">
        <f t="shared" si="21"/>
        <v>-903.26267866522255</v>
      </c>
    </row>
    <row r="44" spans="1:40" x14ac:dyDescent="0.2">
      <c r="A44" s="12">
        <v>44598</v>
      </c>
      <c r="B44" s="6">
        <v>6</v>
      </c>
      <c r="C44" s="6">
        <v>37</v>
      </c>
      <c r="D44" s="6">
        <v>1</v>
      </c>
      <c r="E44" s="6" t="s">
        <v>12</v>
      </c>
      <c r="F44" s="6">
        <v>6</v>
      </c>
      <c r="G44" s="6">
        <v>2</v>
      </c>
      <c r="H44" s="6" t="s">
        <v>18</v>
      </c>
      <c r="I44" s="6">
        <v>1</v>
      </c>
      <c r="J44" s="14">
        <v>13.198729113113764</v>
      </c>
      <c r="K44" s="14">
        <v>40.640735318273002</v>
      </c>
      <c r="L44" s="14">
        <f t="shared" si="12"/>
        <v>536.40605642364062</v>
      </c>
      <c r="M44" s="16">
        <v>0.2586072045559778</v>
      </c>
      <c r="N44" s="14">
        <f t="shared" si="13"/>
        <v>138.71847075861379</v>
      </c>
      <c r="O44" s="14">
        <f t="shared" si="22"/>
        <v>397.68758566502686</v>
      </c>
      <c r="P44" s="14">
        <v>21.14099688740065</v>
      </c>
      <c r="Q44" s="14">
        <v>1.5151629440362413</v>
      </c>
      <c r="R44" s="14">
        <f t="shared" si="0"/>
        <v>28.571428571428573</v>
      </c>
      <c r="S44" s="14">
        <v>27.99643250498584</v>
      </c>
      <c r="T44" s="14">
        <f t="shared" si="14"/>
        <v>375.48423949654841</v>
      </c>
      <c r="U44" s="14">
        <f t="shared" si="1"/>
        <v>28.448514722791099</v>
      </c>
      <c r="V44" s="14">
        <v>20.711790201036081</v>
      </c>
      <c r="W44" s="16">
        <f t="shared" si="15"/>
        <v>0.74313183283568263</v>
      </c>
      <c r="X44" s="16">
        <f t="shared" si="16"/>
        <v>0.63725679842264504</v>
      </c>
      <c r="Y44" s="16">
        <f t="shared" si="17"/>
        <v>0.36943886365139683</v>
      </c>
      <c r="Z44" s="16">
        <f t="shared" si="2"/>
        <v>0.46395143091740393</v>
      </c>
      <c r="AA44" s="16">
        <f t="shared" si="3"/>
        <v>5.326455253306004E-2</v>
      </c>
      <c r="AB44" s="14">
        <f t="shared" si="18"/>
        <v>28.448514722791099</v>
      </c>
      <c r="AC44" s="16">
        <f t="shared" si="4"/>
        <v>3.7281878198571608E-2</v>
      </c>
      <c r="AD44" s="16">
        <f t="shared" si="5"/>
        <v>3.941230087585737E-2</v>
      </c>
      <c r="AE44" s="23" t="str">
        <f t="shared" si="19"/>
        <v/>
      </c>
      <c r="AF44" s="23">
        <f t="shared" si="6"/>
        <v>1000</v>
      </c>
      <c r="AG44" s="23" t="str">
        <f t="shared" si="7"/>
        <v/>
      </c>
      <c r="AH44" s="23" t="str">
        <f t="shared" si="20"/>
        <v/>
      </c>
      <c r="AI44" s="23" t="str">
        <f t="shared" si="8"/>
        <v/>
      </c>
      <c r="AJ44" s="23" t="str">
        <f t="shared" si="9"/>
        <v/>
      </c>
      <c r="AK44" s="23" t="str">
        <f t="shared" si="10"/>
        <v/>
      </c>
      <c r="AL44" s="23" t="str">
        <f t="shared" si="11"/>
        <v/>
      </c>
      <c r="AM44" s="52">
        <f t="shared" si="23"/>
        <v>1000</v>
      </c>
      <c r="AN44" s="26">
        <f t="shared" si="21"/>
        <v>-602.31241433497314</v>
      </c>
    </row>
    <row r="45" spans="1:40" x14ac:dyDescent="0.2">
      <c r="A45" s="12">
        <v>44599</v>
      </c>
      <c r="B45" s="6">
        <v>7</v>
      </c>
      <c r="C45" s="6">
        <v>38</v>
      </c>
      <c r="D45" s="6">
        <v>2</v>
      </c>
      <c r="E45" s="6" t="s">
        <v>13</v>
      </c>
      <c r="F45" s="6">
        <v>6</v>
      </c>
      <c r="G45" s="6">
        <v>2</v>
      </c>
      <c r="H45" s="6" t="s">
        <v>18</v>
      </c>
      <c r="I45" s="6">
        <v>1</v>
      </c>
      <c r="J45" s="14">
        <v>11.068019958396093</v>
      </c>
      <c r="K45" s="14">
        <v>55.63862229537731</v>
      </c>
      <c r="L45" s="14">
        <f t="shared" si="12"/>
        <v>615.80938202289792</v>
      </c>
      <c r="M45" s="16">
        <v>0.8163703010762845</v>
      </c>
      <c r="N45" s="14">
        <f t="shared" si="13"/>
        <v>502.72849060763389</v>
      </c>
      <c r="O45" s="14">
        <f t="shared" si="22"/>
        <v>113.08089141526403</v>
      </c>
      <c r="P45" s="14">
        <v>42.285954694782227</v>
      </c>
      <c r="Q45" s="14">
        <v>5.1663941021844044</v>
      </c>
      <c r="R45" s="14">
        <f t="shared" si="0"/>
        <v>12.987012987012987</v>
      </c>
      <c r="S45" s="14">
        <v>65.84248541737</v>
      </c>
      <c r="T45" s="14">
        <f t="shared" si="14"/>
        <v>431.06656741602853</v>
      </c>
      <c r="U45" s="14">
        <f t="shared" si="1"/>
        <v>38.947035606764118</v>
      </c>
      <c r="V45" s="14">
        <v>69.857196409484288</v>
      </c>
      <c r="W45" s="16">
        <f t="shared" si="15"/>
        <v>1.085729736191738</v>
      </c>
      <c r="X45" s="16">
        <f t="shared" si="16"/>
        <v>0.15843779205678835</v>
      </c>
      <c r="Y45" s="16">
        <f t="shared" si="17"/>
        <v>1.1662432872518351</v>
      </c>
      <c r="Z45" s="16">
        <f t="shared" si="2"/>
        <v>0.2841813192189101</v>
      </c>
      <c r="AA45" s="16">
        <f t="shared" si="3"/>
        <v>2.1089339276305609E-2</v>
      </c>
      <c r="AB45" s="14">
        <f t="shared" si="18"/>
        <v>38.947035606764118</v>
      </c>
      <c r="AC45" s="16">
        <f t="shared" si="4"/>
        <v>9.2856255044504399E-2</v>
      </c>
      <c r="AD45" s="16">
        <f t="shared" si="5"/>
        <v>6.8667279078917787E-2</v>
      </c>
      <c r="AE45" s="23" t="str">
        <f t="shared" si="19"/>
        <v/>
      </c>
      <c r="AF45" s="23" t="str">
        <f t="shared" si="6"/>
        <v/>
      </c>
      <c r="AG45" s="23" t="str">
        <f t="shared" si="7"/>
        <v/>
      </c>
      <c r="AH45" s="23" t="str">
        <f t="shared" si="20"/>
        <v/>
      </c>
      <c r="AI45" s="23" t="str">
        <f t="shared" si="8"/>
        <v/>
      </c>
      <c r="AJ45" s="23" t="str">
        <f t="shared" si="9"/>
        <v/>
      </c>
      <c r="AK45" s="23" t="str">
        <f t="shared" si="10"/>
        <v/>
      </c>
      <c r="AL45" s="23" t="str">
        <f t="shared" si="11"/>
        <v/>
      </c>
      <c r="AM45" s="52">
        <f t="shared" si="23"/>
        <v>0</v>
      </c>
      <c r="AN45" s="26">
        <f t="shared" si="21"/>
        <v>113.08089141526403</v>
      </c>
    </row>
    <row r="46" spans="1:40" x14ac:dyDescent="0.2">
      <c r="A46" s="12">
        <v>44600</v>
      </c>
      <c r="B46" s="6">
        <v>8</v>
      </c>
      <c r="C46" s="6">
        <v>39</v>
      </c>
      <c r="D46" s="6">
        <v>3</v>
      </c>
      <c r="E46" s="6" t="s">
        <v>14</v>
      </c>
      <c r="F46" s="6">
        <v>6</v>
      </c>
      <c r="G46" s="6">
        <v>2</v>
      </c>
      <c r="H46" s="6" t="s">
        <v>18</v>
      </c>
      <c r="I46" s="6">
        <v>1</v>
      </c>
      <c r="J46" s="14">
        <v>12.001406345525737</v>
      </c>
      <c r="K46" s="14">
        <v>143.42934275409618</v>
      </c>
      <c r="L46" s="14">
        <f t="shared" si="12"/>
        <v>1721.3538242635959</v>
      </c>
      <c r="M46" s="16">
        <v>0.63449284770340342</v>
      </c>
      <c r="N46" s="14">
        <f t="shared" si="13"/>
        <v>1092.1866898621529</v>
      </c>
      <c r="O46" s="14">
        <f t="shared" si="22"/>
        <v>629.16713440144304</v>
      </c>
      <c r="P46" s="14">
        <v>82.913108848954678</v>
      </c>
      <c r="Q46" s="14">
        <v>11.637558914456459</v>
      </c>
      <c r="R46" s="14">
        <f t="shared" si="0"/>
        <v>12.987012987012987</v>
      </c>
      <c r="S46" s="14">
        <v>51.535649826144123</v>
      </c>
      <c r="T46" s="14">
        <f t="shared" si="14"/>
        <v>1204.9476769845171</v>
      </c>
      <c r="U46" s="14">
        <f t="shared" si="1"/>
        <v>100.40053992786733</v>
      </c>
      <c r="V46" s="14">
        <v>66.017298307993713</v>
      </c>
      <c r="W46" s="16">
        <f t="shared" si="15"/>
        <v>0.82582333629404303</v>
      </c>
      <c r="X46" s="16">
        <f t="shared" si="16"/>
        <v>0.18179184324591705</v>
      </c>
      <c r="Y46" s="16">
        <f t="shared" si="17"/>
        <v>0.90641835386200498</v>
      </c>
      <c r="Z46" s="16">
        <f t="shared" si="2"/>
        <v>0.11953527694321302</v>
      </c>
      <c r="AA46" s="16">
        <f t="shared" si="3"/>
        <v>7.544650497737674E-3</v>
      </c>
      <c r="AB46" s="14">
        <f t="shared" si="18"/>
        <v>100.40053992786733</v>
      </c>
      <c r="AC46" s="16">
        <f t="shared" si="4"/>
        <v>8.1137922624442221E-2</v>
      </c>
      <c r="AD46" s="16">
        <f t="shared" si="5"/>
        <v>4.8167382951860772E-2</v>
      </c>
      <c r="AE46" s="23" t="str">
        <f t="shared" si="19"/>
        <v/>
      </c>
      <c r="AF46" s="23" t="str">
        <f t="shared" si="6"/>
        <v/>
      </c>
      <c r="AG46" s="23" t="str">
        <f t="shared" si="7"/>
        <v/>
      </c>
      <c r="AH46" s="23" t="str">
        <f t="shared" si="20"/>
        <v/>
      </c>
      <c r="AI46" s="23" t="str">
        <f t="shared" si="8"/>
        <v/>
      </c>
      <c r="AJ46" s="23" t="str">
        <f t="shared" si="9"/>
        <v/>
      </c>
      <c r="AK46" s="23" t="str">
        <f t="shared" si="10"/>
        <v/>
      </c>
      <c r="AL46" s="23" t="str">
        <f t="shared" si="11"/>
        <v/>
      </c>
      <c r="AM46" s="52">
        <f t="shared" si="23"/>
        <v>0</v>
      </c>
      <c r="AN46" s="26">
        <f t="shared" si="21"/>
        <v>629.16713440144304</v>
      </c>
    </row>
    <row r="47" spans="1:40" x14ac:dyDescent="0.2">
      <c r="A47" s="12">
        <v>44601</v>
      </c>
      <c r="B47" s="6">
        <v>9</v>
      </c>
      <c r="C47" s="6">
        <v>40</v>
      </c>
      <c r="D47" s="6">
        <v>4</v>
      </c>
      <c r="E47" s="6" t="s">
        <v>15</v>
      </c>
      <c r="F47" s="6">
        <v>6</v>
      </c>
      <c r="G47" s="6">
        <v>2</v>
      </c>
      <c r="H47" s="6" t="s">
        <v>18</v>
      </c>
      <c r="I47" s="6">
        <v>1</v>
      </c>
      <c r="J47" s="14">
        <v>23.869920955845124</v>
      </c>
      <c r="K47" s="14">
        <v>87.181604728560529</v>
      </c>
      <c r="L47" s="14">
        <f t="shared" si="12"/>
        <v>2081.0180136744734</v>
      </c>
      <c r="M47" s="16">
        <v>1.1161917978862474</v>
      </c>
      <c r="N47" s="14">
        <f t="shared" si="13"/>
        <v>2322.815238116978</v>
      </c>
      <c r="O47" s="14">
        <f t="shared" si="22"/>
        <v>-241.79722444250456</v>
      </c>
      <c r="P47" s="14">
        <v>84.057910083099273</v>
      </c>
      <c r="Q47" s="14">
        <v>14.931208342627137</v>
      </c>
      <c r="R47" s="14">
        <f t="shared" si="0"/>
        <v>12.987012987012987</v>
      </c>
      <c r="S47" s="14">
        <v>64.272331523766795</v>
      </c>
      <c r="T47" s="14">
        <f t="shared" si="14"/>
        <v>1456.7126095721312</v>
      </c>
      <c r="U47" s="14">
        <f t="shared" si="1"/>
        <v>61.027123309992362</v>
      </c>
      <c r="V47" s="14">
        <v>66.351728668596053</v>
      </c>
      <c r="W47" s="16">
        <f t="shared" si="15"/>
        <v>1.3773860789098662</v>
      </c>
      <c r="X47" s="16">
        <f t="shared" si="16"/>
        <v>0.35974829043365436</v>
      </c>
      <c r="Y47" s="16">
        <f t="shared" si="17"/>
        <v>1.5945597112660679</v>
      </c>
      <c r="Z47" s="16">
        <f t="shared" si="2"/>
        <v>0.39113626304480831</v>
      </c>
      <c r="AA47" s="16">
        <f t="shared" si="3"/>
        <v>6.2407018592221088E-3</v>
      </c>
      <c r="AB47" s="14">
        <f t="shared" si="18"/>
        <v>61.027123309992362</v>
      </c>
      <c r="AC47" s="16">
        <f t="shared" si="4"/>
        <v>0.17126558279255558</v>
      </c>
      <c r="AD47" s="16">
        <f t="shared" si="5"/>
        <v>4.0392687391820031E-2</v>
      </c>
      <c r="AE47" s="23" t="str">
        <f t="shared" si="19"/>
        <v/>
      </c>
      <c r="AF47" s="23" t="str">
        <f t="shared" si="6"/>
        <v/>
      </c>
      <c r="AG47" s="23" t="str">
        <f t="shared" si="7"/>
        <v/>
      </c>
      <c r="AH47" s="23" t="str">
        <f t="shared" si="20"/>
        <v/>
      </c>
      <c r="AI47" s="23" t="str">
        <f t="shared" si="8"/>
        <v/>
      </c>
      <c r="AJ47" s="23" t="str">
        <f t="shared" si="9"/>
        <v/>
      </c>
      <c r="AK47" s="23" t="str">
        <f t="shared" si="10"/>
        <v/>
      </c>
      <c r="AL47" s="23" t="str">
        <f t="shared" si="11"/>
        <v/>
      </c>
      <c r="AM47" s="52">
        <f t="shared" si="23"/>
        <v>0</v>
      </c>
      <c r="AN47" s="26">
        <f t="shared" si="21"/>
        <v>-241.79722444250456</v>
      </c>
    </row>
    <row r="48" spans="1:40" x14ac:dyDescent="0.2">
      <c r="A48" s="12">
        <v>44602</v>
      </c>
      <c r="B48" s="6">
        <v>10</v>
      </c>
      <c r="C48" s="6">
        <v>41</v>
      </c>
      <c r="D48" s="6">
        <v>5</v>
      </c>
      <c r="E48" s="6" t="s">
        <v>16</v>
      </c>
      <c r="F48" s="6">
        <v>6</v>
      </c>
      <c r="G48" s="6">
        <v>2</v>
      </c>
      <c r="H48" s="6" t="s">
        <v>18</v>
      </c>
      <c r="I48" s="6">
        <v>1</v>
      </c>
      <c r="J48" s="14">
        <v>26.92499050146505</v>
      </c>
      <c r="K48" s="14">
        <v>71.683508937655532</v>
      </c>
      <c r="L48" s="14">
        <f t="shared" si="12"/>
        <v>1930.0777972580602</v>
      </c>
      <c r="M48" s="16">
        <v>0.53427399243850004</v>
      </c>
      <c r="N48" s="14">
        <f t="shared" si="13"/>
        <v>1031.1903704579697</v>
      </c>
      <c r="O48" s="14">
        <f t="shared" si="22"/>
        <v>898.88742680009045</v>
      </c>
      <c r="P48" s="14">
        <v>88.294868949525437</v>
      </c>
      <c r="Q48" s="14">
        <v>9.5812709262722873</v>
      </c>
      <c r="R48" s="14">
        <f t="shared" si="0"/>
        <v>12.987012987012987</v>
      </c>
      <c r="S48" s="14">
        <v>73.402602061347295</v>
      </c>
      <c r="T48" s="14">
        <f t="shared" si="14"/>
        <v>1351.054458080642</v>
      </c>
      <c r="U48" s="14">
        <f t="shared" si="1"/>
        <v>50.178456256358864</v>
      </c>
      <c r="V48" s="14">
        <v>60.940971189115132</v>
      </c>
      <c r="W48" s="16">
        <f t="shared" si="15"/>
        <v>1.7596170854366664</v>
      </c>
      <c r="X48" s="16">
        <f t="shared" si="16"/>
        <v>0.44182083048709619</v>
      </c>
      <c r="Y48" s="16">
        <f t="shared" si="17"/>
        <v>0.76324856062642876</v>
      </c>
      <c r="Z48" s="16">
        <f t="shared" si="2"/>
        <v>0.53658467219291905</v>
      </c>
      <c r="AA48" s="16">
        <f t="shared" si="3"/>
        <v>6.7287510407418897E-3</v>
      </c>
      <c r="AB48" s="14">
        <f t="shared" si="18"/>
        <v>50.178456256358864</v>
      </c>
      <c r="AC48" s="16">
        <f t="shared" si="4"/>
        <v>0.13366074105838338</v>
      </c>
      <c r="AD48" s="16">
        <f t="shared" si="5"/>
        <v>4.5746792732894184E-2</v>
      </c>
      <c r="AE48" s="23" t="str">
        <f t="shared" si="19"/>
        <v/>
      </c>
      <c r="AF48" s="23" t="str">
        <f t="shared" si="6"/>
        <v/>
      </c>
      <c r="AG48" s="23" t="str">
        <f t="shared" si="7"/>
        <v/>
      </c>
      <c r="AH48" s="23">
        <f t="shared" si="20"/>
        <v>300</v>
      </c>
      <c r="AI48" s="23" t="str">
        <f t="shared" si="8"/>
        <v/>
      </c>
      <c r="AJ48" s="23" t="str">
        <f t="shared" si="9"/>
        <v/>
      </c>
      <c r="AK48" s="23" t="str">
        <f t="shared" si="10"/>
        <v/>
      </c>
      <c r="AL48" s="23" t="str">
        <f t="shared" si="11"/>
        <v/>
      </c>
      <c r="AM48" s="52">
        <f t="shared" si="23"/>
        <v>300</v>
      </c>
      <c r="AN48" s="26">
        <f t="shared" si="21"/>
        <v>598.88742680009045</v>
      </c>
    </row>
    <row r="49" spans="1:40" x14ac:dyDescent="0.2">
      <c r="A49" s="12">
        <v>44603</v>
      </c>
      <c r="B49" s="6">
        <v>11</v>
      </c>
      <c r="C49" s="6">
        <v>42</v>
      </c>
      <c r="D49" s="6">
        <v>6</v>
      </c>
      <c r="E49" s="6" t="s">
        <v>17</v>
      </c>
      <c r="F49" s="6">
        <v>6</v>
      </c>
      <c r="G49" s="6">
        <v>2</v>
      </c>
      <c r="H49" s="6" t="s">
        <v>18</v>
      </c>
      <c r="I49" s="6">
        <v>1</v>
      </c>
      <c r="J49" s="14">
        <v>25.376058354637586</v>
      </c>
      <c r="K49" s="14">
        <v>82.493166465621641</v>
      </c>
      <c r="L49" s="14">
        <f t="shared" si="12"/>
        <v>2093.3514060904472</v>
      </c>
      <c r="M49" s="16">
        <v>0.86271088534016838</v>
      </c>
      <c r="N49" s="14">
        <f t="shared" si="13"/>
        <v>1805.9570448763761</v>
      </c>
      <c r="O49" s="14">
        <f t="shared" si="22"/>
        <v>287.39436121407107</v>
      </c>
      <c r="P49" s="14">
        <v>54.315023291939617</v>
      </c>
      <c r="Q49" s="14">
        <v>9.8620794316462668</v>
      </c>
      <c r="R49" s="14">
        <f t="shared" si="0"/>
        <v>12.987012987012987</v>
      </c>
      <c r="S49" s="14">
        <v>56.962352895862722</v>
      </c>
      <c r="T49" s="14">
        <f t="shared" si="14"/>
        <v>1465.3459842633129</v>
      </c>
      <c r="U49" s="14">
        <f t="shared" si="1"/>
        <v>57.745216525935142</v>
      </c>
      <c r="V49" s="14">
        <v>58.543038481610765</v>
      </c>
      <c r="W49" s="16">
        <f t="shared" si="15"/>
        <v>0.94059779423539058</v>
      </c>
      <c r="X49" s="16">
        <f t="shared" si="16"/>
        <v>0.43345987862602281</v>
      </c>
      <c r="Y49" s="16">
        <f t="shared" si="17"/>
        <v>1.2324441219145266</v>
      </c>
      <c r="Z49" s="16">
        <f t="shared" si="2"/>
        <v>0.43944866573044056</v>
      </c>
      <c r="AA49" s="16">
        <f t="shared" si="3"/>
        <v>6.2039335341540162E-3</v>
      </c>
      <c r="AB49" s="14">
        <f t="shared" si="18"/>
        <v>57.745216525935142</v>
      </c>
      <c r="AC49" s="16">
        <f t="shared" si="4"/>
        <v>0.11955025918124028</v>
      </c>
      <c r="AD49" s="16">
        <f t="shared" si="5"/>
        <v>2.5946443169509989E-2</v>
      </c>
      <c r="AE49" s="23" t="str">
        <f t="shared" si="19"/>
        <v/>
      </c>
      <c r="AF49" s="23" t="str">
        <f t="shared" si="6"/>
        <v/>
      </c>
      <c r="AG49" s="23" t="str">
        <f t="shared" si="7"/>
        <v/>
      </c>
      <c r="AH49" s="23" t="str">
        <f t="shared" si="20"/>
        <v/>
      </c>
      <c r="AI49" s="23" t="str">
        <f t="shared" si="8"/>
        <v/>
      </c>
      <c r="AJ49" s="23" t="str">
        <f t="shared" si="9"/>
        <v/>
      </c>
      <c r="AK49" s="23" t="str">
        <f t="shared" si="10"/>
        <v/>
      </c>
      <c r="AL49" s="23" t="str">
        <f t="shared" si="11"/>
        <v/>
      </c>
      <c r="AM49" s="52">
        <f t="shared" si="23"/>
        <v>0</v>
      </c>
      <c r="AN49" s="26">
        <f t="shared" si="21"/>
        <v>287.39436121407107</v>
      </c>
    </row>
    <row r="50" spans="1:40" x14ac:dyDescent="0.2">
      <c r="A50" s="12">
        <v>44604</v>
      </c>
      <c r="B50" s="6">
        <v>12</v>
      </c>
      <c r="C50" s="6">
        <v>43</v>
      </c>
      <c r="D50" s="6">
        <v>7</v>
      </c>
      <c r="E50" s="6" t="s">
        <v>10</v>
      </c>
      <c r="F50" s="6">
        <v>6</v>
      </c>
      <c r="G50" s="6">
        <v>2</v>
      </c>
      <c r="H50" s="6" t="s">
        <v>18</v>
      </c>
      <c r="I50" s="6">
        <v>1</v>
      </c>
      <c r="J50" s="14">
        <v>15.601070418332139</v>
      </c>
      <c r="K50" s="14">
        <v>111.39908601963208</v>
      </c>
      <c r="L50" s="14">
        <f t="shared" si="12"/>
        <v>1737.9449855301193</v>
      </c>
      <c r="M50" s="16">
        <v>0.7619962164227656</v>
      </c>
      <c r="N50" s="14">
        <f t="shared" si="13"/>
        <v>1324.307503324869</v>
      </c>
      <c r="O50" s="14">
        <f t="shared" si="22"/>
        <v>413.63748220525031</v>
      </c>
      <c r="P50" s="14">
        <v>80.615616222197232</v>
      </c>
      <c r="Q50" s="14">
        <v>20.39657828343973</v>
      </c>
      <c r="R50" s="14">
        <f t="shared" si="0"/>
        <v>12.987012987012987</v>
      </c>
      <c r="S50" s="14">
        <v>54.691836985954296</v>
      </c>
      <c r="T50" s="14">
        <f t="shared" si="14"/>
        <v>1216.5614898710835</v>
      </c>
      <c r="U50" s="14">
        <f t="shared" si="1"/>
        <v>77.979360213742453</v>
      </c>
      <c r="V50" s="14">
        <v>72.609245247622553</v>
      </c>
      <c r="W50" s="16">
        <f t="shared" si="15"/>
        <v>1.0338070997406079</v>
      </c>
      <c r="X50" s="16">
        <f t="shared" si="16"/>
        <v>0.21486341532854544</v>
      </c>
      <c r="Y50" s="16">
        <f t="shared" si="17"/>
        <v>1.0885660234610937</v>
      </c>
      <c r="Z50" s="16">
        <f t="shared" si="2"/>
        <v>0.20006666348081595</v>
      </c>
      <c r="AA50" s="16">
        <f t="shared" si="3"/>
        <v>7.4726260584431579E-3</v>
      </c>
      <c r="AB50" s="14">
        <f t="shared" si="18"/>
        <v>77.979360213742453</v>
      </c>
      <c r="AC50" s="16">
        <f t="shared" si="4"/>
        <v>0.18309466452754561</v>
      </c>
      <c r="AD50" s="16">
        <f t="shared" si="5"/>
        <v>4.6385597296457193E-2</v>
      </c>
      <c r="AE50" s="23" t="str">
        <f t="shared" si="19"/>
        <v/>
      </c>
      <c r="AF50" s="23" t="str">
        <f t="shared" si="6"/>
        <v/>
      </c>
      <c r="AG50" s="23" t="str">
        <f t="shared" si="7"/>
        <v/>
      </c>
      <c r="AH50" s="23" t="str">
        <f t="shared" si="20"/>
        <v/>
      </c>
      <c r="AI50" s="23" t="str">
        <f t="shared" si="8"/>
        <v/>
      </c>
      <c r="AJ50" s="23">
        <f t="shared" si="9"/>
        <v>480</v>
      </c>
      <c r="AK50" s="23" t="str">
        <f t="shared" si="10"/>
        <v/>
      </c>
      <c r="AL50" s="23" t="str">
        <f t="shared" si="11"/>
        <v/>
      </c>
      <c r="AM50" s="52">
        <f t="shared" si="23"/>
        <v>480</v>
      </c>
      <c r="AN50" s="26">
        <f t="shared" si="21"/>
        <v>-66.362517794749692</v>
      </c>
    </row>
    <row r="51" spans="1:40" x14ac:dyDescent="0.2">
      <c r="A51" s="12">
        <v>44605</v>
      </c>
      <c r="B51" s="6">
        <v>13</v>
      </c>
      <c r="C51" s="6">
        <v>44</v>
      </c>
      <c r="D51" s="6">
        <v>1</v>
      </c>
      <c r="E51" s="6" t="s">
        <v>12</v>
      </c>
      <c r="F51" s="6">
        <v>7</v>
      </c>
      <c r="G51" s="6">
        <v>2</v>
      </c>
      <c r="H51" s="6" t="s">
        <v>18</v>
      </c>
      <c r="I51" s="6">
        <v>1</v>
      </c>
      <c r="J51" s="14">
        <v>10.191014296968246</v>
      </c>
      <c r="K51" s="14">
        <v>61.790238444917435</v>
      </c>
      <c r="L51" s="14">
        <f t="shared" si="12"/>
        <v>629.70520340523058</v>
      </c>
      <c r="M51" s="16">
        <v>0.3203885996254196</v>
      </c>
      <c r="N51" s="14">
        <f t="shared" si="13"/>
        <v>201.75036829584184</v>
      </c>
      <c r="O51" s="14">
        <f t="shared" si="22"/>
        <v>427.95483510938874</v>
      </c>
      <c r="P51" s="14">
        <v>40.442440487563928</v>
      </c>
      <c r="Q51" s="14">
        <v>12.276891532730437</v>
      </c>
      <c r="R51" s="14">
        <f t="shared" si="0"/>
        <v>28.571428571428573</v>
      </c>
      <c r="S51" s="14">
        <v>28.125778551891063</v>
      </c>
      <c r="T51" s="14">
        <f t="shared" si="14"/>
        <v>440.79364238366139</v>
      </c>
      <c r="U51" s="14">
        <f t="shared" si="1"/>
        <v>43.253166911442207</v>
      </c>
      <c r="V51" s="14">
        <v>36.212203046908968</v>
      </c>
      <c r="W51" s="16">
        <f t="shared" si="15"/>
        <v>0.93501686409152329</v>
      </c>
      <c r="X51" s="16">
        <f t="shared" si="16"/>
        <v>0.28142486342979178</v>
      </c>
      <c r="Y51" s="16">
        <f t="shared" si="17"/>
        <v>0.45769799946488515</v>
      </c>
      <c r="Z51" s="16">
        <f t="shared" si="2"/>
        <v>0.23561313597761815</v>
      </c>
      <c r="AA51" s="16">
        <f t="shared" si="3"/>
        <v>4.5372705222894855E-2</v>
      </c>
      <c r="AB51" s="14">
        <f t="shared" si="18"/>
        <v>43.253166911442207</v>
      </c>
      <c r="AC51" s="16">
        <f t="shared" si="4"/>
        <v>0.19868658612920881</v>
      </c>
      <c r="AD51" s="16">
        <f t="shared" si="5"/>
        <v>6.4224402575784711E-2</v>
      </c>
      <c r="AE51" s="23" t="str">
        <f t="shared" si="19"/>
        <v/>
      </c>
      <c r="AF51" s="23">
        <f t="shared" si="6"/>
        <v>1000</v>
      </c>
      <c r="AG51" s="23" t="str">
        <f t="shared" si="7"/>
        <v/>
      </c>
      <c r="AH51" s="23" t="str">
        <f t="shared" si="20"/>
        <v/>
      </c>
      <c r="AI51" s="23" t="str">
        <f t="shared" si="8"/>
        <v/>
      </c>
      <c r="AJ51" s="23" t="str">
        <f t="shared" si="9"/>
        <v/>
      </c>
      <c r="AK51" s="23" t="str">
        <f t="shared" si="10"/>
        <v/>
      </c>
      <c r="AL51" s="23" t="str">
        <f t="shared" si="11"/>
        <v/>
      </c>
      <c r="AM51" s="52">
        <f t="shared" si="23"/>
        <v>1000</v>
      </c>
      <c r="AN51" s="26">
        <f t="shared" si="21"/>
        <v>-572.0451648906112</v>
      </c>
    </row>
    <row r="52" spans="1:40" x14ac:dyDescent="0.2">
      <c r="A52" s="12">
        <v>44606</v>
      </c>
      <c r="B52" s="6">
        <v>14</v>
      </c>
      <c r="C52" s="6">
        <v>45</v>
      </c>
      <c r="D52" s="6">
        <v>2</v>
      </c>
      <c r="E52" s="6" t="s">
        <v>13</v>
      </c>
      <c r="F52" s="6">
        <v>7</v>
      </c>
      <c r="G52" s="6">
        <v>2</v>
      </c>
      <c r="H52" s="6" t="s">
        <v>18</v>
      </c>
      <c r="I52" s="6">
        <v>1</v>
      </c>
      <c r="J52" s="14">
        <v>31.74947172255261</v>
      </c>
      <c r="K52" s="14">
        <v>24.876840533027369</v>
      </c>
      <c r="L52" s="14">
        <f t="shared" si="12"/>
        <v>789.82654504980303</v>
      </c>
      <c r="M52" s="16">
        <v>0.85066458909454656</v>
      </c>
      <c r="N52" s="14">
        <f t="shared" si="13"/>
        <v>671.87747340075612</v>
      </c>
      <c r="O52" s="14">
        <f t="shared" si="22"/>
        <v>117.94907164904691</v>
      </c>
      <c r="P52" s="14">
        <v>75.002514952569967</v>
      </c>
      <c r="Q52" s="14">
        <v>36.366235070162411</v>
      </c>
      <c r="R52" s="14">
        <f t="shared" si="0"/>
        <v>12.987012987012987</v>
      </c>
      <c r="S52" s="14">
        <v>54.981916358113565</v>
      </c>
      <c r="T52" s="14">
        <f t="shared" si="14"/>
        <v>552.87858153486206</v>
      </c>
      <c r="U52" s="14">
        <f t="shared" si="1"/>
        <v>17.413788373119157</v>
      </c>
      <c r="V52" s="14">
        <v>58.847424012160054</v>
      </c>
      <c r="W52" s="16">
        <f t="shared" si="15"/>
        <v>4.307076286073845</v>
      </c>
      <c r="X52" s="16">
        <f t="shared" si="16"/>
        <v>0.53952186107572009</v>
      </c>
      <c r="Y52" s="16">
        <f t="shared" si="17"/>
        <v>1.2152351272779238</v>
      </c>
      <c r="Z52" s="16">
        <f t="shared" si="2"/>
        <v>1.8232374852770561</v>
      </c>
      <c r="AA52" s="16">
        <f t="shared" si="3"/>
        <v>1.6442867194586479E-2</v>
      </c>
      <c r="AB52" s="14">
        <f t="shared" si="18"/>
        <v>17.413788373119157</v>
      </c>
      <c r="AC52" s="16">
        <f t="shared" si="4"/>
        <v>1.461851034574962</v>
      </c>
      <c r="AD52" s="16">
        <f t="shared" si="5"/>
        <v>9.4960742232132286E-2</v>
      </c>
      <c r="AE52" s="23" t="str">
        <f t="shared" si="19"/>
        <v/>
      </c>
      <c r="AF52" s="23" t="str">
        <f t="shared" si="6"/>
        <v/>
      </c>
      <c r="AG52" s="23" t="str">
        <f t="shared" si="7"/>
        <v/>
      </c>
      <c r="AH52" s="23" t="str">
        <f t="shared" si="20"/>
        <v/>
      </c>
      <c r="AI52" s="23" t="str">
        <f t="shared" si="8"/>
        <v/>
      </c>
      <c r="AJ52" s="23" t="str">
        <f t="shared" si="9"/>
        <v/>
      </c>
      <c r="AK52" s="23" t="str">
        <f t="shared" si="10"/>
        <v/>
      </c>
      <c r="AL52" s="23" t="str">
        <f t="shared" si="11"/>
        <v/>
      </c>
      <c r="AM52" s="52">
        <f t="shared" si="23"/>
        <v>0</v>
      </c>
      <c r="AN52" s="26">
        <f t="shared" si="21"/>
        <v>117.94907164904691</v>
      </c>
    </row>
    <row r="53" spans="1:40" x14ac:dyDescent="0.2">
      <c r="A53" s="12">
        <v>44607</v>
      </c>
      <c r="B53" s="6">
        <v>15</v>
      </c>
      <c r="C53" s="6">
        <v>46</v>
      </c>
      <c r="D53" s="6">
        <v>3</v>
      </c>
      <c r="E53" s="6" t="s">
        <v>14</v>
      </c>
      <c r="F53" s="6">
        <v>7</v>
      </c>
      <c r="G53" s="6">
        <v>2</v>
      </c>
      <c r="H53" s="6" t="s">
        <v>18</v>
      </c>
      <c r="I53" s="6">
        <v>1</v>
      </c>
      <c r="J53" s="14">
        <v>5.687225629645499</v>
      </c>
      <c r="K53" s="14">
        <v>120.41249592590228</v>
      </c>
      <c r="L53" s="14">
        <f t="shared" si="12"/>
        <v>684.81303295937562</v>
      </c>
      <c r="M53" s="16">
        <v>0.87579011689882091</v>
      </c>
      <c r="N53" s="14">
        <f t="shared" si="13"/>
        <v>599.75248618932767</v>
      </c>
      <c r="O53" s="14">
        <f t="shared" si="22"/>
        <v>85.060546770047949</v>
      </c>
      <c r="P53" s="14">
        <v>55.080737420446603</v>
      </c>
      <c r="Q53" s="14">
        <v>20.47685073813803</v>
      </c>
      <c r="R53" s="14">
        <f t="shared" si="0"/>
        <v>12.987012987012987</v>
      </c>
      <c r="S53" s="14">
        <v>65.971084907076332</v>
      </c>
      <c r="T53" s="14">
        <f t="shared" si="14"/>
        <v>479.36912307156291</v>
      </c>
      <c r="U53" s="14">
        <f t="shared" si="1"/>
        <v>84.288747148131577</v>
      </c>
      <c r="V53" s="14">
        <v>78.346154036741837</v>
      </c>
      <c r="W53" s="16">
        <f t="shared" si="15"/>
        <v>0.65347676035148627</v>
      </c>
      <c r="X53" s="16">
        <f t="shared" si="16"/>
        <v>7.2590999514518251E-2</v>
      </c>
      <c r="Y53" s="16">
        <f t="shared" si="17"/>
        <v>1.251128738426887</v>
      </c>
      <c r="Z53" s="16">
        <f t="shared" si="2"/>
        <v>6.7473130424522715E-2</v>
      </c>
      <c r="AA53" s="16">
        <f t="shared" si="3"/>
        <v>1.896431925498036E-2</v>
      </c>
      <c r="AB53" s="14">
        <f t="shared" si="18"/>
        <v>84.288747148131577</v>
      </c>
      <c r="AC53" s="16">
        <f t="shared" si="4"/>
        <v>0.17005586156721461</v>
      </c>
      <c r="AD53" s="16">
        <f t="shared" si="5"/>
        <v>8.0431789071564147E-2</v>
      </c>
      <c r="AE53" s="23" t="str">
        <f t="shared" si="19"/>
        <v/>
      </c>
      <c r="AF53" s="23" t="str">
        <f t="shared" si="6"/>
        <v/>
      </c>
      <c r="AG53" s="23">
        <f t="shared" si="7"/>
        <v>300</v>
      </c>
      <c r="AH53" s="23" t="str">
        <f t="shared" si="20"/>
        <v/>
      </c>
      <c r="AI53" s="23" t="str">
        <f t="shared" si="8"/>
        <v/>
      </c>
      <c r="AJ53" s="23" t="str">
        <f t="shared" si="9"/>
        <v/>
      </c>
      <c r="AK53" s="23" t="str">
        <f t="shared" si="10"/>
        <v/>
      </c>
      <c r="AL53" s="23" t="str">
        <f t="shared" si="11"/>
        <v/>
      </c>
      <c r="AM53" s="52">
        <f t="shared" si="23"/>
        <v>300</v>
      </c>
      <c r="AN53" s="26">
        <f t="shared" si="21"/>
        <v>-214.93945322995205</v>
      </c>
    </row>
    <row r="54" spans="1:40" x14ac:dyDescent="0.2">
      <c r="A54" s="12">
        <v>44608</v>
      </c>
      <c r="B54" s="6">
        <v>16</v>
      </c>
      <c r="C54" s="6">
        <v>47</v>
      </c>
      <c r="D54" s="6">
        <v>4</v>
      </c>
      <c r="E54" s="6" t="s">
        <v>15</v>
      </c>
      <c r="F54" s="6">
        <v>7</v>
      </c>
      <c r="G54" s="6">
        <v>2</v>
      </c>
      <c r="H54" s="6" t="s">
        <v>18</v>
      </c>
      <c r="I54" s="6">
        <v>1</v>
      </c>
      <c r="J54" s="14">
        <v>24.311549812075629</v>
      </c>
      <c r="K54" s="14">
        <v>78.697819913453827</v>
      </c>
      <c r="L54" s="14">
        <f t="shared" si="12"/>
        <v>1913.2659689276902</v>
      </c>
      <c r="M54" s="16">
        <v>0.80865566573052994</v>
      </c>
      <c r="N54" s="14">
        <f t="shared" si="13"/>
        <v>1547.1733658227888</v>
      </c>
      <c r="O54" s="14">
        <f t="shared" si="22"/>
        <v>366.0926031049014</v>
      </c>
      <c r="P54" s="14">
        <v>66.33963320987904</v>
      </c>
      <c r="Q54" s="14">
        <v>27.931312649398265</v>
      </c>
      <c r="R54" s="14">
        <f t="shared" si="0"/>
        <v>12.987012987012987</v>
      </c>
      <c r="S54" s="14">
        <v>59.594932099993457</v>
      </c>
      <c r="T54" s="14">
        <f t="shared" si="14"/>
        <v>1339.2861782493831</v>
      </c>
      <c r="U54" s="14">
        <f t="shared" si="1"/>
        <v>55.088473939417675</v>
      </c>
      <c r="V54" s="14">
        <v>82.907412576192328</v>
      </c>
      <c r="W54" s="16">
        <f t="shared" si="15"/>
        <v>1.2042379914686796</v>
      </c>
      <c r="X54" s="16">
        <f t="shared" si="16"/>
        <v>0.293237348225446</v>
      </c>
      <c r="Y54" s="16">
        <f t="shared" si="17"/>
        <v>1.1552223796150429</v>
      </c>
      <c r="Z54" s="16">
        <f t="shared" si="2"/>
        <v>0.44131826630034654</v>
      </c>
      <c r="AA54" s="16">
        <f t="shared" si="3"/>
        <v>6.7878764363805064E-3</v>
      </c>
      <c r="AB54" s="14">
        <f t="shared" si="18"/>
        <v>55.088473939417675</v>
      </c>
      <c r="AC54" s="16">
        <f t="shared" si="4"/>
        <v>0.35491850574914402</v>
      </c>
      <c r="AD54" s="16">
        <f t="shared" si="5"/>
        <v>3.4673502945886704E-2</v>
      </c>
      <c r="AE54" s="23" t="str">
        <f t="shared" si="19"/>
        <v/>
      </c>
      <c r="AF54" s="23" t="str">
        <f t="shared" si="6"/>
        <v/>
      </c>
      <c r="AG54" s="23" t="str">
        <f t="shared" si="7"/>
        <v/>
      </c>
      <c r="AH54" s="23" t="str">
        <f t="shared" si="20"/>
        <v/>
      </c>
      <c r="AI54" s="23" t="str">
        <f t="shared" si="8"/>
        <v/>
      </c>
      <c r="AJ54" s="23" t="str">
        <f t="shared" si="9"/>
        <v/>
      </c>
      <c r="AK54" s="23" t="str">
        <f t="shared" si="10"/>
        <v/>
      </c>
      <c r="AL54" s="23" t="str">
        <f t="shared" si="11"/>
        <v/>
      </c>
      <c r="AM54" s="52">
        <f t="shared" si="23"/>
        <v>0</v>
      </c>
      <c r="AN54" s="26">
        <f t="shared" si="21"/>
        <v>366.0926031049014</v>
      </c>
    </row>
    <row r="55" spans="1:40" x14ac:dyDescent="0.2">
      <c r="A55" s="12">
        <v>44609</v>
      </c>
      <c r="B55" s="6">
        <v>17</v>
      </c>
      <c r="C55" s="6">
        <v>48</v>
      </c>
      <c r="D55" s="6">
        <v>5</v>
      </c>
      <c r="E55" s="6" t="s">
        <v>16</v>
      </c>
      <c r="F55" s="6">
        <v>7</v>
      </c>
      <c r="G55" s="6">
        <v>2</v>
      </c>
      <c r="H55" s="6" t="s">
        <v>18</v>
      </c>
      <c r="I55" s="6">
        <v>1</v>
      </c>
      <c r="J55" s="14">
        <v>20.867586131522664</v>
      </c>
      <c r="K55" s="14">
        <v>175.65860274351772</v>
      </c>
      <c r="L55" s="14">
        <f t="shared" si="12"/>
        <v>3665.5710224932795</v>
      </c>
      <c r="M55" s="16">
        <v>0.93996462669575165</v>
      </c>
      <c r="N55" s="14">
        <f t="shared" si="13"/>
        <v>3445.5070977846603</v>
      </c>
      <c r="O55" s="14">
        <f t="shared" si="22"/>
        <v>220.0639247086192</v>
      </c>
      <c r="P55" s="14">
        <v>80.661208207635482</v>
      </c>
      <c r="Q55" s="14">
        <v>16.356815909734092</v>
      </c>
      <c r="R55" s="14">
        <f t="shared" si="0"/>
        <v>12.987012987012987</v>
      </c>
      <c r="S55" s="14">
        <v>63.328390589958019</v>
      </c>
      <c r="T55" s="14">
        <f t="shared" si="14"/>
        <v>2565.8997157452955</v>
      </c>
      <c r="U55" s="14">
        <f t="shared" si="1"/>
        <v>122.9610219204624</v>
      </c>
      <c r="V55" s="14">
        <v>67.154940832872967</v>
      </c>
      <c r="W55" s="16">
        <f t="shared" si="15"/>
        <v>0.65599006049096886</v>
      </c>
      <c r="X55" s="16">
        <f t="shared" si="16"/>
        <v>0.31073791254548744</v>
      </c>
      <c r="Y55" s="16">
        <f t="shared" si="17"/>
        <v>1.3428066095653597</v>
      </c>
      <c r="Z55" s="16">
        <f t="shared" si="2"/>
        <v>0.16970895171171321</v>
      </c>
      <c r="AA55" s="16">
        <f t="shared" si="3"/>
        <v>3.5429713153339393E-3</v>
      </c>
      <c r="AB55" s="14">
        <f t="shared" si="18"/>
        <v>122.9610219204624</v>
      </c>
      <c r="AC55" s="16">
        <f t="shared" si="4"/>
        <v>9.3117078550470841E-2</v>
      </c>
      <c r="AD55" s="16">
        <f t="shared" si="5"/>
        <v>2.2005086714366989E-2</v>
      </c>
      <c r="AE55" s="23" t="str">
        <f t="shared" si="19"/>
        <v/>
      </c>
      <c r="AF55" s="23" t="str">
        <f t="shared" si="6"/>
        <v/>
      </c>
      <c r="AG55" s="23" t="str">
        <f t="shared" si="7"/>
        <v/>
      </c>
      <c r="AH55" s="23" t="str">
        <f t="shared" si="20"/>
        <v/>
      </c>
      <c r="AI55" s="23" t="str">
        <f t="shared" si="8"/>
        <v/>
      </c>
      <c r="AJ55" s="23" t="str">
        <f t="shared" si="9"/>
        <v/>
      </c>
      <c r="AK55" s="23" t="str">
        <f t="shared" si="10"/>
        <v/>
      </c>
      <c r="AL55" s="23" t="str">
        <f t="shared" si="11"/>
        <v/>
      </c>
      <c r="AM55" s="52">
        <f t="shared" si="23"/>
        <v>0</v>
      </c>
      <c r="AN55" s="26">
        <f t="shared" si="21"/>
        <v>220.0639247086192</v>
      </c>
    </row>
    <row r="56" spans="1:40" x14ac:dyDescent="0.2">
      <c r="A56" s="12">
        <v>44610</v>
      </c>
      <c r="B56" s="6">
        <v>18</v>
      </c>
      <c r="C56" s="6">
        <v>49</v>
      </c>
      <c r="D56" s="6">
        <v>6</v>
      </c>
      <c r="E56" s="6" t="s">
        <v>17</v>
      </c>
      <c r="F56" s="6">
        <v>7</v>
      </c>
      <c r="G56" s="6">
        <v>2</v>
      </c>
      <c r="H56" s="6" t="s">
        <v>18</v>
      </c>
      <c r="I56" s="6">
        <v>1</v>
      </c>
      <c r="J56" s="14">
        <v>34.426599178912532</v>
      </c>
      <c r="K56" s="14">
        <v>130.31981145329726</v>
      </c>
      <c r="L56" s="14">
        <f t="shared" si="12"/>
        <v>4486.4679139741193</v>
      </c>
      <c r="M56" s="16">
        <v>1.0623816900526992</v>
      </c>
      <c r="N56" s="14">
        <f t="shared" si="13"/>
        <v>4766.3413648150326</v>
      </c>
      <c r="O56" s="14">
        <f t="shared" si="22"/>
        <v>-279.87345084091339</v>
      </c>
      <c r="P56" s="14">
        <v>100.42608330182415</v>
      </c>
      <c r="Q56" s="14">
        <v>24.910147795376329</v>
      </c>
      <c r="R56" s="14">
        <f t="shared" si="0"/>
        <v>12.987012987012987</v>
      </c>
      <c r="S56" s="14">
        <v>63.607449135023401</v>
      </c>
      <c r="T56" s="14">
        <f t="shared" si="14"/>
        <v>3140.5275397818832</v>
      </c>
      <c r="U56" s="14">
        <f t="shared" si="1"/>
        <v>91.223868017308064</v>
      </c>
      <c r="V56" s="14">
        <v>54.112418031366282</v>
      </c>
      <c r="W56" s="16">
        <f t="shared" si="15"/>
        <v>1.1008750832925669</v>
      </c>
      <c r="X56" s="16">
        <f t="shared" si="16"/>
        <v>0.63620515274252099</v>
      </c>
      <c r="Y56" s="16">
        <f t="shared" si="17"/>
        <v>1.5176881286467132</v>
      </c>
      <c r="Z56" s="16">
        <f t="shared" si="2"/>
        <v>0.37738587419227515</v>
      </c>
      <c r="AA56" s="16">
        <f t="shared" si="3"/>
        <v>2.894707648874964E-3</v>
      </c>
      <c r="AB56" s="14">
        <f t="shared" si="18"/>
        <v>91.223868017308064</v>
      </c>
      <c r="AC56" s="16">
        <f t="shared" si="4"/>
        <v>0.1911462848018575</v>
      </c>
      <c r="AD56" s="16">
        <f t="shared" si="5"/>
        <v>2.238421966398654E-2</v>
      </c>
      <c r="AE56" s="23" t="str">
        <f t="shared" si="19"/>
        <v/>
      </c>
      <c r="AF56" s="23" t="str">
        <f t="shared" si="6"/>
        <v/>
      </c>
      <c r="AG56" s="23" t="str">
        <f t="shared" si="7"/>
        <v/>
      </c>
      <c r="AH56" s="23" t="str">
        <f t="shared" si="20"/>
        <v/>
      </c>
      <c r="AI56" s="23" t="str">
        <f t="shared" si="8"/>
        <v/>
      </c>
      <c r="AJ56" s="23" t="str">
        <f t="shared" si="9"/>
        <v/>
      </c>
      <c r="AK56" s="23" t="str">
        <f t="shared" si="10"/>
        <v/>
      </c>
      <c r="AL56" s="23" t="str">
        <f t="shared" si="11"/>
        <v/>
      </c>
      <c r="AM56" s="52">
        <f t="shared" si="23"/>
        <v>0</v>
      </c>
      <c r="AN56" s="26">
        <f t="shared" si="21"/>
        <v>-279.87345084091339</v>
      </c>
    </row>
    <row r="57" spans="1:40" x14ac:dyDescent="0.2">
      <c r="A57" s="12">
        <v>44611</v>
      </c>
      <c r="B57" s="6">
        <v>19</v>
      </c>
      <c r="C57" s="6">
        <v>50</v>
      </c>
      <c r="D57" s="6">
        <v>7</v>
      </c>
      <c r="E57" s="6" t="s">
        <v>10</v>
      </c>
      <c r="F57" s="6">
        <v>7</v>
      </c>
      <c r="G57" s="6">
        <v>2</v>
      </c>
      <c r="H57" s="6" t="s">
        <v>18</v>
      </c>
      <c r="I57" s="6">
        <v>1</v>
      </c>
      <c r="J57" s="14">
        <v>22.294276942173045</v>
      </c>
      <c r="K57" s="14">
        <v>68.599810117005589</v>
      </c>
      <c r="L57" s="14">
        <f t="shared" si="12"/>
        <v>1529.3831649290069</v>
      </c>
      <c r="M57" s="16">
        <v>0.53069874167376929</v>
      </c>
      <c r="N57" s="14">
        <f t="shared" si="13"/>
        <v>811.64172116487066</v>
      </c>
      <c r="O57" s="14">
        <f t="shared" si="22"/>
        <v>717.74144376413619</v>
      </c>
      <c r="P57" s="14">
        <v>133.59858316575045</v>
      </c>
      <c r="Q57" s="14">
        <v>17.217959502711778</v>
      </c>
      <c r="R57" s="14">
        <f t="shared" si="0"/>
        <v>12.987012987012987</v>
      </c>
      <c r="S57" s="14">
        <v>71.697243967645193</v>
      </c>
      <c r="T57" s="14">
        <f t="shared" si="14"/>
        <v>1070.5682154503047</v>
      </c>
      <c r="U57" s="14">
        <f t="shared" si="1"/>
        <v>48.019867081903904</v>
      </c>
      <c r="V57" s="14">
        <v>56.424003956122007</v>
      </c>
      <c r="W57" s="16">
        <f t="shared" si="15"/>
        <v>2.7821522899653455</v>
      </c>
      <c r="X57" s="16">
        <f t="shared" si="16"/>
        <v>0.39512043419517229</v>
      </c>
      <c r="Y57" s="16">
        <f t="shared" si="17"/>
        <v>0.75814105953395616</v>
      </c>
      <c r="Z57" s="16">
        <f t="shared" si="2"/>
        <v>0.46427194194743104</v>
      </c>
      <c r="AA57" s="16">
        <f t="shared" si="3"/>
        <v>8.4916672844478694E-3</v>
      </c>
      <c r="AB57" s="14">
        <f t="shared" si="18"/>
        <v>48.019867081903904</v>
      </c>
      <c r="AC57" s="16">
        <f t="shared" si="4"/>
        <v>0.25099135804230926</v>
      </c>
      <c r="AD57" s="16">
        <f t="shared" si="5"/>
        <v>8.7354553279623701E-2</v>
      </c>
      <c r="AE57" s="23" t="str">
        <f t="shared" si="19"/>
        <v/>
      </c>
      <c r="AF57" s="23" t="str">
        <f t="shared" si="6"/>
        <v/>
      </c>
      <c r="AG57" s="23" t="str">
        <f t="shared" si="7"/>
        <v/>
      </c>
      <c r="AH57" s="23" t="str">
        <f t="shared" si="20"/>
        <v/>
      </c>
      <c r="AI57" s="23" t="str">
        <f t="shared" si="8"/>
        <v/>
      </c>
      <c r="AJ57" s="23" t="str">
        <f t="shared" si="9"/>
        <v/>
      </c>
      <c r="AK57" s="23" t="str">
        <f t="shared" si="10"/>
        <v/>
      </c>
      <c r="AL57" s="23" t="str">
        <f t="shared" si="11"/>
        <v/>
      </c>
      <c r="AM57" s="52">
        <f t="shared" si="23"/>
        <v>0</v>
      </c>
      <c r="AN57" s="26">
        <f t="shared" si="21"/>
        <v>717.74144376413619</v>
      </c>
    </row>
    <row r="58" spans="1:40" x14ac:dyDescent="0.2">
      <c r="A58" s="12">
        <v>44612</v>
      </c>
      <c r="B58" s="6">
        <v>20</v>
      </c>
      <c r="C58" s="6">
        <v>51</v>
      </c>
      <c r="D58" s="6">
        <v>1</v>
      </c>
      <c r="E58" s="6" t="s">
        <v>12</v>
      </c>
      <c r="F58" s="6">
        <v>8</v>
      </c>
      <c r="G58" s="6">
        <v>2</v>
      </c>
      <c r="H58" s="6" t="s">
        <v>18</v>
      </c>
      <c r="I58" s="6">
        <v>1</v>
      </c>
      <c r="J58" s="14">
        <v>6.101097120120718</v>
      </c>
      <c r="K58" s="14">
        <v>66.492259370938655</v>
      </c>
      <c r="L58" s="14">
        <f t="shared" si="12"/>
        <v>405.67573215835364</v>
      </c>
      <c r="M58" s="16">
        <v>0.31006452911247523</v>
      </c>
      <c r="N58" s="14">
        <f t="shared" si="13"/>
        <v>125.78565486403855</v>
      </c>
      <c r="O58" s="14">
        <f t="shared" si="22"/>
        <v>279.89007729431512</v>
      </c>
      <c r="P58" s="14">
        <v>47.283785299965288</v>
      </c>
      <c r="Q58" s="14">
        <v>14.032116735204657</v>
      </c>
      <c r="R58" s="14">
        <f t="shared" si="0"/>
        <v>28.571428571428573</v>
      </c>
      <c r="S58" s="14">
        <v>28.537781957225864</v>
      </c>
      <c r="T58" s="14">
        <f t="shared" si="14"/>
        <v>283.97301251084752</v>
      </c>
      <c r="U58" s="14">
        <f t="shared" si="1"/>
        <v>46.544581559657054</v>
      </c>
      <c r="V58" s="14">
        <v>39.259800991074478</v>
      </c>
      <c r="W58" s="16">
        <f t="shared" si="15"/>
        <v>1.0158816282269243</v>
      </c>
      <c r="X58" s="16">
        <f t="shared" si="16"/>
        <v>0.15540315962140949</v>
      </c>
      <c r="Y58" s="16">
        <f t="shared" si="17"/>
        <v>0.44294932730353609</v>
      </c>
      <c r="Z58" s="16">
        <f t="shared" si="2"/>
        <v>0.13108071693159018</v>
      </c>
      <c r="AA58" s="16">
        <f t="shared" si="3"/>
        <v>7.04292278451496E-2</v>
      </c>
      <c r="AB58" s="14">
        <f t="shared" si="18"/>
        <v>46.544581559657054</v>
      </c>
      <c r="AC58" s="16">
        <f t="shared" si="4"/>
        <v>0.21103383864464656</v>
      </c>
      <c r="AD58" s="16">
        <f t="shared" si="5"/>
        <v>0.11655561708953367</v>
      </c>
      <c r="AE58" s="23" t="str">
        <f t="shared" si="19"/>
        <v/>
      </c>
      <c r="AF58" s="23">
        <f t="shared" si="6"/>
        <v>1000</v>
      </c>
      <c r="AG58" s="23" t="str">
        <f t="shared" si="7"/>
        <v/>
      </c>
      <c r="AH58" s="23" t="str">
        <f t="shared" si="20"/>
        <v/>
      </c>
      <c r="AI58" s="23">
        <f t="shared" si="8"/>
        <v>100</v>
      </c>
      <c r="AJ58" s="23" t="str">
        <f t="shared" si="9"/>
        <v/>
      </c>
      <c r="AK58" s="23" t="str">
        <f t="shared" si="10"/>
        <v/>
      </c>
      <c r="AL58" s="23" t="str">
        <f t="shared" si="11"/>
        <v/>
      </c>
      <c r="AM58" s="52">
        <f t="shared" si="23"/>
        <v>1100</v>
      </c>
      <c r="AN58" s="26">
        <f t="shared" si="21"/>
        <v>-820.10992270568488</v>
      </c>
    </row>
    <row r="59" spans="1:40" x14ac:dyDescent="0.2">
      <c r="A59" s="12">
        <v>44613</v>
      </c>
      <c r="B59" s="6">
        <v>21</v>
      </c>
      <c r="C59" s="6">
        <v>52</v>
      </c>
      <c r="D59" s="6">
        <v>2</v>
      </c>
      <c r="E59" s="6" t="s">
        <v>13</v>
      </c>
      <c r="F59" s="6">
        <v>8</v>
      </c>
      <c r="G59" s="6">
        <v>2</v>
      </c>
      <c r="H59" s="6" t="s">
        <v>18</v>
      </c>
      <c r="I59" s="6">
        <v>1</v>
      </c>
      <c r="J59" s="14">
        <v>19.783364875251358</v>
      </c>
      <c r="K59" s="14">
        <v>128.39981995129742</v>
      </c>
      <c r="L59" s="14">
        <f t="shared" si="12"/>
        <v>2540.1804880130958</v>
      </c>
      <c r="M59" s="16">
        <v>0.85415544704104085</v>
      </c>
      <c r="N59" s="14">
        <f t="shared" si="13"/>
        <v>2169.7090003037551</v>
      </c>
      <c r="O59" s="14">
        <f t="shared" si="22"/>
        <v>370.47148770934064</v>
      </c>
      <c r="P59" s="14">
        <v>88.914682495303367</v>
      </c>
      <c r="Q59" s="14">
        <v>22.528124315271455</v>
      </c>
      <c r="R59" s="14">
        <f t="shared" si="0"/>
        <v>12.987012987012987</v>
      </c>
      <c r="S59" s="14">
        <v>78.438442368172261</v>
      </c>
      <c r="T59" s="14">
        <f t="shared" si="14"/>
        <v>1778.126341609167</v>
      </c>
      <c r="U59" s="14">
        <f t="shared" si="1"/>
        <v>89.879873965908189</v>
      </c>
      <c r="V59" s="14">
        <v>73.831431350497496</v>
      </c>
      <c r="W59" s="16">
        <f t="shared" si="15"/>
        <v>0.98926131704444842</v>
      </c>
      <c r="X59" s="16">
        <f t="shared" si="16"/>
        <v>0.26795315373657663</v>
      </c>
      <c r="Y59" s="16">
        <f t="shared" si="17"/>
        <v>1.220222067201487</v>
      </c>
      <c r="Z59" s="16">
        <f t="shared" si="2"/>
        <v>0.22010895211930617</v>
      </c>
      <c r="AA59" s="16">
        <f t="shared" si="3"/>
        <v>5.1126339440435986E-3</v>
      </c>
      <c r="AB59" s="14">
        <f t="shared" si="18"/>
        <v>89.879873965908189</v>
      </c>
      <c r="AC59" s="16">
        <f t="shared" si="4"/>
        <v>0.175452927611709</v>
      </c>
      <c r="AD59" s="16">
        <f t="shared" si="5"/>
        <v>3.5003293236399731E-2</v>
      </c>
      <c r="AE59" s="23" t="str">
        <f t="shared" si="19"/>
        <v/>
      </c>
      <c r="AF59" s="23" t="str">
        <f t="shared" si="6"/>
        <v/>
      </c>
      <c r="AG59" s="23" t="str">
        <f t="shared" si="7"/>
        <v/>
      </c>
      <c r="AH59" s="23" t="str">
        <f t="shared" si="20"/>
        <v/>
      </c>
      <c r="AI59" s="23" t="str">
        <f t="shared" si="8"/>
        <v/>
      </c>
      <c r="AJ59" s="23" t="str">
        <f t="shared" si="9"/>
        <v/>
      </c>
      <c r="AK59" s="23" t="str">
        <f t="shared" si="10"/>
        <v/>
      </c>
      <c r="AL59" s="23" t="str">
        <f t="shared" si="11"/>
        <v/>
      </c>
      <c r="AM59" s="52">
        <f t="shared" si="23"/>
        <v>0</v>
      </c>
      <c r="AN59" s="26">
        <f t="shared" si="21"/>
        <v>370.47148770934064</v>
      </c>
    </row>
    <row r="60" spans="1:40" x14ac:dyDescent="0.2">
      <c r="A60" s="12">
        <v>44614</v>
      </c>
      <c r="B60" s="6">
        <v>22</v>
      </c>
      <c r="C60" s="6">
        <v>53</v>
      </c>
      <c r="D60" s="6">
        <v>3</v>
      </c>
      <c r="E60" s="6" t="s">
        <v>14</v>
      </c>
      <c r="F60" s="6">
        <v>8</v>
      </c>
      <c r="G60" s="6">
        <v>2</v>
      </c>
      <c r="H60" s="6" t="s">
        <v>18</v>
      </c>
      <c r="I60" s="6">
        <v>1</v>
      </c>
      <c r="J60" s="14">
        <v>10.19862401651427</v>
      </c>
      <c r="K60" s="14">
        <v>129.68247172216272</v>
      </c>
      <c r="L60" s="14">
        <f t="shared" si="12"/>
        <v>1322.5827706265814</v>
      </c>
      <c r="M60" s="16">
        <v>0.99077254520483016</v>
      </c>
      <c r="N60" s="14">
        <f t="shared" si="13"/>
        <v>1310.3786978977541</v>
      </c>
      <c r="O60" s="14">
        <f t="shared" si="22"/>
        <v>12.204072728827214</v>
      </c>
      <c r="P60" s="14">
        <v>75.807147186193916</v>
      </c>
      <c r="Q60" s="14">
        <v>3.8821679767802539</v>
      </c>
      <c r="R60" s="14">
        <f t="shared" si="0"/>
        <v>12.987012987012987</v>
      </c>
      <c r="S60" s="14">
        <v>91.957371166519764</v>
      </c>
      <c r="T60" s="14">
        <f t="shared" si="14"/>
        <v>925.80793943860692</v>
      </c>
      <c r="U60" s="14">
        <f t="shared" si="1"/>
        <v>90.777730205513905</v>
      </c>
      <c r="V60" s="14">
        <v>78.936923354841383</v>
      </c>
      <c r="W60" s="16">
        <f t="shared" si="15"/>
        <v>0.8350852903522954</v>
      </c>
      <c r="X60" s="16">
        <f t="shared" si="16"/>
        <v>0.12919966453048698</v>
      </c>
      <c r="Y60" s="16">
        <f t="shared" si="17"/>
        <v>1.4153893502926147</v>
      </c>
      <c r="Z60" s="16">
        <f t="shared" si="2"/>
        <v>0.11234720226453512</v>
      </c>
      <c r="AA60" s="16">
        <f t="shared" si="3"/>
        <v>9.819433063429606E-3</v>
      </c>
      <c r="AB60" s="14">
        <f t="shared" si="18"/>
        <v>90.777730205513905</v>
      </c>
      <c r="AC60" s="16">
        <f t="shared" si="4"/>
        <v>2.9935949903064595E-2</v>
      </c>
      <c r="AD60" s="16">
        <f t="shared" si="5"/>
        <v>5.7317506979377805E-2</v>
      </c>
      <c r="AE60" s="23" t="str">
        <f t="shared" si="19"/>
        <v/>
      </c>
      <c r="AF60" s="23" t="str">
        <f t="shared" si="6"/>
        <v/>
      </c>
      <c r="AG60" s="23" t="str">
        <f t="shared" si="7"/>
        <v/>
      </c>
      <c r="AH60" s="23" t="str">
        <f t="shared" si="20"/>
        <v/>
      </c>
      <c r="AI60" s="23" t="str">
        <f t="shared" si="8"/>
        <v/>
      </c>
      <c r="AJ60" s="23" t="str">
        <f t="shared" si="9"/>
        <v/>
      </c>
      <c r="AK60" s="23" t="str">
        <f t="shared" si="10"/>
        <v/>
      </c>
      <c r="AL60" s="23" t="str">
        <f t="shared" si="11"/>
        <v/>
      </c>
      <c r="AM60" s="52">
        <f t="shared" si="23"/>
        <v>0</v>
      </c>
      <c r="AN60" s="26">
        <f t="shared" si="21"/>
        <v>12.204072728827214</v>
      </c>
    </row>
    <row r="61" spans="1:40" x14ac:dyDescent="0.2">
      <c r="A61" s="12">
        <v>44615</v>
      </c>
      <c r="B61" s="6">
        <v>23</v>
      </c>
      <c r="C61" s="6">
        <v>54</v>
      </c>
      <c r="D61" s="6">
        <v>4</v>
      </c>
      <c r="E61" s="6" t="s">
        <v>15</v>
      </c>
      <c r="F61" s="6">
        <v>8</v>
      </c>
      <c r="G61" s="6">
        <v>2</v>
      </c>
      <c r="H61" s="6" t="s">
        <v>18</v>
      </c>
      <c r="I61" s="6">
        <v>1</v>
      </c>
      <c r="J61" s="14">
        <v>27.418462878570544</v>
      </c>
      <c r="K61" s="14">
        <v>104.50719973317973</v>
      </c>
      <c r="L61" s="14">
        <f t="shared" si="12"/>
        <v>2865.426776427546</v>
      </c>
      <c r="M61" s="16">
        <v>0.84637672095689964</v>
      </c>
      <c r="N61" s="14">
        <f t="shared" si="13"/>
        <v>2425.2305191748455</v>
      </c>
      <c r="O61" s="14">
        <f t="shared" si="22"/>
        <v>440.19625725270043</v>
      </c>
      <c r="P61" s="14">
        <v>97.861367075655409</v>
      </c>
      <c r="Q61" s="14">
        <v>39.232896081285006</v>
      </c>
      <c r="R61" s="14">
        <f t="shared" si="0"/>
        <v>12.987012987012987</v>
      </c>
      <c r="S61" s="14">
        <v>68.295131712379074</v>
      </c>
      <c r="T61" s="14">
        <f t="shared" si="14"/>
        <v>2005.798743499282</v>
      </c>
      <c r="U61" s="14">
        <f t="shared" si="1"/>
        <v>73.155039813225798</v>
      </c>
      <c r="V61" s="14">
        <v>76.391604342962978</v>
      </c>
      <c r="W61" s="16">
        <f t="shared" si="15"/>
        <v>1.337725566488762</v>
      </c>
      <c r="X61" s="16">
        <f t="shared" si="16"/>
        <v>0.35891984615841194</v>
      </c>
      <c r="Y61" s="16">
        <f t="shared" si="17"/>
        <v>1.2091096013669995</v>
      </c>
      <c r="Z61" s="16">
        <f t="shared" si="2"/>
        <v>0.37479937060486057</v>
      </c>
      <c r="AA61" s="16">
        <f t="shared" si="3"/>
        <v>4.5323136832009607E-3</v>
      </c>
      <c r="AB61" s="14">
        <f t="shared" si="18"/>
        <v>73.155039813225798</v>
      </c>
      <c r="AC61" s="16">
        <f t="shared" si="4"/>
        <v>0.37540854775031401</v>
      </c>
      <c r="AD61" s="16">
        <f t="shared" si="5"/>
        <v>3.4152457805138363E-2</v>
      </c>
      <c r="AE61" s="23" t="str">
        <f t="shared" si="19"/>
        <v/>
      </c>
      <c r="AF61" s="23" t="str">
        <f t="shared" si="6"/>
        <v/>
      </c>
      <c r="AG61" s="23" t="str">
        <f t="shared" si="7"/>
        <v/>
      </c>
      <c r="AH61" s="23" t="str">
        <f t="shared" si="20"/>
        <v/>
      </c>
      <c r="AI61" s="23" t="str">
        <f t="shared" si="8"/>
        <v/>
      </c>
      <c r="AJ61" s="23" t="str">
        <f t="shared" si="9"/>
        <v/>
      </c>
      <c r="AK61" s="23" t="str">
        <f t="shared" si="10"/>
        <v/>
      </c>
      <c r="AL61" s="23" t="str">
        <f t="shared" si="11"/>
        <v/>
      </c>
      <c r="AM61" s="52">
        <f t="shared" si="23"/>
        <v>0</v>
      </c>
      <c r="AN61" s="26">
        <f t="shared" si="21"/>
        <v>440.19625725270043</v>
      </c>
    </row>
    <row r="62" spans="1:40" x14ac:dyDescent="0.2">
      <c r="A62" s="12">
        <v>44616</v>
      </c>
      <c r="B62" s="6">
        <v>24</v>
      </c>
      <c r="C62" s="6">
        <v>55</v>
      </c>
      <c r="D62" s="6">
        <v>5</v>
      </c>
      <c r="E62" s="6" t="s">
        <v>16</v>
      </c>
      <c r="F62" s="6">
        <v>8</v>
      </c>
      <c r="G62" s="6">
        <v>2</v>
      </c>
      <c r="H62" s="6" t="s">
        <v>18</v>
      </c>
      <c r="I62" s="6">
        <v>1</v>
      </c>
      <c r="J62" s="14">
        <v>36.667998404099635</v>
      </c>
      <c r="K62" s="14">
        <v>90.653015736050236</v>
      </c>
      <c r="L62" s="14">
        <f t="shared" si="12"/>
        <v>3324.0646363363089</v>
      </c>
      <c r="M62" s="16">
        <v>0.88418154027313967</v>
      </c>
      <c r="N62" s="14">
        <f t="shared" si="13"/>
        <v>2939.0765901233117</v>
      </c>
      <c r="O62" s="14">
        <f t="shared" si="22"/>
        <v>384.98804621299723</v>
      </c>
      <c r="P62" s="14">
        <v>26.272768686627053</v>
      </c>
      <c r="Q62" s="14">
        <v>31.948947371572622</v>
      </c>
      <c r="R62" s="14">
        <f t="shared" si="0"/>
        <v>12.987012987012987</v>
      </c>
      <c r="S62" s="14">
        <v>80.694244948876602</v>
      </c>
      <c r="T62" s="14">
        <f t="shared" si="14"/>
        <v>2326.845245435416</v>
      </c>
      <c r="U62" s="14">
        <f t="shared" si="1"/>
        <v>63.457111015235157</v>
      </c>
      <c r="V62" s="14">
        <v>94.916095090173911</v>
      </c>
      <c r="W62" s="16">
        <f t="shared" si="15"/>
        <v>0.41402402766680213</v>
      </c>
      <c r="X62" s="16">
        <f t="shared" si="16"/>
        <v>0.38632013221007078</v>
      </c>
      <c r="Y62" s="16">
        <f t="shared" si="17"/>
        <v>1.2631164861044855</v>
      </c>
      <c r="Z62" s="16">
        <f t="shared" si="2"/>
        <v>0.57783907614855279</v>
      </c>
      <c r="AA62" s="16">
        <f t="shared" si="3"/>
        <v>3.906967645889976E-3</v>
      </c>
      <c r="AB62" s="14">
        <f t="shared" si="18"/>
        <v>63.457111015235157</v>
      </c>
      <c r="AC62" s="16">
        <f t="shared" si="4"/>
        <v>0.35243115865661595</v>
      </c>
      <c r="AD62" s="16">
        <f t="shared" si="5"/>
        <v>7.9038080064484442E-3</v>
      </c>
      <c r="AE62" s="23" t="str">
        <f t="shared" si="19"/>
        <v/>
      </c>
      <c r="AF62" s="23" t="str">
        <f t="shared" si="6"/>
        <v/>
      </c>
      <c r="AG62" s="23" t="str">
        <f t="shared" si="7"/>
        <v/>
      </c>
      <c r="AH62" s="23" t="str">
        <f t="shared" si="20"/>
        <v/>
      </c>
      <c r="AI62" s="23" t="str">
        <f t="shared" si="8"/>
        <v/>
      </c>
      <c r="AJ62" s="23" t="str">
        <f t="shared" si="9"/>
        <v/>
      </c>
      <c r="AK62" s="23" t="str">
        <f t="shared" si="10"/>
        <v/>
      </c>
      <c r="AL62" s="23" t="str">
        <f t="shared" si="11"/>
        <v/>
      </c>
      <c r="AM62" s="52">
        <f t="shared" si="23"/>
        <v>0</v>
      </c>
      <c r="AN62" s="26">
        <f t="shared" si="21"/>
        <v>384.98804621299723</v>
      </c>
    </row>
    <row r="63" spans="1:40" x14ac:dyDescent="0.2">
      <c r="A63" s="12">
        <v>44617</v>
      </c>
      <c r="B63" s="6">
        <v>25</v>
      </c>
      <c r="C63" s="6">
        <v>56</v>
      </c>
      <c r="D63" s="6">
        <v>6</v>
      </c>
      <c r="E63" s="6" t="s">
        <v>17</v>
      </c>
      <c r="F63" s="6">
        <v>8</v>
      </c>
      <c r="G63" s="6">
        <v>2</v>
      </c>
      <c r="H63" s="6" t="s">
        <v>18</v>
      </c>
      <c r="I63" s="6">
        <v>1</v>
      </c>
      <c r="J63" s="14">
        <v>6.8756671821168442</v>
      </c>
      <c r="K63" s="14">
        <v>151.06293349775797</v>
      </c>
      <c r="L63" s="14">
        <f t="shared" si="12"/>
        <v>1038.6584542848339</v>
      </c>
      <c r="M63" s="16">
        <v>0.95761808034714235</v>
      </c>
      <c r="N63" s="14">
        <f t="shared" si="13"/>
        <v>994.63811512857274</v>
      </c>
      <c r="O63" s="14">
        <f t="shared" si="22"/>
        <v>44.020339156261116</v>
      </c>
      <c r="P63" s="14">
        <v>119.37790163038881</v>
      </c>
      <c r="Q63" s="14">
        <v>33.517103695608313</v>
      </c>
      <c r="R63" s="14">
        <f t="shared" si="0"/>
        <v>12.987012987012987</v>
      </c>
      <c r="S63" s="14">
        <v>87.650306710831828</v>
      </c>
      <c r="T63" s="14">
        <f t="shared" si="14"/>
        <v>727.06091799938361</v>
      </c>
      <c r="U63" s="14">
        <f t="shared" si="1"/>
        <v>105.74405344843058</v>
      </c>
      <c r="V63" s="14">
        <v>81.801739210145939</v>
      </c>
      <c r="W63" s="16">
        <f t="shared" si="15"/>
        <v>1.128932528471752</v>
      </c>
      <c r="X63" s="16">
        <f t="shared" si="16"/>
        <v>8.4052823919226027E-2</v>
      </c>
      <c r="Y63" s="16">
        <f t="shared" si="17"/>
        <v>1.3680258290673464</v>
      </c>
      <c r="Z63" s="16">
        <f t="shared" si="2"/>
        <v>6.5021785697575704E-2</v>
      </c>
      <c r="AA63" s="16">
        <f t="shared" si="3"/>
        <v>1.2503641532437309E-2</v>
      </c>
      <c r="AB63" s="14">
        <f t="shared" si="18"/>
        <v>105.74405344843058</v>
      </c>
      <c r="AC63" s="16">
        <f t="shared" si="4"/>
        <v>0.22187510145303621</v>
      </c>
      <c r="AD63" s="16">
        <f t="shared" si="5"/>
        <v>0.11493470364383276</v>
      </c>
      <c r="AE63" s="23" t="str">
        <f t="shared" si="19"/>
        <v/>
      </c>
      <c r="AF63" s="23" t="str">
        <f t="shared" si="6"/>
        <v/>
      </c>
      <c r="AG63" s="23" t="str">
        <f t="shared" si="7"/>
        <v/>
      </c>
      <c r="AH63" s="23" t="str">
        <f t="shared" si="20"/>
        <v/>
      </c>
      <c r="AI63" s="23" t="str">
        <f t="shared" si="8"/>
        <v/>
      </c>
      <c r="AJ63" s="23" t="str">
        <f t="shared" si="9"/>
        <v/>
      </c>
      <c r="AK63" s="23">
        <f t="shared" si="10"/>
        <v>83</v>
      </c>
      <c r="AL63" s="23" t="str">
        <f t="shared" si="11"/>
        <v/>
      </c>
      <c r="AM63" s="52">
        <f t="shared" si="23"/>
        <v>83</v>
      </c>
      <c r="AN63" s="26">
        <f t="shared" si="21"/>
        <v>-38.979660843738884</v>
      </c>
    </row>
    <row r="64" spans="1:40" x14ac:dyDescent="0.2">
      <c r="A64" s="12">
        <v>44618</v>
      </c>
      <c r="B64" s="6">
        <v>26</v>
      </c>
      <c r="C64" s="6">
        <v>57</v>
      </c>
      <c r="D64" s="6">
        <v>7</v>
      </c>
      <c r="E64" s="6" t="s">
        <v>10</v>
      </c>
      <c r="F64" s="6">
        <v>8</v>
      </c>
      <c r="G64" s="6">
        <v>2</v>
      </c>
      <c r="H64" s="6" t="s">
        <v>18</v>
      </c>
      <c r="I64" s="6">
        <v>1</v>
      </c>
      <c r="J64" s="14">
        <v>20.095052368837795</v>
      </c>
      <c r="K64" s="14">
        <v>91.96407586108063</v>
      </c>
      <c r="L64" s="14">
        <f t="shared" si="12"/>
        <v>1848.0229204801869</v>
      </c>
      <c r="M64" s="16">
        <v>1.0158186011987194</v>
      </c>
      <c r="N64" s="14">
        <f t="shared" si="13"/>
        <v>1877.2560580653558</v>
      </c>
      <c r="O64" s="14">
        <f t="shared" si="22"/>
        <v>-29.233137585168834</v>
      </c>
      <c r="P64" s="14">
        <v>52.5047587425003</v>
      </c>
      <c r="Q64" s="14">
        <v>26.881430683402712</v>
      </c>
      <c r="R64" s="14">
        <f t="shared" si="0"/>
        <v>12.987012987012987</v>
      </c>
      <c r="S64" s="14">
        <v>86.582749965187247</v>
      </c>
      <c r="T64" s="14">
        <f t="shared" si="14"/>
        <v>1293.6160443361307</v>
      </c>
      <c r="U64" s="14">
        <f t="shared" si="1"/>
        <v>64.374853102756433</v>
      </c>
      <c r="V64" s="14">
        <v>91.975328410091535</v>
      </c>
      <c r="W64" s="16">
        <f t="shared" si="15"/>
        <v>0.81560976393516815</v>
      </c>
      <c r="X64" s="16">
        <f t="shared" si="16"/>
        <v>0.218483072756639</v>
      </c>
      <c r="Y64" s="16">
        <f t="shared" si="17"/>
        <v>1.4511694302838851</v>
      </c>
      <c r="Z64" s="16">
        <f t="shared" si="2"/>
        <v>0.31215686561275208</v>
      </c>
      <c r="AA64" s="16">
        <f t="shared" si="3"/>
        <v>7.0275172689083665E-3</v>
      </c>
      <c r="AB64" s="14">
        <f t="shared" si="18"/>
        <v>64.374853102756433</v>
      </c>
      <c r="AC64" s="16">
        <f t="shared" si="4"/>
        <v>0.29230360259379268</v>
      </c>
      <c r="AD64" s="16">
        <f t="shared" si="5"/>
        <v>2.8411313604734707E-2</v>
      </c>
      <c r="AE64" s="23" t="str">
        <f t="shared" si="19"/>
        <v/>
      </c>
      <c r="AF64" s="23" t="str">
        <f t="shared" si="6"/>
        <v/>
      </c>
      <c r="AG64" s="23" t="str">
        <f t="shared" si="7"/>
        <v/>
      </c>
      <c r="AH64" s="23" t="str">
        <f t="shared" si="20"/>
        <v/>
      </c>
      <c r="AI64" s="23" t="str">
        <f t="shared" si="8"/>
        <v/>
      </c>
      <c r="AJ64" s="23" t="str">
        <f t="shared" si="9"/>
        <v/>
      </c>
      <c r="AK64" s="23" t="str">
        <f t="shared" si="10"/>
        <v/>
      </c>
      <c r="AL64" s="23" t="str">
        <f t="shared" si="11"/>
        <v/>
      </c>
      <c r="AM64" s="52">
        <f t="shared" si="23"/>
        <v>0</v>
      </c>
      <c r="AN64" s="26">
        <f t="shared" si="21"/>
        <v>-29.233137585168834</v>
      </c>
    </row>
    <row r="65" spans="1:40" x14ac:dyDescent="0.2">
      <c r="A65" s="12">
        <v>44619</v>
      </c>
      <c r="B65" s="6">
        <v>27</v>
      </c>
      <c r="C65" s="6">
        <v>58</v>
      </c>
      <c r="D65" s="6">
        <v>1</v>
      </c>
      <c r="E65" s="6" t="s">
        <v>12</v>
      </c>
      <c r="F65" s="6">
        <v>9</v>
      </c>
      <c r="G65" s="6">
        <v>2</v>
      </c>
      <c r="H65" s="6" t="s">
        <v>18</v>
      </c>
      <c r="I65" s="6">
        <v>1</v>
      </c>
      <c r="J65" s="14">
        <v>12.218060513076532</v>
      </c>
      <c r="K65" s="14">
        <v>40.369524222626595</v>
      </c>
      <c r="L65" s="14">
        <f t="shared" si="12"/>
        <v>493.23728983616058</v>
      </c>
      <c r="M65" s="16">
        <v>0.42390991370388464</v>
      </c>
      <c r="N65" s="14">
        <f t="shared" si="13"/>
        <v>209.08817696998477</v>
      </c>
      <c r="O65" s="14">
        <f t="shared" si="22"/>
        <v>284.14911286617581</v>
      </c>
      <c r="P65" s="14">
        <v>35.294668108409077</v>
      </c>
      <c r="Q65" s="14">
        <v>14.497992774334152</v>
      </c>
      <c r="R65" s="14">
        <f t="shared" si="0"/>
        <v>28.571428571428573</v>
      </c>
      <c r="S65" s="14">
        <v>27.569152082057897</v>
      </c>
      <c r="T65" s="14">
        <f t="shared" si="14"/>
        <v>345.26610288531236</v>
      </c>
      <c r="U65" s="14">
        <f t="shared" si="1"/>
        <v>28.258666955838613</v>
      </c>
      <c r="V65" s="14">
        <v>28.761862900106465</v>
      </c>
      <c r="W65" s="16">
        <f t="shared" si="15"/>
        <v>1.248985600190059</v>
      </c>
      <c r="X65" s="16">
        <f t="shared" si="16"/>
        <v>0.42480073545692709</v>
      </c>
      <c r="Y65" s="16">
        <f t="shared" si="17"/>
        <v>0.60558559100554954</v>
      </c>
      <c r="Z65" s="16">
        <f t="shared" si="2"/>
        <v>0.43236506987999018</v>
      </c>
      <c r="AA65" s="16">
        <f t="shared" si="3"/>
        <v>5.7926335174129248E-2</v>
      </c>
      <c r="AB65" s="14">
        <f t="shared" si="18"/>
        <v>28.258666955838613</v>
      </c>
      <c r="AC65" s="16">
        <f t="shared" si="4"/>
        <v>0.35913211893164237</v>
      </c>
      <c r="AD65" s="16">
        <f t="shared" si="5"/>
        <v>7.1557177114757411E-2</v>
      </c>
      <c r="AE65" s="23" t="str">
        <f t="shared" si="19"/>
        <v/>
      </c>
      <c r="AF65" s="23">
        <f t="shared" si="6"/>
        <v>1000</v>
      </c>
      <c r="AG65" s="23" t="str">
        <f t="shared" si="7"/>
        <v/>
      </c>
      <c r="AH65" s="23" t="str">
        <f t="shared" si="20"/>
        <v/>
      </c>
      <c r="AI65" s="23" t="str">
        <f t="shared" si="8"/>
        <v/>
      </c>
      <c r="AJ65" s="23" t="str">
        <f t="shared" si="9"/>
        <v/>
      </c>
      <c r="AK65" s="23" t="str">
        <f t="shared" si="10"/>
        <v/>
      </c>
      <c r="AL65" s="23" t="str">
        <f t="shared" si="11"/>
        <v/>
      </c>
      <c r="AM65" s="52">
        <f t="shared" si="23"/>
        <v>1000</v>
      </c>
      <c r="AN65" s="26">
        <f t="shared" si="21"/>
        <v>-715.85088713382424</v>
      </c>
    </row>
    <row r="66" spans="1:40" x14ac:dyDescent="0.2">
      <c r="A66" s="12">
        <v>44620</v>
      </c>
      <c r="B66" s="6">
        <v>28</v>
      </c>
      <c r="C66" s="6">
        <v>59</v>
      </c>
      <c r="D66" s="6">
        <v>2</v>
      </c>
      <c r="E66" s="6" t="s">
        <v>13</v>
      </c>
      <c r="F66" s="6">
        <v>9</v>
      </c>
      <c r="G66" s="6">
        <v>2</v>
      </c>
      <c r="H66" s="6" t="s">
        <v>18</v>
      </c>
      <c r="I66" s="6">
        <v>1</v>
      </c>
      <c r="J66" s="14">
        <v>29.381766714157862</v>
      </c>
      <c r="K66" s="14">
        <v>61.484481026634775</v>
      </c>
      <c r="L66" s="14">
        <f t="shared" si="12"/>
        <v>1806.5226780656483</v>
      </c>
      <c r="M66" s="16">
        <v>0.80997380900652827</v>
      </c>
      <c r="N66" s="14">
        <f t="shared" si="13"/>
        <v>1463.2360546095074</v>
      </c>
      <c r="O66" s="14">
        <f t="shared" si="22"/>
        <v>343.28662345614089</v>
      </c>
      <c r="P66" s="14">
        <v>68.177683096775468</v>
      </c>
      <c r="Q66" s="14">
        <v>14.125267556590574</v>
      </c>
      <c r="R66" s="14">
        <f t="shared" si="0"/>
        <v>12.987012987012987</v>
      </c>
      <c r="S66" s="14">
        <v>77.980697004377106</v>
      </c>
      <c r="T66" s="14">
        <f t="shared" si="14"/>
        <v>1264.5658746459537</v>
      </c>
      <c r="U66" s="14">
        <f t="shared" si="1"/>
        <v>43.039136718644343</v>
      </c>
      <c r="V66" s="14">
        <v>81.348625665220155</v>
      </c>
      <c r="W66" s="16">
        <f t="shared" si="15"/>
        <v>1.5840857483380058</v>
      </c>
      <c r="X66" s="16">
        <f t="shared" si="16"/>
        <v>0.36118332023302713</v>
      </c>
      <c r="Y66" s="16">
        <f t="shared" si="17"/>
        <v>1.1571054414378976</v>
      </c>
      <c r="Z66" s="16">
        <f t="shared" si="2"/>
        <v>0.68267555890427112</v>
      </c>
      <c r="AA66" s="16">
        <f t="shared" si="3"/>
        <v>7.1889565211099137E-3</v>
      </c>
      <c r="AB66" s="14">
        <f t="shared" si="18"/>
        <v>43.039136718644343</v>
      </c>
      <c r="AC66" s="16">
        <f t="shared" si="4"/>
        <v>0.2297371193630402</v>
      </c>
      <c r="AD66" s="16">
        <f t="shared" si="5"/>
        <v>3.7739732760940142E-2</v>
      </c>
      <c r="AE66" s="23" t="str">
        <f t="shared" si="19"/>
        <v/>
      </c>
      <c r="AF66" s="23" t="str">
        <f t="shared" si="6"/>
        <v/>
      </c>
      <c r="AG66" s="23" t="str">
        <f t="shared" si="7"/>
        <v/>
      </c>
      <c r="AH66" s="23" t="str">
        <f t="shared" si="20"/>
        <v/>
      </c>
      <c r="AI66" s="23" t="str">
        <f t="shared" si="8"/>
        <v/>
      </c>
      <c r="AJ66" s="23" t="str">
        <f t="shared" si="9"/>
        <v/>
      </c>
      <c r="AK66" s="23" t="str">
        <f t="shared" si="10"/>
        <v/>
      </c>
      <c r="AL66" s="23" t="str">
        <f t="shared" si="11"/>
        <v/>
      </c>
      <c r="AM66" s="52">
        <f t="shared" si="23"/>
        <v>0</v>
      </c>
      <c r="AN66" s="26">
        <f t="shared" si="21"/>
        <v>343.28662345614089</v>
      </c>
    </row>
    <row r="67" spans="1:40" x14ac:dyDescent="0.2">
      <c r="A67" s="12">
        <v>44621</v>
      </c>
      <c r="B67" s="6">
        <v>1</v>
      </c>
      <c r="C67" s="6">
        <v>60</v>
      </c>
      <c r="D67" s="6">
        <v>3</v>
      </c>
      <c r="E67" s="6" t="s">
        <v>14</v>
      </c>
      <c r="F67" s="6">
        <v>9</v>
      </c>
      <c r="G67" s="6">
        <v>3</v>
      </c>
      <c r="H67" s="6" t="s">
        <v>19</v>
      </c>
      <c r="I67" s="6">
        <v>1</v>
      </c>
      <c r="J67" s="14">
        <v>36.076636689969163</v>
      </c>
      <c r="K67" s="14">
        <v>75.453338264777784</v>
      </c>
      <c r="L67" s="14">
        <f t="shared" si="12"/>
        <v>2722.1026716237366</v>
      </c>
      <c r="M67" s="16">
        <v>1.2314755177723093</v>
      </c>
      <c r="N67" s="14">
        <f t="shared" si="13"/>
        <v>3352.2027969672276</v>
      </c>
      <c r="O67" s="14">
        <f t="shared" si="22"/>
        <v>-630.10012534349107</v>
      </c>
      <c r="P67" s="14">
        <v>80.196227744482016</v>
      </c>
      <c r="Q67" s="14">
        <v>23.660325509673946</v>
      </c>
      <c r="R67" s="14">
        <f t="shared" si="0"/>
        <v>12.987012987012987</v>
      </c>
      <c r="S67" s="14">
        <v>71.989565761216312</v>
      </c>
      <c r="T67" s="14">
        <f t="shared" si="14"/>
        <v>1905.4718701366155</v>
      </c>
      <c r="U67" s="14">
        <f t="shared" si="1"/>
        <v>52.817336785344452</v>
      </c>
      <c r="V67" s="14">
        <v>71.197723067876041</v>
      </c>
      <c r="W67" s="16">
        <f t="shared" si="15"/>
        <v>1.518369395836985</v>
      </c>
      <c r="X67" s="16">
        <f t="shared" si="16"/>
        <v>0.50671053982408476</v>
      </c>
      <c r="Y67" s="16">
        <f t="shared" si="17"/>
        <v>1.7592507396747277</v>
      </c>
      <c r="Z67" s="16">
        <f t="shared" si="2"/>
        <v>0.68304535756107199</v>
      </c>
      <c r="AA67" s="16">
        <f t="shared" si="3"/>
        <v>4.7709489882195449E-3</v>
      </c>
      <c r="AB67" s="14">
        <f t="shared" si="18"/>
        <v>52.817336785344452</v>
      </c>
      <c r="AC67" s="16">
        <f t="shared" si="4"/>
        <v>0.31357559590864081</v>
      </c>
      <c r="AD67" s="16">
        <f t="shared" si="5"/>
        <v>2.9461132594475175E-2</v>
      </c>
      <c r="AE67" s="23">
        <f t="shared" si="19"/>
        <v>3000</v>
      </c>
      <c r="AF67" s="23" t="str">
        <f t="shared" si="6"/>
        <v/>
      </c>
      <c r="AG67" s="23" t="str">
        <f t="shared" si="7"/>
        <v/>
      </c>
      <c r="AH67" s="23" t="str">
        <f t="shared" si="20"/>
        <v/>
      </c>
      <c r="AI67" s="23" t="str">
        <f t="shared" si="8"/>
        <v/>
      </c>
      <c r="AJ67" s="23" t="str">
        <f t="shared" si="9"/>
        <v/>
      </c>
      <c r="AK67" s="23" t="str">
        <f t="shared" si="10"/>
        <v/>
      </c>
      <c r="AL67" s="23" t="str">
        <f t="shared" si="11"/>
        <v/>
      </c>
      <c r="AM67" s="52">
        <f t="shared" si="23"/>
        <v>3000</v>
      </c>
      <c r="AN67" s="26">
        <f t="shared" si="21"/>
        <v>-3630.1001253434911</v>
      </c>
    </row>
    <row r="68" spans="1:40" x14ac:dyDescent="0.2">
      <c r="A68" s="12">
        <v>44622</v>
      </c>
      <c r="B68" s="6">
        <v>2</v>
      </c>
      <c r="C68" s="6">
        <v>61</v>
      </c>
      <c r="D68" s="6">
        <v>4</v>
      </c>
      <c r="E68" s="6" t="s">
        <v>15</v>
      </c>
      <c r="F68" s="6">
        <v>9</v>
      </c>
      <c r="G68" s="6">
        <v>3</v>
      </c>
      <c r="H68" s="6" t="s">
        <v>19</v>
      </c>
      <c r="I68" s="6">
        <v>1</v>
      </c>
      <c r="J68" s="14">
        <v>16.956200954133884</v>
      </c>
      <c r="K68" s="14">
        <v>94.058385890793005</v>
      </c>
      <c r="L68" s="14">
        <f t="shared" si="12"/>
        <v>1594.8728925857574</v>
      </c>
      <c r="M68" s="16">
        <v>0.63487937591734256</v>
      </c>
      <c r="N68" s="14">
        <f t="shared" si="13"/>
        <v>1012.5519067123325</v>
      </c>
      <c r="O68" s="14">
        <f t="shared" si="22"/>
        <v>582.32098587342489</v>
      </c>
      <c r="P68" s="14">
        <v>89.7942643136887</v>
      </c>
      <c r="Q68" s="14">
        <v>15.669870875481916</v>
      </c>
      <c r="R68" s="14">
        <f t="shared" si="0"/>
        <v>12.987012987012987</v>
      </c>
      <c r="S68" s="14">
        <v>62.428959903920962</v>
      </c>
      <c r="T68" s="14">
        <f t="shared" si="14"/>
        <v>1116.4110248100301</v>
      </c>
      <c r="U68" s="14">
        <f t="shared" si="1"/>
        <v>65.840870123555092</v>
      </c>
      <c r="V68" s="14">
        <v>69.914674052727335</v>
      </c>
      <c r="W68" s="16">
        <f t="shared" si="15"/>
        <v>1.3638073759533151</v>
      </c>
      <c r="X68" s="16">
        <f t="shared" si="16"/>
        <v>0.24252706865723322</v>
      </c>
      <c r="Y68" s="16">
        <f t="shared" si="17"/>
        <v>0.90697053702477515</v>
      </c>
      <c r="Z68" s="16">
        <f t="shared" si="2"/>
        <v>0.25753306300956175</v>
      </c>
      <c r="AA68" s="16">
        <f t="shared" si="3"/>
        <v>8.1429768148841147E-3</v>
      </c>
      <c r="AB68" s="14">
        <f t="shared" si="18"/>
        <v>65.840870123555092</v>
      </c>
      <c r="AC68" s="16">
        <f t="shared" si="4"/>
        <v>0.16659727601189653</v>
      </c>
      <c r="AD68" s="16">
        <f t="shared" si="5"/>
        <v>5.6301831156027625E-2</v>
      </c>
      <c r="AE68" s="23" t="str">
        <f t="shared" si="19"/>
        <v/>
      </c>
      <c r="AF68" s="23" t="str">
        <f t="shared" si="6"/>
        <v/>
      </c>
      <c r="AG68" s="23" t="str">
        <f t="shared" si="7"/>
        <v/>
      </c>
      <c r="AH68" s="23" t="str">
        <f t="shared" si="20"/>
        <v/>
      </c>
      <c r="AI68" s="23" t="str">
        <f t="shared" si="8"/>
        <v/>
      </c>
      <c r="AJ68" s="23" t="str">
        <f t="shared" si="9"/>
        <v/>
      </c>
      <c r="AK68" s="23" t="str">
        <f t="shared" si="10"/>
        <v/>
      </c>
      <c r="AL68" s="23" t="str">
        <f t="shared" si="11"/>
        <v/>
      </c>
      <c r="AM68" s="52">
        <f t="shared" si="23"/>
        <v>0</v>
      </c>
      <c r="AN68" s="26">
        <f t="shared" si="21"/>
        <v>582.32098587342489</v>
      </c>
    </row>
    <row r="69" spans="1:40" x14ac:dyDescent="0.2">
      <c r="A69" s="12">
        <v>44623</v>
      </c>
      <c r="B69" s="6">
        <v>3</v>
      </c>
      <c r="C69" s="6">
        <v>62</v>
      </c>
      <c r="D69" s="6">
        <v>5</v>
      </c>
      <c r="E69" s="6" t="s">
        <v>16</v>
      </c>
      <c r="F69" s="6">
        <v>9</v>
      </c>
      <c r="G69" s="6">
        <v>3</v>
      </c>
      <c r="H69" s="6" t="s">
        <v>19</v>
      </c>
      <c r="I69" s="6">
        <v>1</v>
      </c>
      <c r="J69" s="14">
        <v>14.005224562539437</v>
      </c>
      <c r="K69" s="14">
        <v>119.94132907744513</v>
      </c>
      <c r="L69" s="14">
        <f t="shared" si="12"/>
        <v>1679.8052480590602</v>
      </c>
      <c r="M69" s="16">
        <v>0.7463161872618711</v>
      </c>
      <c r="N69" s="14">
        <f t="shared" si="13"/>
        <v>1253.6658480739195</v>
      </c>
      <c r="O69" s="14">
        <f t="shared" si="22"/>
        <v>426.1393999851407</v>
      </c>
      <c r="P69" s="14">
        <v>98.074224066796575</v>
      </c>
      <c r="Q69" s="14">
        <v>17.581742916421771</v>
      </c>
      <c r="R69" s="14">
        <f t="shared" si="0"/>
        <v>12.987012987012987</v>
      </c>
      <c r="S69" s="14">
        <v>88.461373415541289</v>
      </c>
      <c r="T69" s="14">
        <f t="shared" si="14"/>
        <v>1175.8636736413421</v>
      </c>
      <c r="U69" s="14">
        <f t="shared" si="1"/>
        <v>83.958930354211589</v>
      </c>
      <c r="V69" s="14">
        <v>75.757226996564782</v>
      </c>
      <c r="W69" s="16">
        <f t="shared" si="15"/>
        <v>1.1681214095157528</v>
      </c>
      <c r="X69" s="16">
        <f t="shared" si="16"/>
        <v>0.18486981530058519</v>
      </c>
      <c r="Y69" s="16">
        <f t="shared" si="17"/>
        <v>1.0661659818026732</v>
      </c>
      <c r="Z69" s="16">
        <f t="shared" si="2"/>
        <v>0.16681042151744016</v>
      </c>
      <c r="AA69" s="16">
        <f t="shared" si="3"/>
        <v>7.7312611101905413E-3</v>
      </c>
      <c r="AB69" s="14">
        <f t="shared" si="18"/>
        <v>83.958930354211589</v>
      </c>
      <c r="AC69" s="16">
        <f t="shared" si="4"/>
        <v>0.14658619386374636</v>
      </c>
      <c r="AD69" s="16">
        <f t="shared" si="5"/>
        <v>5.8384282451859795E-2</v>
      </c>
      <c r="AE69" s="23" t="str">
        <f t="shared" si="19"/>
        <v/>
      </c>
      <c r="AF69" s="23" t="str">
        <f t="shared" si="6"/>
        <v/>
      </c>
      <c r="AG69" s="23" t="str">
        <f t="shared" si="7"/>
        <v/>
      </c>
      <c r="AH69" s="23" t="str">
        <f t="shared" si="20"/>
        <v/>
      </c>
      <c r="AI69" s="23" t="str">
        <f t="shared" si="8"/>
        <v/>
      </c>
      <c r="AJ69" s="23" t="str">
        <f t="shared" si="9"/>
        <v/>
      </c>
      <c r="AK69" s="23" t="str">
        <f t="shared" si="10"/>
        <v/>
      </c>
      <c r="AL69" s="23" t="str">
        <f t="shared" si="11"/>
        <v/>
      </c>
      <c r="AM69" s="52">
        <f t="shared" si="23"/>
        <v>0</v>
      </c>
      <c r="AN69" s="26">
        <f t="shared" si="21"/>
        <v>426.1393999851407</v>
      </c>
    </row>
    <row r="70" spans="1:40" x14ac:dyDescent="0.2">
      <c r="A70" s="12">
        <v>44624</v>
      </c>
      <c r="B70" s="6">
        <v>4</v>
      </c>
      <c r="C70" s="6">
        <v>63</v>
      </c>
      <c r="D70" s="6">
        <v>6</v>
      </c>
      <c r="E70" s="6" t="s">
        <v>17</v>
      </c>
      <c r="F70" s="6">
        <v>9</v>
      </c>
      <c r="G70" s="6">
        <v>3</v>
      </c>
      <c r="H70" s="6" t="s">
        <v>19</v>
      </c>
      <c r="I70" s="6">
        <v>1</v>
      </c>
      <c r="J70" s="14">
        <v>25.557871374812489</v>
      </c>
      <c r="K70" s="14">
        <v>41.650414742073515</v>
      </c>
      <c r="L70" s="14">
        <f t="shared" si="12"/>
        <v>1064.4959426855087</v>
      </c>
      <c r="M70" s="16">
        <v>1.0987718828471493</v>
      </c>
      <c r="N70" s="14">
        <f t="shared" si="13"/>
        <v>1169.6382112277076</v>
      </c>
      <c r="O70" s="14">
        <f t="shared" si="22"/>
        <v>-105.14226854219896</v>
      </c>
      <c r="P70" s="14">
        <v>83.057151364891851</v>
      </c>
      <c r="Q70" s="14">
        <v>21.354037061473676</v>
      </c>
      <c r="R70" s="14">
        <f t="shared" si="0"/>
        <v>12.987012987012987</v>
      </c>
      <c r="S70" s="14">
        <v>55.523620663595715</v>
      </c>
      <c r="T70" s="14">
        <f t="shared" si="14"/>
        <v>745.14715987985608</v>
      </c>
      <c r="U70" s="14">
        <f t="shared" si="1"/>
        <v>29.155290319451456</v>
      </c>
      <c r="V70" s="14">
        <v>72.699993061875773</v>
      </c>
      <c r="W70" s="16">
        <f t="shared" si="15"/>
        <v>2.8487849187863801</v>
      </c>
      <c r="X70" s="16">
        <f t="shared" si="16"/>
        <v>0.35155259716544818</v>
      </c>
      <c r="Y70" s="16">
        <f t="shared" si="17"/>
        <v>1.5696741183530707</v>
      </c>
      <c r="Z70" s="16">
        <f t="shared" si="2"/>
        <v>0.87661179479873375</v>
      </c>
      <c r="AA70" s="16">
        <f t="shared" si="3"/>
        <v>1.2200152641492809E-2</v>
      </c>
      <c r="AB70" s="14">
        <f t="shared" si="18"/>
        <v>29.155290319451456</v>
      </c>
      <c r="AC70" s="16">
        <f t="shared" si="4"/>
        <v>0.51269686493428157</v>
      </c>
      <c r="AD70" s="16">
        <f t="shared" si="5"/>
        <v>7.8024864195682511E-2</v>
      </c>
      <c r="AE70" s="23" t="str">
        <f t="shared" si="19"/>
        <v/>
      </c>
      <c r="AF70" s="23" t="str">
        <f t="shared" si="6"/>
        <v/>
      </c>
      <c r="AG70" s="23" t="str">
        <f t="shared" si="7"/>
        <v/>
      </c>
      <c r="AH70" s="23" t="str">
        <f t="shared" si="20"/>
        <v/>
      </c>
      <c r="AI70" s="23" t="str">
        <f t="shared" si="8"/>
        <v/>
      </c>
      <c r="AJ70" s="23" t="str">
        <f t="shared" si="9"/>
        <v/>
      </c>
      <c r="AK70" s="23" t="str">
        <f t="shared" si="10"/>
        <v/>
      </c>
      <c r="AL70" s="23" t="str">
        <f t="shared" si="11"/>
        <v/>
      </c>
      <c r="AM70" s="52">
        <f t="shared" si="23"/>
        <v>0</v>
      </c>
      <c r="AN70" s="26">
        <f t="shared" si="21"/>
        <v>-105.14226854219896</v>
      </c>
    </row>
    <row r="71" spans="1:40" x14ac:dyDescent="0.2">
      <c r="A71" s="12">
        <v>44625</v>
      </c>
      <c r="B71" s="6">
        <v>5</v>
      </c>
      <c r="C71" s="6">
        <v>64</v>
      </c>
      <c r="D71" s="6">
        <v>7</v>
      </c>
      <c r="E71" s="6" t="s">
        <v>10</v>
      </c>
      <c r="F71" s="6">
        <v>9</v>
      </c>
      <c r="G71" s="6">
        <v>3</v>
      </c>
      <c r="H71" s="6" t="s">
        <v>19</v>
      </c>
      <c r="I71" s="6">
        <v>1</v>
      </c>
      <c r="J71" s="14">
        <v>20.23351233776728</v>
      </c>
      <c r="K71" s="14">
        <v>17.393641927642619</v>
      </c>
      <c r="L71" s="14">
        <f t="shared" si="12"/>
        <v>351.93446854166319</v>
      </c>
      <c r="M71" s="16">
        <v>0.65977660738233568</v>
      </c>
      <c r="N71" s="14">
        <f t="shared" si="13"/>
        <v>232.19812967532388</v>
      </c>
      <c r="O71" s="14">
        <f t="shared" si="22"/>
        <v>119.73633886633931</v>
      </c>
      <c r="P71" s="14">
        <v>82.765256425706468</v>
      </c>
      <c r="Q71" s="14">
        <v>9.54305645467314</v>
      </c>
      <c r="R71" s="14">
        <f t="shared" si="0"/>
        <v>12.987012987012987</v>
      </c>
      <c r="S71" s="14">
        <v>76.97327435610201</v>
      </c>
      <c r="T71" s="14">
        <f t="shared" si="14"/>
        <v>246.35412797916422</v>
      </c>
      <c r="U71" s="14">
        <f t="shared" si="1"/>
        <v>12.175549349349833</v>
      </c>
      <c r="V71" s="14">
        <v>75.703438313815852</v>
      </c>
      <c r="W71" s="16">
        <f t="shared" si="15"/>
        <v>6.797660955653396</v>
      </c>
      <c r="X71" s="16">
        <f t="shared" si="16"/>
        <v>0.26727336021242076</v>
      </c>
      <c r="Y71" s="16">
        <f t="shared" si="17"/>
        <v>0.94253801054619391</v>
      </c>
      <c r="Z71" s="16">
        <f t="shared" si="2"/>
        <v>1.6618151474904692</v>
      </c>
      <c r="AA71" s="16">
        <f t="shared" si="3"/>
        <v>3.6901793225392873E-2</v>
      </c>
      <c r="AB71" s="14">
        <f t="shared" si="18"/>
        <v>12.175549349349833</v>
      </c>
      <c r="AC71" s="16">
        <f t="shared" si="4"/>
        <v>0.54865200136763548</v>
      </c>
      <c r="AD71" s="16">
        <f t="shared" si="5"/>
        <v>0.23517235117283897</v>
      </c>
      <c r="AE71" s="23" t="str">
        <f t="shared" si="19"/>
        <v/>
      </c>
      <c r="AF71" s="23" t="str">
        <f t="shared" si="6"/>
        <v/>
      </c>
      <c r="AG71" s="23" t="str">
        <f t="shared" si="7"/>
        <v/>
      </c>
      <c r="AH71" s="23" t="str">
        <f t="shared" si="20"/>
        <v/>
      </c>
      <c r="AI71" s="23" t="str">
        <f t="shared" si="8"/>
        <v/>
      </c>
      <c r="AJ71" s="23" t="str">
        <f t="shared" si="9"/>
        <v/>
      </c>
      <c r="AK71" s="23" t="str">
        <f t="shared" si="10"/>
        <v/>
      </c>
      <c r="AL71" s="23">
        <f t="shared" si="11"/>
        <v>1000</v>
      </c>
      <c r="AM71" s="52">
        <f t="shared" si="23"/>
        <v>1000</v>
      </c>
      <c r="AN71" s="26">
        <f t="shared" si="21"/>
        <v>-880.26366113366066</v>
      </c>
    </row>
    <row r="72" spans="1:40" x14ac:dyDescent="0.2">
      <c r="A72" s="12">
        <v>44626</v>
      </c>
      <c r="B72" s="6">
        <v>6</v>
      </c>
      <c r="C72" s="6">
        <v>65</v>
      </c>
      <c r="D72" s="6">
        <v>1</v>
      </c>
      <c r="E72" s="6" t="s">
        <v>12</v>
      </c>
      <c r="F72" s="6">
        <v>10</v>
      </c>
      <c r="G72" s="6">
        <v>3</v>
      </c>
      <c r="H72" s="6" t="s">
        <v>19</v>
      </c>
      <c r="I72" s="6">
        <v>1</v>
      </c>
      <c r="J72" s="14">
        <v>7.0034144937273668</v>
      </c>
      <c r="K72" s="14">
        <v>25.732004839801963</v>
      </c>
      <c r="L72" s="14">
        <f t="shared" si="12"/>
        <v>180.21189564773181</v>
      </c>
      <c r="M72" s="16">
        <v>0.37238631754060064</v>
      </c>
      <c r="N72" s="14">
        <f t="shared" si="13"/>
        <v>67.108444197269847</v>
      </c>
      <c r="O72" s="14">
        <f t="shared" si="22"/>
        <v>113.10345145046196</v>
      </c>
      <c r="P72" s="14">
        <v>15.916685535977724</v>
      </c>
      <c r="Q72" s="14">
        <v>5.4443594401224127</v>
      </c>
      <c r="R72" s="14">
        <f t="shared" ref="R72:R135" si="24">IF(E72=$AF$6,$R$2/5,$R$2/11)</f>
        <v>28.571428571428573</v>
      </c>
      <c r="S72" s="14">
        <v>10.380312431642672</v>
      </c>
      <c r="T72" s="14">
        <f t="shared" si="14"/>
        <v>126.14832695341225</v>
      </c>
      <c r="U72" s="14">
        <f t="shared" ref="U72:U135" si="25">T72/J72</f>
        <v>18.012403387861372</v>
      </c>
      <c r="V72" s="14">
        <v>11.774549401877955</v>
      </c>
      <c r="W72" s="16">
        <f t="shared" si="15"/>
        <v>0.88365140360469829</v>
      </c>
      <c r="X72" s="16">
        <f t="shared" si="16"/>
        <v>0.5947925695237537</v>
      </c>
      <c r="Y72" s="16">
        <f t="shared" si="17"/>
        <v>0.53198045362942958</v>
      </c>
      <c r="Z72" s="16">
        <f t="shared" ref="Z72:Z135" si="26">J72/U72</f>
        <v>0.38881066245979118</v>
      </c>
      <c r="AA72" s="16">
        <f t="shared" ref="AA72:AA135" si="27">R72/L72</f>
        <v>0.1585435216068001</v>
      </c>
      <c r="AB72" s="14">
        <f t="shared" si="18"/>
        <v>18.012403387861372</v>
      </c>
      <c r="AC72" s="16">
        <f t="shared" ref="AC72:AC135" si="28">Q72/K72</f>
        <v>0.21157929489042926</v>
      </c>
      <c r="AD72" s="16">
        <f t="shared" ref="AD72:AD135" si="29">P72/L72</f>
        <v>8.8322058201367432E-2</v>
      </c>
      <c r="AE72" s="23" t="str">
        <f t="shared" si="19"/>
        <v/>
      </c>
      <c r="AF72" s="23">
        <f t="shared" ref="AF72:AF135" si="30">IF(E72=$AF$6,$AF$5,"")</f>
        <v>1000</v>
      </c>
      <c r="AG72" s="23" t="str">
        <f t="shared" ref="AG72:AG135" si="31">IF(B72=$AG$6,$AG$5,"")</f>
        <v/>
      </c>
      <c r="AH72" s="23" t="str">
        <f t="shared" si="20"/>
        <v/>
      </c>
      <c r="AI72" s="23" t="str">
        <f t="shared" ref="AI72:AI135" si="32">IF($B72=$AI$6,$AI$5,"")</f>
        <v/>
      </c>
      <c r="AJ72" s="23" t="str">
        <f t="shared" ref="AJ72:AJ135" si="33">IF($B72=$AJ$6,$AJ$5,"")</f>
        <v/>
      </c>
      <c r="AK72" s="23" t="str">
        <f t="shared" ref="AK72:AK135" si="34">IF($B72=$AK$6,$AK$5,"")</f>
        <v/>
      </c>
      <c r="AL72" s="23" t="str">
        <f t="shared" ref="AL72:AL135" si="35">IF($B72=$AL$6,$AL$5,"")</f>
        <v/>
      </c>
      <c r="AM72" s="52">
        <f t="shared" ref="AM72:AM135" si="36">SUM(AE72:AL72)</f>
        <v>1000</v>
      </c>
      <c r="AN72" s="26">
        <f t="shared" ref="AN72:AN135" si="37">O72-AM72</f>
        <v>-886.89654854953801</v>
      </c>
    </row>
    <row r="73" spans="1:40" x14ac:dyDescent="0.2">
      <c r="A73" s="12">
        <v>44627</v>
      </c>
      <c r="B73" s="6">
        <v>7</v>
      </c>
      <c r="C73" s="6">
        <v>66</v>
      </c>
      <c r="D73" s="6">
        <v>2</v>
      </c>
      <c r="E73" s="6" t="s">
        <v>13</v>
      </c>
      <c r="F73" s="6">
        <v>10</v>
      </c>
      <c r="G73" s="6">
        <v>3</v>
      </c>
      <c r="H73" s="6" t="s">
        <v>19</v>
      </c>
      <c r="I73" s="6">
        <v>1</v>
      </c>
      <c r="J73" s="14">
        <v>16.684610157698671</v>
      </c>
      <c r="K73" s="14">
        <v>67.523612041713179</v>
      </c>
      <c r="L73" s="14">
        <f t="shared" ref="L73:L136" si="38">J73*K73</f>
        <v>1126.605143355672</v>
      </c>
      <c r="M73" s="16">
        <v>0.4622645457046754</v>
      </c>
      <c r="N73" s="14">
        <f t="shared" ref="N73:N136" si="39">L73*M73</f>
        <v>520.78961478186045</v>
      </c>
      <c r="O73" s="14">
        <f t="shared" ref="O73:O136" si="40">L73-N73</f>
        <v>605.81552857381155</v>
      </c>
      <c r="P73" s="14">
        <v>38.367862344882404</v>
      </c>
      <c r="Q73" s="14">
        <v>6.9538732860306363</v>
      </c>
      <c r="R73" s="14">
        <f t="shared" si="24"/>
        <v>12.987012987012987</v>
      </c>
      <c r="S73" s="14">
        <v>26.288108195173095</v>
      </c>
      <c r="T73" s="14">
        <f t="shared" ref="T73:T136" si="41">L73*0.7</f>
        <v>788.6236003489704</v>
      </c>
      <c r="U73" s="14">
        <f t="shared" si="25"/>
        <v>47.266528429199226</v>
      </c>
      <c r="V73" s="14">
        <v>29.590964714593461</v>
      </c>
      <c r="W73" s="16">
        <f t="shared" ref="W73:W136" si="42">P73/U73</f>
        <v>0.81173429951289566</v>
      </c>
      <c r="X73" s="16">
        <f t="shared" ref="X73:X136" si="43">J73/V73</f>
        <v>0.56384137248050836</v>
      </c>
      <c r="Y73" s="16">
        <f t="shared" ref="Y73:Y136" si="44">N73/T73</f>
        <v>0.66037792243525062</v>
      </c>
      <c r="Z73" s="16">
        <f t="shared" si="26"/>
        <v>0.35298996376877212</v>
      </c>
      <c r="AA73" s="16">
        <f t="shared" si="27"/>
        <v>1.1527564083659571E-2</v>
      </c>
      <c r="AB73" s="14">
        <f t="shared" ref="AB73:AB136" si="45">T73/J73</f>
        <v>47.266528429199226</v>
      </c>
      <c r="AC73" s="16">
        <f t="shared" si="28"/>
        <v>0.10298432023652457</v>
      </c>
      <c r="AD73" s="16">
        <f t="shared" si="29"/>
        <v>3.4056175378891891E-2</v>
      </c>
      <c r="AE73" s="23" t="str">
        <f t="shared" ref="AE73:AE136" si="46">IF(B73=$AE$6,$AE$5, "")</f>
        <v/>
      </c>
      <c r="AF73" s="23" t="str">
        <f t="shared" si="30"/>
        <v/>
      </c>
      <c r="AG73" s="23" t="str">
        <f t="shared" si="31"/>
        <v/>
      </c>
      <c r="AH73" s="23" t="str">
        <f t="shared" ref="AH73:AH136" si="47">IF(B73=$AH$6,$AH$5,"")</f>
        <v/>
      </c>
      <c r="AI73" s="23" t="str">
        <f t="shared" si="32"/>
        <v/>
      </c>
      <c r="AJ73" s="23" t="str">
        <f t="shared" si="33"/>
        <v/>
      </c>
      <c r="AK73" s="23" t="str">
        <f t="shared" si="34"/>
        <v/>
      </c>
      <c r="AL73" s="23" t="str">
        <f t="shared" si="35"/>
        <v/>
      </c>
      <c r="AM73" s="52">
        <f t="shared" si="36"/>
        <v>0</v>
      </c>
      <c r="AN73" s="26">
        <f t="shared" si="37"/>
        <v>605.81552857381155</v>
      </c>
    </row>
    <row r="74" spans="1:40" x14ac:dyDescent="0.2">
      <c r="A74" s="12">
        <v>44628</v>
      </c>
      <c r="B74" s="6">
        <v>8</v>
      </c>
      <c r="C74" s="6">
        <v>67</v>
      </c>
      <c r="D74" s="6">
        <v>3</v>
      </c>
      <c r="E74" s="6" t="s">
        <v>14</v>
      </c>
      <c r="F74" s="6">
        <v>10</v>
      </c>
      <c r="G74" s="6">
        <v>3</v>
      </c>
      <c r="H74" s="6" t="s">
        <v>19</v>
      </c>
      <c r="I74" s="6">
        <v>1</v>
      </c>
      <c r="J74" s="14">
        <v>35.269549938598452</v>
      </c>
      <c r="K74" s="14">
        <v>64.602618117621134</v>
      </c>
      <c r="L74" s="14">
        <f t="shared" si="38"/>
        <v>2278.5052658636437</v>
      </c>
      <c r="M74" s="16">
        <v>0.87392531386083316</v>
      </c>
      <c r="N74" s="14">
        <f t="shared" si="39"/>
        <v>1991.243429603446</v>
      </c>
      <c r="O74" s="14">
        <f t="shared" si="40"/>
        <v>287.2618362601977</v>
      </c>
      <c r="P74" s="14">
        <v>30.663964952230462</v>
      </c>
      <c r="Q74" s="14">
        <v>15.47853865430438</v>
      </c>
      <c r="R74" s="14">
        <f t="shared" si="24"/>
        <v>12.987012987012987</v>
      </c>
      <c r="S74" s="14">
        <v>35.49439648024623</v>
      </c>
      <c r="T74" s="14">
        <f t="shared" si="41"/>
        <v>1594.9536861045506</v>
      </c>
      <c r="U74" s="14">
        <f t="shared" si="25"/>
        <v>45.221832682334792</v>
      </c>
      <c r="V74" s="14">
        <v>28.958006611499719</v>
      </c>
      <c r="W74" s="16">
        <f t="shared" si="42"/>
        <v>0.67807877596718591</v>
      </c>
      <c r="X74" s="16">
        <f t="shared" si="43"/>
        <v>1.2179550343977168</v>
      </c>
      <c r="Y74" s="16">
        <f t="shared" si="44"/>
        <v>1.2484647340869046</v>
      </c>
      <c r="Z74" s="16">
        <f t="shared" si="26"/>
        <v>0.77992305589100897</v>
      </c>
      <c r="AA74" s="16">
        <f t="shared" si="27"/>
        <v>5.6997950286019616E-3</v>
      </c>
      <c r="AB74" s="14">
        <f t="shared" si="45"/>
        <v>45.221832682334792</v>
      </c>
      <c r="AC74" s="16">
        <f t="shared" si="28"/>
        <v>0.23959615113620952</v>
      </c>
      <c r="AD74" s="16">
        <f t="shared" si="29"/>
        <v>1.3457930254379994E-2</v>
      </c>
      <c r="AE74" s="23" t="str">
        <f t="shared" si="46"/>
        <v/>
      </c>
      <c r="AF74" s="23" t="str">
        <f t="shared" si="30"/>
        <v/>
      </c>
      <c r="AG74" s="23" t="str">
        <f t="shared" si="31"/>
        <v/>
      </c>
      <c r="AH74" s="23" t="str">
        <f t="shared" si="47"/>
        <v/>
      </c>
      <c r="AI74" s="23" t="str">
        <f t="shared" si="32"/>
        <v/>
      </c>
      <c r="AJ74" s="23" t="str">
        <f t="shared" si="33"/>
        <v/>
      </c>
      <c r="AK74" s="23" t="str">
        <f t="shared" si="34"/>
        <v/>
      </c>
      <c r="AL74" s="23" t="str">
        <f t="shared" si="35"/>
        <v/>
      </c>
      <c r="AM74" s="52">
        <f t="shared" si="36"/>
        <v>0</v>
      </c>
      <c r="AN74" s="26">
        <f t="shared" si="37"/>
        <v>287.2618362601977</v>
      </c>
    </row>
    <row r="75" spans="1:40" x14ac:dyDescent="0.2">
      <c r="A75" s="12">
        <v>44629</v>
      </c>
      <c r="B75" s="6">
        <v>9</v>
      </c>
      <c r="C75" s="6">
        <v>68</v>
      </c>
      <c r="D75" s="6">
        <v>4</v>
      </c>
      <c r="E75" s="6" t="s">
        <v>15</v>
      </c>
      <c r="F75" s="6">
        <v>10</v>
      </c>
      <c r="G75" s="6">
        <v>3</v>
      </c>
      <c r="H75" s="6" t="s">
        <v>19</v>
      </c>
      <c r="I75" s="6">
        <v>1</v>
      </c>
      <c r="J75" s="14">
        <v>20.438733784298105</v>
      </c>
      <c r="K75" s="14">
        <v>54.233331450433624</v>
      </c>
      <c r="L75" s="14">
        <f t="shared" si="38"/>
        <v>1108.4606237510147</v>
      </c>
      <c r="M75" s="16">
        <v>0.65789575987448501</v>
      </c>
      <c r="N75" s="14">
        <f t="shared" si="39"/>
        <v>729.25154435361947</v>
      </c>
      <c r="O75" s="14">
        <f t="shared" si="40"/>
        <v>379.20907939739527</v>
      </c>
      <c r="P75" s="14">
        <v>51.803932131541544</v>
      </c>
      <c r="Q75" s="14">
        <v>16.208370084171293</v>
      </c>
      <c r="R75" s="14">
        <f t="shared" si="24"/>
        <v>12.987012987012987</v>
      </c>
      <c r="S75" s="14">
        <v>32.399206303090068</v>
      </c>
      <c r="T75" s="14">
        <f t="shared" si="41"/>
        <v>775.92243662571025</v>
      </c>
      <c r="U75" s="14">
        <f t="shared" si="25"/>
        <v>37.963332015303536</v>
      </c>
      <c r="V75" s="14">
        <v>32.6101165414074</v>
      </c>
      <c r="W75" s="16">
        <f t="shared" si="42"/>
        <v>1.3645781173965097</v>
      </c>
      <c r="X75" s="16">
        <f t="shared" si="43"/>
        <v>0.62676052562846807</v>
      </c>
      <c r="Y75" s="16">
        <f t="shared" si="44"/>
        <v>0.93985108553497865</v>
      </c>
      <c r="Z75" s="16">
        <f t="shared" si="26"/>
        <v>0.53838092441566965</v>
      </c>
      <c r="AA75" s="16">
        <f t="shared" si="27"/>
        <v>1.1716260107702449E-2</v>
      </c>
      <c r="AB75" s="14">
        <f t="shared" si="45"/>
        <v>37.963332015303536</v>
      </c>
      <c r="AC75" s="16">
        <f t="shared" si="28"/>
        <v>0.29886362594163846</v>
      </c>
      <c r="AD75" s="16">
        <f t="shared" si="29"/>
        <v>4.6735022446027702E-2</v>
      </c>
      <c r="AE75" s="23" t="str">
        <f t="shared" si="46"/>
        <v/>
      </c>
      <c r="AF75" s="23" t="str">
        <f t="shared" si="30"/>
        <v/>
      </c>
      <c r="AG75" s="23" t="str">
        <f t="shared" si="31"/>
        <v/>
      </c>
      <c r="AH75" s="23" t="str">
        <f t="shared" si="47"/>
        <v/>
      </c>
      <c r="AI75" s="23" t="str">
        <f t="shared" si="32"/>
        <v/>
      </c>
      <c r="AJ75" s="23" t="str">
        <f t="shared" si="33"/>
        <v/>
      </c>
      <c r="AK75" s="23" t="str">
        <f t="shared" si="34"/>
        <v/>
      </c>
      <c r="AL75" s="23" t="str">
        <f t="shared" si="35"/>
        <v/>
      </c>
      <c r="AM75" s="52">
        <f t="shared" si="36"/>
        <v>0</v>
      </c>
      <c r="AN75" s="26">
        <f t="shared" si="37"/>
        <v>379.20907939739527</v>
      </c>
    </row>
    <row r="76" spans="1:40" x14ac:dyDescent="0.2">
      <c r="A76" s="12">
        <v>44630</v>
      </c>
      <c r="B76" s="6">
        <v>10</v>
      </c>
      <c r="C76" s="6">
        <v>69</v>
      </c>
      <c r="D76" s="6">
        <v>5</v>
      </c>
      <c r="E76" s="6" t="s">
        <v>16</v>
      </c>
      <c r="F76" s="6">
        <v>10</v>
      </c>
      <c r="G76" s="6">
        <v>3</v>
      </c>
      <c r="H76" s="6" t="s">
        <v>19</v>
      </c>
      <c r="I76" s="6">
        <v>1</v>
      </c>
      <c r="J76" s="14">
        <v>15.006482852914182</v>
      </c>
      <c r="K76" s="14">
        <v>102.07876410447851</v>
      </c>
      <c r="L76" s="14">
        <f t="shared" si="38"/>
        <v>1531.8432231805284</v>
      </c>
      <c r="M76" s="16">
        <v>0.67079285254727017</v>
      </c>
      <c r="N76" s="14">
        <f t="shared" si="39"/>
        <v>1027.5494853324712</v>
      </c>
      <c r="O76" s="14">
        <f t="shared" si="40"/>
        <v>504.29373784805716</v>
      </c>
      <c r="P76" s="14">
        <v>35.098758935431661</v>
      </c>
      <c r="Q76" s="14">
        <v>8.9342019860922353</v>
      </c>
      <c r="R76" s="14">
        <f t="shared" si="24"/>
        <v>12.987012987012987</v>
      </c>
      <c r="S76" s="14">
        <v>25.096421540376699</v>
      </c>
      <c r="T76" s="14">
        <f t="shared" si="41"/>
        <v>1072.2902562263698</v>
      </c>
      <c r="U76" s="14">
        <f t="shared" si="25"/>
        <v>71.455134873134952</v>
      </c>
      <c r="V76" s="14">
        <v>34.466739466638231</v>
      </c>
      <c r="W76" s="16">
        <f t="shared" si="42"/>
        <v>0.49119995361771784</v>
      </c>
      <c r="X76" s="16">
        <f t="shared" si="43"/>
        <v>0.4353902656629175</v>
      </c>
      <c r="Y76" s="16">
        <f t="shared" si="44"/>
        <v>0.95827550363895742</v>
      </c>
      <c r="Z76" s="16">
        <f t="shared" si="26"/>
        <v>0.21001265870615804</v>
      </c>
      <c r="AA76" s="16">
        <f t="shared" si="27"/>
        <v>8.478030121155852E-3</v>
      </c>
      <c r="AB76" s="14">
        <f t="shared" si="45"/>
        <v>71.455134873134952</v>
      </c>
      <c r="AC76" s="16">
        <f t="shared" si="28"/>
        <v>8.7522630827975165E-2</v>
      </c>
      <c r="AD76" s="16">
        <f t="shared" si="29"/>
        <v>2.2912761831172888E-2</v>
      </c>
      <c r="AE76" s="23" t="str">
        <f t="shared" si="46"/>
        <v/>
      </c>
      <c r="AF76" s="23" t="str">
        <f t="shared" si="30"/>
        <v/>
      </c>
      <c r="AG76" s="23" t="str">
        <f t="shared" si="31"/>
        <v/>
      </c>
      <c r="AH76" s="23">
        <f t="shared" si="47"/>
        <v>300</v>
      </c>
      <c r="AI76" s="23" t="str">
        <f t="shared" si="32"/>
        <v/>
      </c>
      <c r="AJ76" s="23" t="str">
        <f t="shared" si="33"/>
        <v/>
      </c>
      <c r="AK76" s="23" t="str">
        <f t="shared" si="34"/>
        <v/>
      </c>
      <c r="AL76" s="23" t="str">
        <f t="shared" si="35"/>
        <v/>
      </c>
      <c r="AM76" s="52">
        <f t="shared" si="36"/>
        <v>300</v>
      </c>
      <c r="AN76" s="26">
        <f t="shared" si="37"/>
        <v>204.29373784805716</v>
      </c>
    </row>
    <row r="77" spans="1:40" x14ac:dyDescent="0.2">
      <c r="A77" s="12">
        <v>44631</v>
      </c>
      <c r="B77" s="6">
        <v>11</v>
      </c>
      <c r="C77" s="6">
        <v>70</v>
      </c>
      <c r="D77" s="6">
        <v>6</v>
      </c>
      <c r="E77" s="6" t="s">
        <v>17</v>
      </c>
      <c r="F77" s="6">
        <v>10</v>
      </c>
      <c r="G77" s="6">
        <v>3</v>
      </c>
      <c r="H77" s="6" t="s">
        <v>19</v>
      </c>
      <c r="I77" s="6">
        <v>1</v>
      </c>
      <c r="J77" s="14">
        <v>26.040405064199287</v>
      </c>
      <c r="K77" s="14">
        <v>66.010709585516651</v>
      </c>
      <c r="L77" s="14">
        <f t="shared" si="38"/>
        <v>1718.9456161820763</v>
      </c>
      <c r="M77" s="16">
        <v>0.75896636233289594</v>
      </c>
      <c r="N77" s="14">
        <f t="shared" si="39"/>
        <v>1304.6219013617888</v>
      </c>
      <c r="O77" s="14">
        <f t="shared" si="40"/>
        <v>414.32371482028748</v>
      </c>
      <c r="P77" s="14">
        <v>27.232528390354645</v>
      </c>
      <c r="Q77" s="14">
        <v>14.319482116731534</v>
      </c>
      <c r="R77" s="14">
        <f t="shared" si="24"/>
        <v>12.987012987012987</v>
      </c>
      <c r="S77" s="14">
        <v>31.006297833483824</v>
      </c>
      <c r="T77" s="14">
        <f t="shared" si="41"/>
        <v>1203.2619313274533</v>
      </c>
      <c r="U77" s="14">
        <f t="shared" si="25"/>
        <v>46.207496709861651</v>
      </c>
      <c r="V77" s="14">
        <v>22.951637216122926</v>
      </c>
      <c r="W77" s="16">
        <f t="shared" si="42"/>
        <v>0.58935303423486807</v>
      </c>
      <c r="X77" s="16">
        <f t="shared" si="43"/>
        <v>1.1345772338152236</v>
      </c>
      <c r="Y77" s="16">
        <f t="shared" si="44"/>
        <v>1.0842376604755657</v>
      </c>
      <c r="Z77" s="16">
        <f t="shared" si="26"/>
        <v>0.56355368540537532</v>
      </c>
      <c r="AA77" s="16">
        <f t="shared" si="27"/>
        <v>7.5552204006652879E-3</v>
      </c>
      <c r="AB77" s="14">
        <f t="shared" si="45"/>
        <v>46.207496709861651</v>
      </c>
      <c r="AC77" s="16">
        <f t="shared" si="28"/>
        <v>0.21692665033665018</v>
      </c>
      <c r="AD77" s="16">
        <f t="shared" si="29"/>
        <v>1.5842577062350812E-2</v>
      </c>
      <c r="AE77" s="23" t="str">
        <f t="shared" si="46"/>
        <v/>
      </c>
      <c r="AF77" s="23" t="str">
        <f t="shared" si="30"/>
        <v/>
      </c>
      <c r="AG77" s="23" t="str">
        <f t="shared" si="31"/>
        <v/>
      </c>
      <c r="AH77" s="23" t="str">
        <f t="shared" si="47"/>
        <v/>
      </c>
      <c r="AI77" s="23" t="str">
        <f t="shared" si="32"/>
        <v/>
      </c>
      <c r="AJ77" s="23" t="str">
        <f t="shared" si="33"/>
        <v/>
      </c>
      <c r="AK77" s="23" t="str">
        <f t="shared" si="34"/>
        <v/>
      </c>
      <c r="AL77" s="23" t="str">
        <f t="shared" si="35"/>
        <v/>
      </c>
      <c r="AM77" s="52">
        <f t="shared" si="36"/>
        <v>0</v>
      </c>
      <c r="AN77" s="26">
        <f t="shared" si="37"/>
        <v>414.32371482028748</v>
      </c>
    </row>
    <row r="78" spans="1:40" x14ac:dyDescent="0.2">
      <c r="A78" s="12">
        <v>44632</v>
      </c>
      <c r="B78" s="6">
        <v>12</v>
      </c>
      <c r="C78" s="6">
        <v>71</v>
      </c>
      <c r="D78" s="6">
        <v>7</v>
      </c>
      <c r="E78" s="6" t="s">
        <v>10</v>
      </c>
      <c r="F78" s="6">
        <v>10</v>
      </c>
      <c r="G78" s="6">
        <v>3</v>
      </c>
      <c r="H78" s="6" t="s">
        <v>19</v>
      </c>
      <c r="I78" s="6">
        <v>1</v>
      </c>
      <c r="J78" s="14">
        <v>4.7657465551176026</v>
      </c>
      <c r="K78" s="14">
        <v>7.5623885887999638</v>
      </c>
      <c r="L78" s="14">
        <f t="shared" si="38"/>
        <v>36.040427365534093</v>
      </c>
      <c r="M78" s="16">
        <v>0.60201037487311271</v>
      </c>
      <c r="N78" s="14">
        <f t="shared" si="39"/>
        <v>21.696711188912371</v>
      </c>
      <c r="O78" s="14">
        <f t="shared" si="40"/>
        <v>14.343716176621722</v>
      </c>
      <c r="P78" s="14">
        <v>27.976953268479082</v>
      </c>
      <c r="Q78" s="14">
        <v>17.602229534307593</v>
      </c>
      <c r="R78" s="14">
        <f t="shared" si="24"/>
        <v>12.987012987012987</v>
      </c>
      <c r="S78" s="14">
        <v>39.595781466877938</v>
      </c>
      <c r="T78" s="14">
        <f t="shared" si="41"/>
        <v>25.228299155873863</v>
      </c>
      <c r="U78" s="14">
        <f t="shared" si="25"/>
        <v>5.2936720121599734</v>
      </c>
      <c r="V78" s="14">
        <v>29.964075619932615</v>
      </c>
      <c r="W78" s="16">
        <f t="shared" si="42"/>
        <v>5.2849804831530669</v>
      </c>
      <c r="X78" s="16">
        <f t="shared" si="43"/>
        <v>0.15904867600678949</v>
      </c>
      <c r="Y78" s="16">
        <f t="shared" si="44"/>
        <v>0.860014821247304</v>
      </c>
      <c r="Z78" s="16">
        <f t="shared" si="26"/>
        <v>0.90027235238041092</v>
      </c>
      <c r="AA78" s="16">
        <f t="shared" si="27"/>
        <v>0.36034569888126877</v>
      </c>
      <c r="AB78" s="14">
        <f t="shared" si="45"/>
        <v>5.2936720121599734</v>
      </c>
      <c r="AC78" s="16">
        <f t="shared" si="28"/>
        <v>2.3276018320953273</v>
      </c>
      <c r="AD78" s="16">
        <f t="shared" si="29"/>
        <v>0.77626585791359926</v>
      </c>
      <c r="AE78" s="23" t="str">
        <f t="shared" si="46"/>
        <v/>
      </c>
      <c r="AF78" s="23" t="str">
        <f t="shared" si="30"/>
        <v/>
      </c>
      <c r="AG78" s="23" t="str">
        <f t="shared" si="31"/>
        <v/>
      </c>
      <c r="AH78" s="23" t="str">
        <f t="shared" si="47"/>
        <v/>
      </c>
      <c r="AI78" s="23" t="str">
        <f t="shared" si="32"/>
        <v/>
      </c>
      <c r="AJ78" s="23">
        <f t="shared" si="33"/>
        <v>480</v>
      </c>
      <c r="AK78" s="23" t="str">
        <f t="shared" si="34"/>
        <v/>
      </c>
      <c r="AL78" s="23" t="str">
        <f t="shared" si="35"/>
        <v/>
      </c>
      <c r="AM78" s="52">
        <f t="shared" si="36"/>
        <v>480</v>
      </c>
      <c r="AN78" s="26">
        <f t="shared" si="37"/>
        <v>-465.65628382337826</v>
      </c>
    </row>
    <row r="79" spans="1:40" x14ac:dyDescent="0.2">
      <c r="A79" s="12">
        <v>44633</v>
      </c>
      <c r="B79" s="6">
        <v>13</v>
      </c>
      <c r="C79" s="6">
        <v>72</v>
      </c>
      <c r="D79" s="6">
        <v>1</v>
      </c>
      <c r="E79" s="6" t="s">
        <v>12</v>
      </c>
      <c r="F79" s="6">
        <v>11</v>
      </c>
      <c r="G79" s="6">
        <v>3</v>
      </c>
      <c r="H79" s="6" t="s">
        <v>19</v>
      </c>
      <c r="I79" s="6">
        <v>1</v>
      </c>
      <c r="J79" s="14">
        <v>9.896644420754857</v>
      </c>
      <c r="K79" s="14">
        <v>34.840723364457425</v>
      </c>
      <c r="L79" s="14">
        <f t="shared" si="38"/>
        <v>344.80625049992096</v>
      </c>
      <c r="M79" s="16">
        <v>0.22558080990506282</v>
      </c>
      <c r="N79" s="14">
        <f t="shared" si="39"/>
        <v>77.781673248100148</v>
      </c>
      <c r="O79" s="14">
        <f t="shared" si="40"/>
        <v>267.0245772518208</v>
      </c>
      <c r="P79" s="14">
        <v>7.7931436843644502</v>
      </c>
      <c r="Q79" s="14">
        <v>6.6352154257160878</v>
      </c>
      <c r="R79" s="14">
        <f t="shared" si="24"/>
        <v>28.571428571428573</v>
      </c>
      <c r="S79" s="14">
        <v>13.535116138769464</v>
      </c>
      <c r="T79" s="14">
        <f t="shared" si="41"/>
        <v>241.36437534994465</v>
      </c>
      <c r="U79" s="14">
        <f t="shared" si="25"/>
        <v>24.388506355120196</v>
      </c>
      <c r="V79" s="14">
        <v>13.427652783710002</v>
      </c>
      <c r="W79" s="16">
        <f t="shared" si="42"/>
        <v>0.31954165502752629</v>
      </c>
      <c r="X79" s="16">
        <f t="shared" si="43"/>
        <v>0.73703457932432903</v>
      </c>
      <c r="Y79" s="16">
        <f t="shared" si="44"/>
        <v>0.32225829986437549</v>
      </c>
      <c r="Z79" s="16">
        <f t="shared" si="26"/>
        <v>0.40579132959805575</v>
      </c>
      <c r="AA79" s="16">
        <f t="shared" si="27"/>
        <v>8.2862269839957911E-2</v>
      </c>
      <c r="AB79" s="14">
        <f t="shared" si="45"/>
        <v>24.388506355120196</v>
      </c>
      <c r="AC79" s="16">
        <f t="shared" si="28"/>
        <v>0.19044424985977665</v>
      </c>
      <c r="AD79" s="16">
        <f t="shared" si="29"/>
        <v>2.2601515120637978E-2</v>
      </c>
      <c r="AE79" s="23" t="str">
        <f t="shared" si="46"/>
        <v/>
      </c>
      <c r="AF79" s="23">
        <f t="shared" si="30"/>
        <v>1000</v>
      </c>
      <c r="AG79" s="23" t="str">
        <f t="shared" si="31"/>
        <v/>
      </c>
      <c r="AH79" s="23" t="str">
        <f t="shared" si="47"/>
        <v/>
      </c>
      <c r="AI79" s="23" t="str">
        <f t="shared" si="32"/>
        <v/>
      </c>
      <c r="AJ79" s="23" t="str">
        <f t="shared" si="33"/>
        <v/>
      </c>
      <c r="AK79" s="23" t="str">
        <f t="shared" si="34"/>
        <v/>
      </c>
      <c r="AL79" s="23" t="str">
        <f t="shared" si="35"/>
        <v/>
      </c>
      <c r="AM79" s="52">
        <f t="shared" si="36"/>
        <v>1000</v>
      </c>
      <c r="AN79" s="26">
        <f t="shared" si="37"/>
        <v>-732.9754227481792</v>
      </c>
    </row>
    <row r="80" spans="1:40" x14ac:dyDescent="0.2">
      <c r="A80" s="12">
        <v>44634</v>
      </c>
      <c r="B80" s="6">
        <v>14</v>
      </c>
      <c r="C80" s="6">
        <v>73</v>
      </c>
      <c r="D80" s="6">
        <v>2</v>
      </c>
      <c r="E80" s="6" t="s">
        <v>13</v>
      </c>
      <c r="F80" s="6">
        <v>11</v>
      </c>
      <c r="G80" s="6">
        <v>3</v>
      </c>
      <c r="H80" s="6" t="s">
        <v>19</v>
      </c>
      <c r="I80" s="6">
        <v>1</v>
      </c>
      <c r="J80" s="14">
        <v>15.756243031757851</v>
      </c>
      <c r="K80" s="14">
        <v>71.998391494313282</v>
      </c>
      <c r="L80" s="14">
        <f t="shared" si="38"/>
        <v>1134.4241542800473</v>
      </c>
      <c r="M80" s="16">
        <v>0.52596374739752305</v>
      </c>
      <c r="N80" s="14">
        <f t="shared" si="39"/>
        <v>596.66597932339948</v>
      </c>
      <c r="O80" s="14">
        <f t="shared" si="40"/>
        <v>537.75817495664785</v>
      </c>
      <c r="P80" s="14">
        <v>40.210191807773285</v>
      </c>
      <c r="Q80" s="14">
        <v>12.53534279385989</v>
      </c>
      <c r="R80" s="14">
        <f t="shared" si="24"/>
        <v>12.987012987012987</v>
      </c>
      <c r="S80" s="14">
        <v>39.321187169039902</v>
      </c>
      <c r="T80" s="14">
        <f t="shared" si="41"/>
        <v>794.09690799603311</v>
      </c>
      <c r="U80" s="14">
        <f t="shared" si="25"/>
        <v>50.398874046019294</v>
      </c>
      <c r="V80" s="14">
        <v>30.942255610777288</v>
      </c>
      <c r="W80" s="16">
        <f t="shared" si="42"/>
        <v>0.79783909003715625</v>
      </c>
      <c r="X80" s="16">
        <f t="shared" si="43"/>
        <v>0.5092144292890497</v>
      </c>
      <c r="Y80" s="16">
        <f t="shared" si="44"/>
        <v>0.75137678199646141</v>
      </c>
      <c r="Z80" s="16">
        <f t="shared" si="26"/>
        <v>0.31263085396254686</v>
      </c>
      <c r="AA80" s="16">
        <f t="shared" si="27"/>
        <v>1.1448110425024478E-2</v>
      </c>
      <c r="AB80" s="14">
        <f t="shared" si="45"/>
        <v>50.398874046019294</v>
      </c>
      <c r="AC80" s="16">
        <f t="shared" si="28"/>
        <v>0.17410587283536719</v>
      </c>
      <c r="AD80" s="16">
        <f t="shared" si="29"/>
        <v>3.5445465134063846E-2</v>
      </c>
      <c r="AE80" s="23" t="str">
        <f t="shared" si="46"/>
        <v/>
      </c>
      <c r="AF80" s="23" t="str">
        <f t="shared" si="30"/>
        <v/>
      </c>
      <c r="AG80" s="23" t="str">
        <f t="shared" si="31"/>
        <v/>
      </c>
      <c r="AH80" s="23" t="str">
        <f t="shared" si="47"/>
        <v/>
      </c>
      <c r="AI80" s="23" t="str">
        <f t="shared" si="32"/>
        <v/>
      </c>
      <c r="AJ80" s="23" t="str">
        <f t="shared" si="33"/>
        <v/>
      </c>
      <c r="AK80" s="23" t="str">
        <f t="shared" si="34"/>
        <v/>
      </c>
      <c r="AL80" s="23" t="str">
        <f t="shared" si="35"/>
        <v/>
      </c>
      <c r="AM80" s="52">
        <f t="shared" si="36"/>
        <v>0</v>
      </c>
      <c r="AN80" s="26">
        <f t="shared" si="37"/>
        <v>537.75817495664785</v>
      </c>
    </row>
    <row r="81" spans="1:40" x14ac:dyDescent="0.2">
      <c r="A81" s="12">
        <v>44635</v>
      </c>
      <c r="B81" s="6">
        <v>15</v>
      </c>
      <c r="C81" s="6">
        <v>74</v>
      </c>
      <c r="D81" s="6">
        <v>3</v>
      </c>
      <c r="E81" s="6" t="s">
        <v>14</v>
      </c>
      <c r="F81" s="6">
        <v>11</v>
      </c>
      <c r="G81" s="6">
        <v>3</v>
      </c>
      <c r="H81" s="6" t="s">
        <v>19</v>
      </c>
      <c r="I81" s="6">
        <v>1</v>
      </c>
      <c r="J81" s="14">
        <v>22.110318358519649</v>
      </c>
      <c r="K81" s="14">
        <v>111.36835688023415</v>
      </c>
      <c r="L81" s="14">
        <f t="shared" si="38"/>
        <v>2462.3898256872089</v>
      </c>
      <c r="M81" s="16">
        <v>0.39871578403874586</v>
      </c>
      <c r="N81" s="14">
        <f t="shared" si="39"/>
        <v>981.79368995790628</v>
      </c>
      <c r="O81" s="14">
        <f t="shared" si="40"/>
        <v>1480.5961357293027</v>
      </c>
      <c r="P81" s="14">
        <v>32.103164581784753</v>
      </c>
      <c r="Q81" s="14">
        <v>15.953511651472407</v>
      </c>
      <c r="R81" s="14">
        <f t="shared" si="24"/>
        <v>12.987012987012987</v>
      </c>
      <c r="S81" s="14">
        <v>36.514442277820642</v>
      </c>
      <c r="T81" s="14">
        <f t="shared" si="41"/>
        <v>1723.6728779810462</v>
      </c>
      <c r="U81" s="14">
        <f t="shared" si="25"/>
        <v>77.9578498161639</v>
      </c>
      <c r="V81" s="14">
        <v>33.888543181072613</v>
      </c>
      <c r="W81" s="16">
        <f t="shared" si="42"/>
        <v>0.41180156530084844</v>
      </c>
      <c r="X81" s="16">
        <f t="shared" si="43"/>
        <v>0.65244227939750077</v>
      </c>
      <c r="Y81" s="16">
        <f t="shared" si="44"/>
        <v>0.56959397719820837</v>
      </c>
      <c r="Z81" s="16">
        <f t="shared" si="26"/>
        <v>0.28361888393098372</v>
      </c>
      <c r="AA81" s="16">
        <f t="shared" si="27"/>
        <v>5.2741498732389149E-3</v>
      </c>
      <c r="AB81" s="14">
        <f t="shared" si="45"/>
        <v>77.9578498161639</v>
      </c>
      <c r="AC81" s="16">
        <f t="shared" si="28"/>
        <v>0.14324995086915809</v>
      </c>
      <c r="AD81" s="16">
        <f t="shared" si="29"/>
        <v>1.3037401408538282E-2</v>
      </c>
      <c r="AE81" s="23" t="str">
        <f t="shared" si="46"/>
        <v/>
      </c>
      <c r="AF81" s="23" t="str">
        <f t="shared" si="30"/>
        <v/>
      </c>
      <c r="AG81" s="23">
        <f t="shared" si="31"/>
        <v>300</v>
      </c>
      <c r="AH81" s="23" t="str">
        <f t="shared" si="47"/>
        <v/>
      </c>
      <c r="AI81" s="23" t="str">
        <f t="shared" si="32"/>
        <v/>
      </c>
      <c r="AJ81" s="23" t="str">
        <f t="shared" si="33"/>
        <v/>
      </c>
      <c r="AK81" s="23" t="str">
        <f t="shared" si="34"/>
        <v/>
      </c>
      <c r="AL81" s="23" t="str">
        <f t="shared" si="35"/>
        <v/>
      </c>
      <c r="AM81" s="52">
        <f t="shared" si="36"/>
        <v>300</v>
      </c>
      <c r="AN81" s="26">
        <f t="shared" si="37"/>
        <v>1180.5961357293027</v>
      </c>
    </row>
    <row r="82" spans="1:40" x14ac:dyDescent="0.2">
      <c r="A82" s="12">
        <v>44636</v>
      </c>
      <c r="B82" s="6">
        <v>16</v>
      </c>
      <c r="C82" s="6">
        <v>75</v>
      </c>
      <c r="D82" s="6">
        <v>4</v>
      </c>
      <c r="E82" s="6" t="s">
        <v>15</v>
      </c>
      <c r="F82" s="6">
        <v>11</v>
      </c>
      <c r="G82" s="6">
        <v>3</v>
      </c>
      <c r="H82" s="6" t="s">
        <v>19</v>
      </c>
      <c r="I82" s="6">
        <v>1</v>
      </c>
      <c r="J82" s="14">
        <v>12.737707602066545</v>
      </c>
      <c r="K82" s="14">
        <v>49.869675740040989</v>
      </c>
      <c r="L82" s="14">
        <f t="shared" si="38"/>
        <v>635.22534778651368</v>
      </c>
      <c r="M82" s="16">
        <v>0.78792640033279571</v>
      </c>
      <c r="N82" s="14">
        <f t="shared" si="39"/>
        <v>500.51082168157598</v>
      </c>
      <c r="O82" s="14">
        <f t="shared" si="40"/>
        <v>134.7145261049377</v>
      </c>
      <c r="P82" s="14">
        <v>29.695225391274949</v>
      </c>
      <c r="Q82" s="14">
        <v>9.8944265924877843</v>
      </c>
      <c r="R82" s="14">
        <f t="shared" si="24"/>
        <v>12.987012987012987</v>
      </c>
      <c r="S82" s="14">
        <v>36.591067410343008</v>
      </c>
      <c r="T82" s="14">
        <f t="shared" si="41"/>
        <v>444.65774345055956</v>
      </c>
      <c r="U82" s="14">
        <f t="shared" si="25"/>
        <v>34.908773018028697</v>
      </c>
      <c r="V82" s="14">
        <v>29.776380650950177</v>
      </c>
      <c r="W82" s="16">
        <f t="shared" si="42"/>
        <v>0.85065222360977277</v>
      </c>
      <c r="X82" s="16">
        <f t="shared" si="43"/>
        <v>0.42777890810111197</v>
      </c>
      <c r="Y82" s="16">
        <f t="shared" si="44"/>
        <v>1.1256091433325655</v>
      </c>
      <c r="Z82" s="16">
        <f t="shared" si="26"/>
        <v>0.36488557175836955</v>
      </c>
      <c r="AA82" s="16">
        <f t="shared" si="27"/>
        <v>2.0444733561510296E-2</v>
      </c>
      <c r="AB82" s="14">
        <f t="shared" si="45"/>
        <v>34.908773018028697</v>
      </c>
      <c r="AC82" s="16">
        <f t="shared" si="28"/>
        <v>0.19840567330064721</v>
      </c>
      <c r="AD82" s="16">
        <f t="shared" si="29"/>
        <v>4.6747544780368099E-2</v>
      </c>
      <c r="AE82" s="23" t="str">
        <f t="shared" si="46"/>
        <v/>
      </c>
      <c r="AF82" s="23" t="str">
        <f t="shared" si="30"/>
        <v/>
      </c>
      <c r="AG82" s="23" t="str">
        <f t="shared" si="31"/>
        <v/>
      </c>
      <c r="AH82" s="23" t="str">
        <f t="shared" si="47"/>
        <v/>
      </c>
      <c r="AI82" s="23" t="str">
        <f t="shared" si="32"/>
        <v/>
      </c>
      <c r="AJ82" s="23" t="str">
        <f t="shared" si="33"/>
        <v/>
      </c>
      <c r="AK82" s="23" t="str">
        <f t="shared" si="34"/>
        <v/>
      </c>
      <c r="AL82" s="23" t="str">
        <f t="shared" si="35"/>
        <v/>
      </c>
      <c r="AM82" s="52">
        <f t="shared" si="36"/>
        <v>0</v>
      </c>
      <c r="AN82" s="26">
        <f t="shared" si="37"/>
        <v>134.7145261049377</v>
      </c>
    </row>
    <row r="83" spans="1:40" x14ac:dyDescent="0.2">
      <c r="A83" s="12">
        <v>44637</v>
      </c>
      <c r="B83" s="6">
        <v>17</v>
      </c>
      <c r="C83" s="6">
        <v>76</v>
      </c>
      <c r="D83" s="6">
        <v>5</v>
      </c>
      <c r="E83" s="6" t="s">
        <v>16</v>
      </c>
      <c r="F83" s="6">
        <v>11</v>
      </c>
      <c r="G83" s="6">
        <v>3</v>
      </c>
      <c r="H83" s="6" t="s">
        <v>19</v>
      </c>
      <c r="I83" s="6">
        <v>1</v>
      </c>
      <c r="J83" s="14">
        <v>16.956660387434145</v>
      </c>
      <c r="K83" s="14">
        <v>94.88004211406647</v>
      </c>
      <c r="L83" s="14">
        <f t="shared" si="38"/>
        <v>1608.8486516736743</v>
      </c>
      <c r="M83" s="16">
        <v>0.75562765575409785</v>
      </c>
      <c r="N83" s="14">
        <f t="shared" si="39"/>
        <v>1215.6905351273197</v>
      </c>
      <c r="O83" s="14">
        <f t="shared" si="40"/>
        <v>393.15811654635468</v>
      </c>
      <c r="P83" s="14">
        <v>31.675190012477508</v>
      </c>
      <c r="Q83" s="14">
        <v>8.1982658439506473</v>
      </c>
      <c r="R83" s="14">
        <f t="shared" si="24"/>
        <v>12.987012987012987</v>
      </c>
      <c r="S83" s="14">
        <v>30.835614593988925</v>
      </c>
      <c r="T83" s="14">
        <f t="shared" si="41"/>
        <v>1126.1940561715719</v>
      </c>
      <c r="U83" s="14">
        <f t="shared" si="25"/>
        <v>66.416029479846529</v>
      </c>
      <c r="V83" s="14">
        <v>24.099737538509789</v>
      </c>
      <c r="W83" s="16">
        <f t="shared" si="42"/>
        <v>0.47692086173397519</v>
      </c>
      <c r="X83" s="16">
        <f t="shared" si="43"/>
        <v>0.70360352930560022</v>
      </c>
      <c r="Y83" s="16">
        <f t="shared" si="44"/>
        <v>1.0794680796487113</v>
      </c>
      <c r="Z83" s="16">
        <f t="shared" si="26"/>
        <v>0.2553097576027113</v>
      </c>
      <c r="AA83" s="16">
        <f t="shared" si="27"/>
        <v>8.0722403400112774E-3</v>
      </c>
      <c r="AB83" s="14">
        <f t="shared" si="45"/>
        <v>66.416029479846529</v>
      </c>
      <c r="AC83" s="16">
        <f t="shared" si="28"/>
        <v>8.6406642127061312E-2</v>
      </c>
      <c r="AD83" s="16">
        <f t="shared" si="29"/>
        <v>1.9688110487910731E-2</v>
      </c>
      <c r="AE83" s="23" t="str">
        <f t="shared" si="46"/>
        <v/>
      </c>
      <c r="AF83" s="23" t="str">
        <f t="shared" si="30"/>
        <v/>
      </c>
      <c r="AG83" s="23" t="str">
        <f t="shared" si="31"/>
        <v/>
      </c>
      <c r="AH83" s="23" t="str">
        <f t="shared" si="47"/>
        <v/>
      </c>
      <c r="AI83" s="23" t="str">
        <f t="shared" si="32"/>
        <v/>
      </c>
      <c r="AJ83" s="23" t="str">
        <f t="shared" si="33"/>
        <v/>
      </c>
      <c r="AK83" s="23" t="str">
        <f t="shared" si="34"/>
        <v/>
      </c>
      <c r="AL83" s="23" t="str">
        <f t="shared" si="35"/>
        <v/>
      </c>
      <c r="AM83" s="52">
        <f t="shared" si="36"/>
        <v>0</v>
      </c>
      <c r="AN83" s="26">
        <f t="shared" si="37"/>
        <v>393.15811654635468</v>
      </c>
    </row>
    <row r="84" spans="1:40" x14ac:dyDescent="0.2">
      <c r="A84" s="12">
        <v>44638</v>
      </c>
      <c r="B84" s="6">
        <v>18</v>
      </c>
      <c r="C84" s="6">
        <v>77</v>
      </c>
      <c r="D84" s="6">
        <v>6</v>
      </c>
      <c r="E84" s="6" t="s">
        <v>17</v>
      </c>
      <c r="F84" s="6">
        <v>11</v>
      </c>
      <c r="G84" s="6">
        <v>3</v>
      </c>
      <c r="H84" s="6" t="s">
        <v>19</v>
      </c>
      <c r="I84" s="6">
        <v>1</v>
      </c>
      <c r="J84" s="14">
        <v>18.25169076161179</v>
      </c>
      <c r="K84" s="14">
        <v>25.691214009062914</v>
      </c>
      <c r="L84" s="14">
        <f t="shared" si="38"/>
        <v>468.90809338380501</v>
      </c>
      <c r="M84" s="16">
        <v>0.57626796639615652</v>
      </c>
      <c r="N84" s="14">
        <f t="shared" si="39"/>
        <v>270.21671340098436</v>
      </c>
      <c r="O84" s="14">
        <f t="shared" si="40"/>
        <v>198.69137998282065</v>
      </c>
      <c r="P84" s="14">
        <v>37.81736202656537</v>
      </c>
      <c r="Q84" s="14">
        <v>13.314325012355313</v>
      </c>
      <c r="R84" s="14">
        <f t="shared" si="24"/>
        <v>12.987012987012987</v>
      </c>
      <c r="S84" s="14">
        <v>29.127963062451514</v>
      </c>
      <c r="T84" s="14">
        <f t="shared" si="41"/>
        <v>328.23566536866349</v>
      </c>
      <c r="U84" s="14">
        <f t="shared" si="25"/>
        <v>17.98384980634404</v>
      </c>
      <c r="V84" s="14">
        <v>22.998918465884703</v>
      </c>
      <c r="W84" s="16">
        <f t="shared" si="42"/>
        <v>2.1028513045757755</v>
      </c>
      <c r="X84" s="16">
        <f t="shared" si="43"/>
        <v>0.79358908936023742</v>
      </c>
      <c r="Y84" s="16">
        <f t="shared" si="44"/>
        <v>0.82323995199450928</v>
      </c>
      <c r="Z84" s="16">
        <f t="shared" si="26"/>
        <v>1.014893415934405</v>
      </c>
      <c r="AA84" s="16">
        <f t="shared" si="27"/>
        <v>2.7696286692972503E-2</v>
      </c>
      <c r="AB84" s="14">
        <f t="shared" si="45"/>
        <v>17.98384980634404</v>
      </c>
      <c r="AC84" s="16">
        <f t="shared" si="28"/>
        <v>0.51824429190689514</v>
      </c>
      <c r="AD84" s="16">
        <f t="shared" si="29"/>
        <v>8.0649838550795827E-2</v>
      </c>
      <c r="AE84" s="23" t="str">
        <f t="shared" si="46"/>
        <v/>
      </c>
      <c r="AF84" s="23" t="str">
        <f t="shared" si="30"/>
        <v/>
      </c>
      <c r="AG84" s="23" t="str">
        <f t="shared" si="31"/>
        <v/>
      </c>
      <c r="AH84" s="23" t="str">
        <f t="shared" si="47"/>
        <v/>
      </c>
      <c r="AI84" s="23" t="str">
        <f t="shared" si="32"/>
        <v/>
      </c>
      <c r="AJ84" s="23" t="str">
        <f t="shared" si="33"/>
        <v/>
      </c>
      <c r="AK84" s="23" t="str">
        <f t="shared" si="34"/>
        <v/>
      </c>
      <c r="AL84" s="23" t="str">
        <f t="shared" si="35"/>
        <v/>
      </c>
      <c r="AM84" s="52">
        <f t="shared" si="36"/>
        <v>0</v>
      </c>
      <c r="AN84" s="26">
        <f t="shared" si="37"/>
        <v>198.69137998282065</v>
      </c>
    </row>
    <row r="85" spans="1:40" x14ac:dyDescent="0.2">
      <c r="A85" s="12">
        <v>44639</v>
      </c>
      <c r="B85" s="6">
        <v>19</v>
      </c>
      <c r="C85" s="6">
        <v>78</v>
      </c>
      <c r="D85" s="6">
        <v>7</v>
      </c>
      <c r="E85" s="6" t="s">
        <v>10</v>
      </c>
      <c r="F85" s="6">
        <v>11</v>
      </c>
      <c r="G85" s="6">
        <v>3</v>
      </c>
      <c r="H85" s="6" t="s">
        <v>19</v>
      </c>
      <c r="I85" s="6">
        <v>1</v>
      </c>
      <c r="J85" s="14">
        <v>2.7208643404800927</v>
      </c>
      <c r="K85" s="14">
        <v>47.964387263573975</v>
      </c>
      <c r="L85" s="14">
        <f t="shared" si="38"/>
        <v>130.50459091843595</v>
      </c>
      <c r="M85" s="16">
        <v>0.83930639023368847</v>
      </c>
      <c r="N85" s="14">
        <f t="shared" si="39"/>
        <v>109.53333711267668</v>
      </c>
      <c r="O85" s="14">
        <f t="shared" si="40"/>
        <v>20.971253805759275</v>
      </c>
      <c r="P85" s="14">
        <v>46.320224617501999</v>
      </c>
      <c r="Q85" s="14">
        <v>6.4936080614752312</v>
      </c>
      <c r="R85" s="14">
        <f t="shared" si="24"/>
        <v>12.987012987012987</v>
      </c>
      <c r="S85" s="14">
        <v>33.416375471378871</v>
      </c>
      <c r="T85" s="14">
        <f t="shared" si="41"/>
        <v>91.35321364290516</v>
      </c>
      <c r="U85" s="14">
        <f t="shared" si="25"/>
        <v>33.575071084501779</v>
      </c>
      <c r="V85" s="14">
        <v>21.688212266515599</v>
      </c>
      <c r="W85" s="16">
        <f t="shared" si="42"/>
        <v>1.3796016842651859</v>
      </c>
      <c r="X85" s="16">
        <f t="shared" si="43"/>
        <v>0.12545360157143204</v>
      </c>
      <c r="Y85" s="16">
        <f t="shared" si="44"/>
        <v>1.1990091289052693</v>
      </c>
      <c r="Z85" s="16">
        <f t="shared" si="26"/>
        <v>8.1038230228380401E-2</v>
      </c>
      <c r="AA85" s="16">
        <f t="shared" si="27"/>
        <v>9.951384005432988E-2</v>
      </c>
      <c r="AB85" s="14">
        <f t="shared" si="45"/>
        <v>33.575071084501779</v>
      </c>
      <c r="AC85" s="16">
        <f t="shared" si="28"/>
        <v>0.13538394696447484</v>
      </c>
      <c r="AD85" s="16">
        <f t="shared" si="29"/>
        <v>0.35493176363773798</v>
      </c>
      <c r="AE85" s="23" t="str">
        <f t="shared" si="46"/>
        <v/>
      </c>
      <c r="AF85" s="23" t="str">
        <f t="shared" si="30"/>
        <v/>
      </c>
      <c r="AG85" s="23" t="str">
        <f t="shared" si="31"/>
        <v/>
      </c>
      <c r="AH85" s="23" t="str">
        <f t="shared" si="47"/>
        <v/>
      </c>
      <c r="AI85" s="23" t="str">
        <f t="shared" si="32"/>
        <v/>
      </c>
      <c r="AJ85" s="23" t="str">
        <f t="shared" si="33"/>
        <v/>
      </c>
      <c r="AK85" s="23" t="str">
        <f t="shared" si="34"/>
        <v/>
      </c>
      <c r="AL85" s="23" t="str">
        <f t="shared" si="35"/>
        <v/>
      </c>
      <c r="AM85" s="52">
        <f t="shared" si="36"/>
        <v>0</v>
      </c>
      <c r="AN85" s="26">
        <f t="shared" si="37"/>
        <v>20.971253805759275</v>
      </c>
    </row>
    <row r="86" spans="1:40" x14ac:dyDescent="0.2">
      <c r="A86" s="12">
        <v>44640</v>
      </c>
      <c r="B86" s="6">
        <v>20</v>
      </c>
      <c r="C86" s="6">
        <v>79</v>
      </c>
      <c r="D86" s="6">
        <v>1</v>
      </c>
      <c r="E86" s="6" t="s">
        <v>12</v>
      </c>
      <c r="F86" s="6">
        <v>12</v>
      </c>
      <c r="G86" s="6">
        <v>3</v>
      </c>
      <c r="H86" s="6" t="s">
        <v>19</v>
      </c>
      <c r="I86" s="6">
        <v>1</v>
      </c>
      <c r="J86" s="14">
        <v>5.7482674065192239</v>
      </c>
      <c r="K86" s="14">
        <v>43.077302216725961</v>
      </c>
      <c r="L86" s="14">
        <f t="shared" si="38"/>
        <v>247.61985229318415</v>
      </c>
      <c r="M86" s="16">
        <v>0.31110795466237606</v>
      </c>
      <c r="N86" s="14">
        <f t="shared" si="39"/>
        <v>77.036505780732199</v>
      </c>
      <c r="O86" s="14">
        <f t="shared" si="40"/>
        <v>170.58334651245195</v>
      </c>
      <c r="P86" s="14">
        <v>12.345584457686027</v>
      </c>
      <c r="Q86" s="14">
        <v>1.2690280814105592</v>
      </c>
      <c r="R86" s="14">
        <f t="shared" si="24"/>
        <v>28.571428571428573</v>
      </c>
      <c r="S86" s="14">
        <v>13.673651011533634</v>
      </c>
      <c r="T86" s="14">
        <f t="shared" si="41"/>
        <v>173.33389660522889</v>
      </c>
      <c r="U86" s="14">
        <f t="shared" si="25"/>
        <v>30.154111551708169</v>
      </c>
      <c r="V86" s="14">
        <v>12.325803870397475</v>
      </c>
      <c r="W86" s="16">
        <f t="shared" si="42"/>
        <v>0.40941628926840906</v>
      </c>
      <c r="X86" s="16">
        <f t="shared" si="43"/>
        <v>0.46636044731530008</v>
      </c>
      <c r="Y86" s="16">
        <f t="shared" si="44"/>
        <v>0.4444399352319659</v>
      </c>
      <c r="Z86" s="16">
        <f t="shared" si="26"/>
        <v>0.19062963923384427</v>
      </c>
      <c r="AA86" s="16">
        <f t="shared" si="27"/>
        <v>0.11538424042673179</v>
      </c>
      <c r="AB86" s="14">
        <f t="shared" si="45"/>
        <v>30.154111551708169</v>
      </c>
      <c r="AC86" s="16">
        <f t="shared" si="28"/>
        <v>2.945932117628814E-2</v>
      </c>
      <c r="AD86" s="16">
        <f t="shared" si="29"/>
        <v>4.9857005984595866E-2</v>
      </c>
      <c r="AE86" s="23" t="str">
        <f t="shared" si="46"/>
        <v/>
      </c>
      <c r="AF86" s="23">
        <f t="shared" si="30"/>
        <v>1000</v>
      </c>
      <c r="AG86" s="23" t="str">
        <f t="shared" si="31"/>
        <v/>
      </c>
      <c r="AH86" s="23" t="str">
        <f t="shared" si="47"/>
        <v/>
      </c>
      <c r="AI86" s="23">
        <f t="shared" si="32"/>
        <v>100</v>
      </c>
      <c r="AJ86" s="23" t="str">
        <f t="shared" si="33"/>
        <v/>
      </c>
      <c r="AK86" s="23" t="str">
        <f t="shared" si="34"/>
        <v/>
      </c>
      <c r="AL86" s="23" t="str">
        <f t="shared" si="35"/>
        <v/>
      </c>
      <c r="AM86" s="52">
        <f t="shared" si="36"/>
        <v>1100</v>
      </c>
      <c r="AN86" s="26">
        <f t="shared" si="37"/>
        <v>-929.41665348754805</v>
      </c>
    </row>
    <row r="87" spans="1:40" x14ac:dyDescent="0.2">
      <c r="A87" s="12">
        <v>44641</v>
      </c>
      <c r="B87" s="6">
        <v>21</v>
      </c>
      <c r="C87" s="6">
        <v>80</v>
      </c>
      <c r="D87" s="6">
        <v>2</v>
      </c>
      <c r="E87" s="6" t="s">
        <v>13</v>
      </c>
      <c r="F87" s="6">
        <v>12</v>
      </c>
      <c r="G87" s="6">
        <v>3</v>
      </c>
      <c r="H87" s="6" t="s">
        <v>19</v>
      </c>
      <c r="I87" s="6">
        <v>1</v>
      </c>
      <c r="J87" s="14">
        <v>16.849415268073493</v>
      </c>
      <c r="K87" s="14">
        <v>92.797398398102999</v>
      </c>
      <c r="L87" s="14">
        <f t="shared" si="38"/>
        <v>1563.5819014064953</v>
      </c>
      <c r="M87" s="16">
        <v>0.68762603569801839</v>
      </c>
      <c r="N87" s="14">
        <f t="shared" si="39"/>
        <v>1075.1596243533181</v>
      </c>
      <c r="O87" s="14">
        <f t="shared" si="40"/>
        <v>488.42227705317714</v>
      </c>
      <c r="P87" s="14">
        <v>25.0041040038878</v>
      </c>
      <c r="Q87" s="14">
        <v>11.569480716770034</v>
      </c>
      <c r="R87" s="14">
        <f t="shared" si="24"/>
        <v>12.987012987012987</v>
      </c>
      <c r="S87" s="14">
        <v>30.196148896801322</v>
      </c>
      <c r="T87" s="14">
        <f t="shared" si="41"/>
        <v>1094.5073309845466</v>
      </c>
      <c r="U87" s="14">
        <f t="shared" si="25"/>
        <v>64.958178878672086</v>
      </c>
      <c r="V87" s="14">
        <v>32.263524662268459</v>
      </c>
      <c r="W87" s="16">
        <f t="shared" si="42"/>
        <v>0.38492618536289464</v>
      </c>
      <c r="X87" s="16">
        <f t="shared" si="43"/>
        <v>0.522243476013597</v>
      </c>
      <c r="Y87" s="16">
        <f t="shared" si="44"/>
        <v>0.98232290814002632</v>
      </c>
      <c r="Z87" s="16">
        <f t="shared" si="26"/>
        <v>0.25938866450589043</v>
      </c>
      <c r="AA87" s="16">
        <f t="shared" si="27"/>
        <v>8.305937140440629E-3</v>
      </c>
      <c r="AB87" s="14">
        <f t="shared" si="45"/>
        <v>64.958178878672086</v>
      </c>
      <c r="AC87" s="16">
        <f t="shared" si="28"/>
        <v>0.12467462360460466</v>
      </c>
      <c r="AD87" s="16">
        <f t="shared" si="29"/>
        <v>1.5991553740418558E-2</v>
      </c>
      <c r="AE87" s="23" t="str">
        <f t="shared" si="46"/>
        <v/>
      </c>
      <c r="AF87" s="23" t="str">
        <f t="shared" si="30"/>
        <v/>
      </c>
      <c r="AG87" s="23" t="str">
        <f t="shared" si="31"/>
        <v/>
      </c>
      <c r="AH87" s="23" t="str">
        <f t="shared" si="47"/>
        <v/>
      </c>
      <c r="AI87" s="23" t="str">
        <f t="shared" si="32"/>
        <v/>
      </c>
      <c r="AJ87" s="23" t="str">
        <f t="shared" si="33"/>
        <v/>
      </c>
      <c r="AK87" s="23" t="str">
        <f t="shared" si="34"/>
        <v/>
      </c>
      <c r="AL87" s="23" t="str">
        <f t="shared" si="35"/>
        <v/>
      </c>
      <c r="AM87" s="52">
        <f t="shared" si="36"/>
        <v>0</v>
      </c>
      <c r="AN87" s="26">
        <f t="shared" si="37"/>
        <v>488.42227705317714</v>
      </c>
    </row>
    <row r="88" spans="1:40" x14ac:dyDescent="0.2">
      <c r="A88" s="12">
        <v>44642</v>
      </c>
      <c r="B88" s="6">
        <v>22</v>
      </c>
      <c r="C88" s="6">
        <v>81</v>
      </c>
      <c r="D88" s="6">
        <v>3</v>
      </c>
      <c r="E88" s="6" t="s">
        <v>14</v>
      </c>
      <c r="F88" s="6">
        <v>12</v>
      </c>
      <c r="G88" s="6">
        <v>3</v>
      </c>
      <c r="H88" s="6" t="s">
        <v>19</v>
      </c>
      <c r="I88" s="6">
        <v>1</v>
      </c>
      <c r="J88" s="14">
        <v>12.885150615638935</v>
      </c>
      <c r="K88" s="14">
        <v>73.528279653758332</v>
      </c>
      <c r="L88" s="14">
        <f t="shared" si="38"/>
        <v>947.42295784749592</v>
      </c>
      <c r="M88" s="16">
        <v>0.92004284135248204</v>
      </c>
      <c r="N88" s="14">
        <f t="shared" si="39"/>
        <v>871.66971010058296</v>
      </c>
      <c r="O88" s="14">
        <f t="shared" si="40"/>
        <v>75.753247746912962</v>
      </c>
      <c r="P88" s="14">
        <v>40.963561103881617</v>
      </c>
      <c r="Q88" s="14">
        <v>9.2238004092949488</v>
      </c>
      <c r="R88" s="14">
        <f t="shared" si="24"/>
        <v>12.987012987012987</v>
      </c>
      <c r="S88" s="14">
        <v>30.263931080641004</v>
      </c>
      <c r="T88" s="14">
        <f t="shared" si="41"/>
        <v>663.19607049324713</v>
      </c>
      <c r="U88" s="14">
        <f t="shared" si="25"/>
        <v>51.469795757630834</v>
      </c>
      <c r="V88" s="14">
        <v>34.104753778985717</v>
      </c>
      <c r="W88" s="16">
        <f t="shared" si="42"/>
        <v>0.7958757267422889</v>
      </c>
      <c r="X88" s="16">
        <f t="shared" si="43"/>
        <v>0.37781098491842396</v>
      </c>
      <c r="Y88" s="16">
        <f t="shared" si="44"/>
        <v>1.3143469162178314</v>
      </c>
      <c r="Z88" s="16">
        <f t="shared" si="26"/>
        <v>0.25034392357635499</v>
      </c>
      <c r="AA88" s="16">
        <f t="shared" si="27"/>
        <v>1.3707724601184374E-2</v>
      </c>
      <c r="AB88" s="14">
        <f t="shared" si="45"/>
        <v>51.469795757630834</v>
      </c>
      <c r="AC88" s="16">
        <f t="shared" si="28"/>
        <v>0.12544561701605761</v>
      </c>
      <c r="AD88" s="16">
        <f t="shared" si="29"/>
        <v>4.3236825500776399E-2</v>
      </c>
      <c r="AE88" s="23" t="str">
        <f t="shared" si="46"/>
        <v/>
      </c>
      <c r="AF88" s="23" t="str">
        <f t="shared" si="30"/>
        <v/>
      </c>
      <c r="AG88" s="23" t="str">
        <f t="shared" si="31"/>
        <v/>
      </c>
      <c r="AH88" s="23" t="str">
        <f t="shared" si="47"/>
        <v/>
      </c>
      <c r="AI88" s="23" t="str">
        <f t="shared" si="32"/>
        <v/>
      </c>
      <c r="AJ88" s="23" t="str">
        <f t="shared" si="33"/>
        <v/>
      </c>
      <c r="AK88" s="23" t="str">
        <f t="shared" si="34"/>
        <v/>
      </c>
      <c r="AL88" s="23" t="str">
        <f t="shared" si="35"/>
        <v/>
      </c>
      <c r="AM88" s="52">
        <f t="shared" si="36"/>
        <v>0</v>
      </c>
      <c r="AN88" s="26">
        <f t="shared" si="37"/>
        <v>75.753247746912962</v>
      </c>
    </row>
    <row r="89" spans="1:40" x14ac:dyDescent="0.2">
      <c r="A89" s="12">
        <v>44643</v>
      </c>
      <c r="B89" s="6">
        <v>23</v>
      </c>
      <c r="C89" s="6">
        <v>82</v>
      </c>
      <c r="D89" s="6">
        <v>4</v>
      </c>
      <c r="E89" s="6" t="s">
        <v>15</v>
      </c>
      <c r="F89" s="6">
        <v>12</v>
      </c>
      <c r="G89" s="6">
        <v>3</v>
      </c>
      <c r="H89" s="6" t="s">
        <v>19</v>
      </c>
      <c r="I89" s="6">
        <v>1</v>
      </c>
      <c r="J89" s="14">
        <v>4.3434594328286416</v>
      </c>
      <c r="K89" s="14">
        <v>48.616740326883431</v>
      </c>
      <c r="L89" s="14">
        <f t="shared" si="38"/>
        <v>211.16483936618246</v>
      </c>
      <c r="M89" s="16">
        <v>0.28150578815148625</v>
      </c>
      <c r="N89" s="14">
        <f t="shared" si="39"/>
        <v>59.444124535659185</v>
      </c>
      <c r="O89" s="14">
        <f t="shared" si="40"/>
        <v>151.72071483052326</v>
      </c>
      <c r="P89" s="14">
        <v>41.854412708819282</v>
      </c>
      <c r="Q89" s="14">
        <v>14.779357693347874</v>
      </c>
      <c r="R89" s="14">
        <f t="shared" si="24"/>
        <v>12.987012987012987</v>
      </c>
      <c r="S89" s="14">
        <v>32.357771311634735</v>
      </c>
      <c r="T89" s="14">
        <f t="shared" si="41"/>
        <v>147.81538755632772</v>
      </c>
      <c r="U89" s="14">
        <f t="shared" si="25"/>
        <v>34.031718228818406</v>
      </c>
      <c r="V89" s="14">
        <v>27.635377826105621</v>
      </c>
      <c r="W89" s="16">
        <f t="shared" si="42"/>
        <v>1.2298648110390307</v>
      </c>
      <c r="X89" s="16">
        <f t="shared" si="43"/>
        <v>0.1571702569134269</v>
      </c>
      <c r="Y89" s="16">
        <f t="shared" si="44"/>
        <v>0.40215112593069463</v>
      </c>
      <c r="Z89" s="16">
        <f t="shared" si="26"/>
        <v>0.12762974245451281</v>
      </c>
      <c r="AA89" s="16">
        <f t="shared" si="27"/>
        <v>6.1501777597036948E-2</v>
      </c>
      <c r="AB89" s="14">
        <f t="shared" si="45"/>
        <v>34.031718228818406</v>
      </c>
      <c r="AC89" s="16">
        <f t="shared" si="28"/>
        <v>0.3039972979261093</v>
      </c>
      <c r="AD89" s="16">
        <f t="shared" si="29"/>
        <v>0.19820730020417482</v>
      </c>
      <c r="AE89" s="23" t="str">
        <f t="shared" si="46"/>
        <v/>
      </c>
      <c r="AF89" s="23" t="str">
        <f t="shared" si="30"/>
        <v/>
      </c>
      <c r="AG89" s="23" t="str">
        <f t="shared" si="31"/>
        <v/>
      </c>
      <c r="AH89" s="23" t="str">
        <f t="shared" si="47"/>
        <v/>
      </c>
      <c r="AI89" s="23" t="str">
        <f t="shared" si="32"/>
        <v/>
      </c>
      <c r="AJ89" s="23" t="str">
        <f t="shared" si="33"/>
        <v/>
      </c>
      <c r="AK89" s="23" t="str">
        <f t="shared" si="34"/>
        <v/>
      </c>
      <c r="AL89" s="23" t="str">
        <f t="shared" si="35"/>
        <v/>
      </c>
      <c r="AM89" s="52">
        <f t="shared" si="36"/>
        <v>0</v>
      </c>
      <c r="AN89" s="26">
        <f t="shared" si="37"/>
        <v>151.72071483052326</v>
      </c>
    </row>
    <row r="90" spans="1:40" x14ac:dyDescent="0.2">
      <c r="A90" s="12">
        <v>44644</v>
      </c>
      <c r="B90" s="6">
        <v>24</v>
      </c>
      <c r="C90" s="6">
        <v>83</v>
      </c>
      <c r="D90" s="6">
        <v>5</v>
      </c>
      <c r="E90" s="6" t="s">
        <v>16</v>
      </c>
      <c r="F90" s="6">
        <v>12</v>
      </c>
      <c r="G90" s="6">
        <v>3</v>
      </c>
      <c r="H90" s="6" t="s">
        <v>19</v>
      </c>
      <c r="I90" s="6">
        <v>1</v>
      </c>
      <c r="J90" s="14">
        <v>21.752882756069543</v>
      </c>
      <c r="K90" s="14">
        <v>19.497970492849305</v>
      </c>
      <c r="L90" s="14">
        <f t="shared" si="38"/>
        <v>424.13706611225439</v>
      </c>
      <c r="M90" s="16">
        <v>0.47380947411448687</v>
      </c>
      <c r="N90" s="14">
        <f t="shared" si="39"/>
        <v>200.9601602471086</v>
      </c>
      <c r="O90" s="14">
        <f t="shared" si="40"/>
        <v>223.17690586514578</v>
      </c>
      <c r="P90" s="14">
        <v>42.158304351991013</v>
      </c>
      <c r="Q90" s="14">
        <v>20.448059568281238</v>
      </c>
      <c r="R90" s="14">
        <f t="shared" si="24"/>
        <v>12.987012987012987</v>
      </c>
      <c r="S90" s="14">
        <v>28.753546686838618</v>
      </c>
      <c r="T90" s="14">
        <f t="shared" si="41"/>
        <v>296.89594627857804</v>
      </c>
      <c r="U90" s="14">
        <f t="shared" si="25"/>
        <v>13.648579344994511</v>
      </c>
      <c r="V90" s="14">
        <v>31.120462010996881</v>
      </c>
      <c r="W90" s="16">
        <f t="shared" si="42"/>
        <v>3.0888419436453787</v>
      </c>
      <c r="X90" s="16">
        <f t="shared" si="43"/>
        <v>0.69898971128329768</v>
      </c>
      <c r="Y90" s="16">
        <f t="shared" si="44"/>
        <v>0.67687067730640993</v>
      </c>
      <c r="Z90" s="16">
        <f t="shared" si="26"/>
        <v>1.5937836610113718</v>
      </c>
      <c r="AA90" s="16">
        <f t="shared" si="27"/>
        <v>3.0619849158799468E-2</v>
      </c>
      <c r="AB90" s="14">
        <f t="shared" si="45"/>
        <v>13.648579344994511</v>
      </c>
      <c r="AC90" s="16">
        <f t="shared" si="28"/>
        <v>1.0487275881241265</v>
      </c>
      <c r="AD90" s="16">
        <f t="shared" si="29"/>
        <v>9.9397830843751742E-2</v>
      </c>
      <c r="AE90" s="23" t="str">
        <f t="shared" si="46"/>
        <v/>
      </c>
      <c r="AF90" s="23" t="str">
        <f t="shared" si="30"/>
        <v/>
      </c>
      <c r="AG90" s="23" t="str">
        <f t="shared" si="31"/>
        <v/>
      </c>
      <c r="AH90" s="23" t="str">
        <f t="shared" si="47"/>
        <v/>
      </c>
      <c r="AI90" s="23" t="str">
        <f t="shared" si="32"/>
        <v/>
      </c>
      <c r="AJ90" s="23" t="str">
        <f t="shared" si="33"/>
        <v/>
      </c>
      <c r="AK90" s="23" t="str">
        <f t="shared" si="34"/>
        <v/>
      </c>
      <c r="AL90" s="23" t="str">
        <f t="shared" si="35"/>
        <v/>
      </c>
      <c r="AM90" s="52">
        <f t="shared" si="36"/>
        <v>0</v>
      </c>
      <c r="AN90" s="26">
        <f t="shared" si="37"/>
        <v>223.17690586514578</v>
      </c>
    </row>
    <row r="91" spans="1:40" x14ac:dyDescent="0.2">
      <c r="A91" s="12">
        <v>44645</v>
      </c>
      <c r="B91" s="6">
        <v>25</v>
      </c>
      <c r="C91" s="6">
        <v>84</v>
      </c>
      <c r="D91" s="6">
        <v>6</v>
      </c>
      <c r="E91" s="6" t="s">
        <v>17</v>
      </c>
      <c r="F91" s="6">
        <v>12</v>
      </c>
      <c r="G91" s="6">
        <v>3</v>
      </c>
      <c r="H91" s="6" t="s">
        <v>19</v>
      </c>
      <c r="I91" s="6">
        <v>1</v>
      </c>
      <c r="J91" s="14">
        <v>22.09802807385438</v>
      </c>
      <c r="K91" s="14">
        <v>49.640570357750164</v>
      </c>
      <c r="L91" s="14">
        <f t="shared" si="38"/>
        <v>1096.9587173677066</v>
      </c>
      <c r="M91" s="16">
        <v>0.71899009524488744</v>
      </c>
      <c r="N91" s="14">
        <f t="shared" si="39"/>
        <v>788.70245267991697</v>
      </c>
      <c r="O91" s="14">
        <f t="shared" si="40"/>
        <v>308.25626468778967</v>
      </c>
      <c r="P91" s="14">
        <v>51.56548835907445</v>
      </c>
      <c r="Q91" s="14">
        <v>9.5963593770606312</v>
      </c>
      <c r="R91" s="14">
        <f t="shared" si="24"/>
        <v>12.987012987012987</v>
      </c>
      <c r="S91" s="14">
        <v>32.783627119639355</v>
      </c>
      <c r="T91" s="14">
        <f t="shared" si="41"/>
        <v>767.8711021573946</v>
      </c>
      <c r="U91" s="14">
        <f t="shared" si="25"/>
        <v>34.748399250425109</v>
      </c>
      <c r="V91" s="14">
        <v>27.996063958062344</v>
      </c>
      <c r="W91" s="16">
        <f t="shared" si="42"/>
        <v>1.483967304146927</v>
      </c>
      <c r="X91" s="16">
        <f t="shared" si="43"/>
        <v>0.78932624625221859</v>
      </c>
      <c r="Y91" s="16">
        <f t="shared" si="44"/>
        <v>1.0271287074926965</v>
      </c>
      <c r="Z91" s="16">
        <f t="shared" si="26"/>
        <v>0.63594377152737569</v>
      </c>
      <c r="AA91" s="16">
        <f t="shared" si="27"/>
        <v>1.1839108237525103E-2</v>
      </c>
      <c r="AB91" s="14">
        <f t="shared" si="45"/>
        <v>34.748399250425109</v>
      </c>
      <c r="AC91" s="16">
        <f t="shared" si="28"/>
        <v>0.19331686376489013</v>
      </c>
      <c r="AD91" s="16">
        <f t="shared" si="29"/>
        <v>4.7007683646302083E-2</v>
      </c>
      <c r="AE91" s="23" t="str">
        <f t="shared" si="46"/>
        <v/>
      </c>
      <c r="AF91" s="23" t="str">
        <f t="shared" si="30"/>
        <v/>
      </c>
      <c r="AG91" s="23" t="str">
        <f t="shared" si="31"/>
        <v/>
      </c>
      <c r="AH91" s="23" t="str">
        <f t="shared" si="47"/>
        <v/>
      </c>
      <c r="AI91" s="23" t="str">
        <f t="shared" si="32"/>
        <v/>
      </c>
      <c r="AJ91" s="23" t="str">
        <f t="shared" si="33"/>
        <v/>
      </c>
      <c r="AK91" s="23">
        <f t="shared" si="34"/>
        <v>83</v>
      </c>
      <c r="AL91" s="23" t="str">
        <f t="shared" si="35"/>
        <v/>
      </c>
      <c r="AM91" s="52">
        <f t="shared" si="36"/>
        <v>83</v>
      </c>
      <c r="AN91" s="26">
        <f t="shared" si="37"/>
        <v>225.25626468778967</v>
      </c>
    </row>
    <row r="92" spans="1:40" x14ac:dyDescent="0.2">
      <c r="A92" s="12">
        <v>44646</v>
      </c>
      <c r="B92" s="6">
        <v>26</v>
      </c>
      <c r="C92" s="6">
        <v>85</v>
      </c>
      <c r="D92" s="6">
        <v>7</v>
      </c>
      <c r="E92" s="6" t="s">
        <v>10</v>
      </c>
      <c r="F92" s="6">
        <v>12</v>
      </c>
      <c r="G92" s="6">
        <v>3</v>
      </c>
      <c r="H92" s="6" t="s">
        <v>19</v>
      </c>
      <c r="I92" s="6">
        <v>1</v>
      </c>
      <c r="J92" s="14">
        <v>18.041295270133507</v>
      </c>
      <c r="K92" s="14">
        <v>44.59956435341816</v>
      </c>
      <c r="L92" s="14">
        <f t="shared" si="38"/>
        <v>804.63390941933801</v>
      </c>
      <c r="M92" s="16">
        <v>0.6469204740934118</v>
      </c>
      <c r="N92" s="14">
        <f t="shared" si="39"/>
        <v>520.53415015319354</v>
      </c>
      <c r="O92" s="14">
        <f t="shared" si="40"/>
        <v>284.09975926614447</v>
      </c>
      <c r="P92" s="14">
        <v>26.970393961433391</v>
      </c>
      <c r="Q92" s="14">
        <v>10.36653107680957</v>
      </c>
      <c r="R92" s="14">
        <f t="shared" si="24"/>
        <v>12.987012987012987</v>
      </c>
      <c r="S92" s="14">
        <v>30.714906175693756</v>
      </c>
      <c r="T92" s="14">
        <f t="shared" si="41"/>
        <v>563.2437365935366</v>
      </c>
      <c r="U92" s="14">
        <f t="shared" si="25"/>
        <v>31.219695047392712</v>
      </c>
      <c r="V92" s="14">
        <v>32.857422730247684</v>
      </c>
      <c r="W92" s="16">
        <f t="shared" si="42"/>
        <v>0.86389037178266104</v>
      </c>
      <c r="X92" s="16">
        <f t="shared" si="43"/>
        <v>0.54907822254498251</v>
      </c>
      <c r="Y92" s="16">
        <f t="shared" si="44"/>
        <v>0.92417210584773124</v>
      </c>
      <c r="Z92" s="16">
        <f t="shared" si="26"/>
        <v>0.57788185447507157</v>
      </c>
      <c r="AA92" s="16">
        <f t="shared" si="27"/>
        <v>1.614027551533968E-2</v>
      </c>
      <c r="AB92" s="14">
        <f t="shared" si="45"/>
        <v>31.219695047392712</v>
      </c>
      <c r="AC92" s="16">
        <f t="shared" si="28"/>
        <v>0.23243570261499805</v>
      </c>
      <c r="AD92" s="16">
        <f t="shared" si="29"/>
        <v>3.3518838375698717E-2</v>
      </c>
      <c r="AE92" s="23" t="str">
        <f t="shared" si="46"/>
        <v/>
      </c>
      <c r="AF92" s="23" t="str">
        <f t="shared" si="30"/>
        <v/>
      </c>
      <c r="AG92" s="23" t="str">
        <f t="shared" si="31"/>
        <v/>
      </c>
      <c r="AH92" s="23" t="str">
        <f t="shared" si="47"/>
        <v/>
      </c>
      <c r="AI92" s="23" t="str">
        <f t="shared" si="32"/>
        <v/>
      </c>
      <c r="AJ92" s="23" t="str">
        <f t="shared" si="33"/>
        <v/>
      </c>
      <c r="AK92" s="23" t="str">
        <f t="shared" si="34"/>
        <v/>
      </c>
      <c r="AL92" s="23" t="str">
        <f t="shared" si="35"/>
        <v/>
      </c>
      <c r="AM92" s="52">
        <f t="shared" si="36"/>
        <v>0</v>
      </c>
      <c r="AN92" s="26">
        <f t="shared" si="37"/>
        <v>284.09975926614447</v>
      </c>
    </row>
    <row r="93" spans="1:40" x14ac:dyDescent="0.2">
      <c r="A93" s="12">
        <v>44647</v>
      </c>
      <c r="B93" s="6">
        <v>27</v>
      </c>
      <c r="C93" s="6">
        <v>86</v>
      </c>
      <c r="D93" s="6">
        <v>1</v>
      </c>
      <c r="E93" s="6" t="s">
        <v>12</v>
      </c>
      <c r="F93" s="6">
        <v>13</v>
      </c>
      <c r="G93" s="6">
        <v>3</v>
      </c>
      <c r="H93" s="6" t="s">
        <v>19</v>
      </c>
      <c r="I93" s="6">
        <v>1</v>
      </c>
      <c r="J93" s="14">
        <v>2.759224381213448</v>
      </c>
      <c r="K93" s="14">
        <v>12.182142551431687</v>
      </c>
      <c r="L93" s="14">
        <f t="shared" si="38"/>
        <v>33.613264743328109</v>
      </c>
      <c r="M93" s="16">
        <v>0.25775493350796952</v>
      </c>
      <c r="N93" s="14">
        <f t="shared" si="39"/>
        <v>8.6639848189023123</v>
      </c>
      <c r="O93" s="14">
        <f t="shared" si="40"/>
        <v>24.949279924425795</v>
      </c>
      <c r="P93" s="14">
        <v>17.300827149731788</v>
      </c>
      <c r="Q93" s="14">
        <v>3.5240942134795294</v>
      </c>
      <c r="R93" s="14">
        <f t="shared" si="24"/>
        <v>28.571428571428573</v>
      </c>
      <c r="S93" s="14">
        <v>12.970071636590085</v>
      </c>
      <c r="T93" s="14">
        <f t="shared" si="41"/>
        <v>23.529285320329674</v>
      </c>
      <c r="U93" s="14">
        <f t="shared" si="25"/>
        <v>8.5274997860021795</v>
      </c>
      <c r="V93" s="14">
        <v>12.502195300751778</v>
      </c>
      <c r="W93" s="16">
        <f t="shared" si="42"/>
        <v>2.0288276263730847</v>
      </c>
      <c r="X93" s="16">
        <f t="shared" si="43"/>
        <v>0.22069919040918609</v>
      </c>
      <c r="Y93" s="16">
        <f t="shared" si="44"/>
        <v>0.36822133358281361</v>
      </c>
      <c r="Z93" s="16">
        <f t="shared" si="26"/>
        <v>0.32356780421650577</v>
      </c>
      <c r="AA93" s="16">
        <f t="shared" si="27"/>
        <v>0.85000456782763745</v>
      </c>
      <c r="AB93" s="14">
        <f t="shared" si="45"/>
        <v>8.5274997860021795</v>
      </c>
      <c r="AC93" s="16">
        <f t="shared" si="28"/>
        <v>0.28928361317405255</v>
      </c>
      <c r="AD93" s="16">
        <f t="shared" si="29"/>
        <v>0.51470237365639482</v>
      </c>
      <c r="AE93" s="23" t="str">
        <f t="shared" si="46"/>
        <v/>
      </c>
      <c r="AF93" s="23">
        <f t="shared" si="30"/>
        <v>1000</v>
      </c>
      <c r="AG93" s="23" t="str">
        <f t="shared" si="31"/>
        <v/>
      </c>
      <c r="AH93" s="23" t="str">
        <f t="shared" si="47"/>
        <v/>
      </c>
      <c r="AI93" s="23" t="str">
        <f t="shared" si="32"/>
        <v/>
      </c>
      <c r="AJ93" s="23" t="str">
        <f t="shared" si="33"/>
        <v/>
      </c>
      <c r="AK93" s="23" t="str">
        <f t="shared" si="34"/>
        <v/>
      </c>
      <c r="AL93" s="23" t="str">
        <f t="shared" si="35"/>
        <v/>
      </c>
      <c r="AM93" s="52">
        <f t="shared" si="36"/>
        <v>1000</v>
      </c>
      <c r="AN93" s="26">
        <f t="shared" si="37"/>
        <v>-975.05072007557419</v>
      </c>
    </row>
    <row r="94" spans="1:40" x14ac:dyDescent="0.2">
      <c r="A94" s="12">
        <v>44648</v>
      </c>
      <c r="B94" s="6">
        <v>28</v>
      </c>
      <c r="C94" s="6">
        <v>87</v>
      </c>
      <c r="D94" s="6">
        <v>2</v>
      </c>
      <c r="E94" s="6" t="s">
        <v>13</v>
      </c>
      <c r="F94" s="6">
        <v>13</v>
      </c>
      <c r="G94" s="6">
        <v>3</v>
      </c>
      <c r="H94" s="6" t="s">
        <v>19</v>
      </c>
      <c r="I94" s="6">
        <v>1</v>
      </c>
      <c r="J94" s="14">
        <v>18.907750123501657</v>
      </c>
      <c r="K94" s="14">
        <v>39.873222401582929</v>
      </c>
      <c r="L94" s="14">
        <f t="shared" si="38"/>
        <v>753.91292578793866</v>
      </c>
      <c r="M94" s="16">
        <v>0.58448957148854908</v>
      </c>
      <c r="N94" s="14">
        <f t="shared" si="39"/>
        <v>440.65424293347058</v>
      </c>
      <c r="O94" s="14">
        <f t="shared" si="40"/>
        <v>313.25868285446808</v>
      </c>
      <c r="P94" s="14">
        <v>54.799249819074412</v>
      </c>
      <c r="Q94" s="14">
        <v>12.629137923019636</v>
      </c>
      <c r="R94" s="14">
        <f t="shared" si="24"/>
        <v>12.987012987012987</v>
      </c>
      <c r="S94" s="14">
        <v>34.251886673020429</v>
      </c>
      <c r="T94" s="14">
        <f t="shared" si="41"/>
        <v>527.73904805155701</v>
      </c>
      <c r="U94" s="14">
        <f t="shared" si="25"/>
        <v>27.911255681108049</v>
      </c>
      <c r="V94" s="14">
        <v>30.576604575589034</v>
      </c>
      <c r="W94" s="16">
        <f t="shared" si="42"/>
        <v>1.9633387492546854</v>
      </c>
      <c r="X94" s="16">
        <f t="shared" si="43"/>
        <v>0.61837311192481925</v>
      </c>
      <c r="Y94" s="16">
        <f t="shared" si="44"/>
        <v>0.83498510212649879</v>
      </c>
      <c r="Z94" s="16">
        <f t="shared" si="26"/>
        <v>0.67742384432741642</v>
      </c>
      <c r="AA94" s="16">
        <f t="shared" si="27"/>
        <v>1.7226144482719728E-2</v>
      </c>
      <c r="AB94" s="14">
        <f t="shared" si="45"/>
        <v>27.911255681108049</v>
      </c>
      <c r="AC94" s="16">
        <f t="shared" si="28"/>
        <v>0.31673231212228964</v>
      </c>
      <c r="AD94" s="16">
        <f t="shared" si="29"/>
        <v>7.2686444209458204E-2</v>
      </c>
      <c r="AE94" s="23" t="str">
        <f t="shared" si="46"/>
        <v/>
      </c>
      <c r="AF94" s="23" t="str">
        <f t="shared" si="30"/>
        <v/>
      </c>
      <c r="AG94" s="23" t="str">
        <f t="shared" si="31"/>
        <v/>
      </c>
      <c r="AH94" s="23" t="str">
        <f t="shared" si="47"/>
        <v/>
      </c>
      <c r="AI94" s="23" t="str">
        <f t="shared" si="32"/>
        <v/>
      </c>
      <c r="AJ94" s="23" t="str">
        <f t="shared" si="33"/>
        <v/>
      </c>
      <c r="AK94" s="23" t="str">
        <f t="shared" si="34"/>
        <v/>
      </c>
      <c r="AL94" s="23" t="str">
        <f t="shared" si="35"/>
        <v/>
      </c>
      <c r="AM94" s="52">
        <f t="shared" si="36"/>
        <v>0</v>
      </c>
      <c r="AN94" s="26">
        <f t="shared" si="37"/>
        <v>313.25868285446808</v>
      </c>
    </row>
    <row r="95" spans="1:40" x14ac:dyDescent="0.2">
      <c r="A95" s="12">
        <v>44649</v>
      </c>
      <c r="B95" s="6">
        <v>29</v>
      </c>
      <c r="C95" s="6">
        <v>88</v>
      </c>
      <c r="D95" s="6">
        <v>3</v>
      </c>
      <c r="E95" s="6" t="s">
        <v>14</v>
      </c>
      <c r="F95" s="6">
        <v>13</v>
      </c>
      <c r="G95" s="6">
        <v>3</v>
      </c>
      <c r="H95" s="6" t="s">
        <v>19</v>
      </c>
      <c r="I95" s="6">
        <v>1</v>
      </c>
      <c r="J95" s="14">
        <v>17.985093407803522</v>
      </c>
      <c r="K95" s="14">
        <v>45.782386421119028</v>
      </c>
      <c r="L95" s="14">
        <f t="shared" si="38"/>
        <v>823.40049621598132</v>
      </c>
      <c r="M95" s="16">
        <v>0.79734363279095399</v>
      </c>
      <c r="N95" s="14">
        <f t="shared" si="39"/>
        <v>656.53314289472473</v>
      </c>
      <c r="O95" s="14">
        <f t="shared" si="40"/>
        <v>166.86735332125659</v>
      </c>
      <c r="P95" s="14">
        <v>37.795412505852354</v>
      </c>
      <c r="Q95" s="14">
        <v>3.4401589164295605</v>
      </c>
      <c r="R95" s="14">
        <f t="shared" si="24"/>
        <v>12.987012987012987</v>
      </c>
      <c r="S95" s="14">
        <v>28.02606662395138</v>
      </c>
      <c r="T95" s="14">
        <f t="shared" si="41"/>
        <v>576.38034735118686</v>
      </c>
      <c r="U95" s="14">
        <f t="shared" si="25"/>
        <v>32.047670494783318</v>
      </c>
      <c r="V95" s="14">
        <v>32.621755415340502</v>
      </c>
      <c r="W95" s="16">
        <f t="shared" si="42"/>
        <v>1.1793497599772391</v>
      </c>
      <c r="X95" s="16">
        <f t="shared" si="43"/>
        <v>0.55132206034951647</v>
      </c>
      <c r="Y95" s="16">
        <f t="shared" si="44"/>
        <v>1.1390623325585059</v>
      </c>
      <c r="Z95" s="16">
        <f t="shared" si="26"/>
        <v>0.56119815044688237</v>
      </c>
      <c r="AA95" s="16">
        <f t="shared" si="27"/>
        <v>1.5772413359836548E-2</v>
      </c>
      <c r="AB95" s="14">
        <f t="shared" si="45"/>
        <v>32.047670494783318</v>
      </c>
      <c r="AC95" s="16">
        <f t="shared" si="28"/>
        <v>7.5141537725579202E-2</v>
      </c>
      <c r="AD95" s="16">
        <f t="shared" si="29"/>
        <v>4.5901614924383605E-2</v>
      </c>
      <c r="AE95" s="23" t="str">
        <f t="shared" si="46"/>
        <v/>
      </c>
      <c r="AF95" s="23" t="str">
        <f t="shared" si="30"/>
        <v/>
      </c>
      <c r="AG95" s="23" t="str">
        <f t="shared" si="31"/>
        <v/>
      </c>
      <c r="AH95" s="23" t="str">
        <f t="shared" si="47"/>
        <v/>
      </c>
      <c r="AI95" s="23" t="str">
        <f t="shared" si="32"/>
        <v/>
      </c>
      <c r="AJ95" s="23" t="str">
        <f t="shared" si="33"/>
        <v/>
      </c>
      <c r="AK95" s="23" t="str">
        <f t="shared" si="34"/>
        <v/>
      </c>
      <c r="AL95" s="23" t="str">
        <f t="shared" si="35"/>
        <v/>
      </c>
      <c r="AM95" s="52">
        <f t="shared" si="36"/>
        <v>0</v>
      </c>
      <c r="AN95" s="26">
        <f t="shared" si="37"/>
        <v>166.86735332125659</v>
      </c>
    </row>
    <row r="96" spans="1:40" x14ac:dyDescent="0.2">
      <c r="A96" s="12">
        <v>44650</v>
      </c>
      <c r="B96" s="6">
        <v>30</v>
      </c>
      <c r="C96" s="6">
        <v>89</v>
      </c>
      <c r="D96" s="6">
        <v>4</v>
      </c>
      <c r="E96" s="6" t="s">
        <v>15</v>
      </c>
      <c r="F96" s="6">
        <v>13</v>
      </c>
      <c r="G96" s="6">
        <v>3</v>
      </c>
      <c r="H96" s="6" t="s">
        <v>19</v>
      </c>
      <c r="I96" s="6">
        <v>1</v>
      </c>
      <c r="J96" s="14">
        <v>20.027311529915675</v>
      </c>
      <c r="K96" s="14">
        <v>14.11966050569248</v>
      </c>
      <c r="L96" s="14">
        <f t="shared" si="38"/>
        <v>282.77883964414997</v>
      </c>
      <c r="M96" s="16">
        <v>0.56344457915161628</v>
      </c>
      <c r="N96" s="14">
        <f t="shared" si="39"/>
        <v>159.33020429628047</v>
      </c>
      <c r="O96" s="14">
        <f t="shared" si="40"/>
        <v>123.4486353478695</v>
      </c>
      <c r="P96" s="14">
        <v>34.550084858402826</v>
      </c>
      <c r="Q96" s="14">
        <v>14.249250621092944</v>
      </c>
      <c r="R96" s="14">
        <f t="shared" si="24"/>
        <v>12.987012987012987</v>
      </c>
      <c r="S96" s="14">
        <v>25.14064992514232</v>
      </c>
      <c r="T96" s="14">
        <f t="shared" si="41"/>
        <v>197.94518775090498</v>
      </c>
      <c r="U96" s="14">
        <f t="shared" si="25"/>
        <v>9.8837623539847357</v>
      </c>
      <c r="V96" s="14">
        <v>36.525381588299872</v>
      </c>
      <c r="W96" s="16">
        <f t="shared" si="42"/>
        <v>3.4956409938846438</v>
      </c>
      <c r="X96" s="16">
        <f t="shared" si="43"/>
        <v>0.54831217797135889</v>
      </c>
      <c r="Y96" s="16">
        <f t="shared" si="44"/>
        <v>0.80492082735945181</v>
      </c>
      <c r="Z96" s="16">
        <f t="shared" si="26"/>
        <v>2.026284203589888</v>
      </c>
      <c r="AA96" s="16">
        <f t="shared" si="27"/>
        <v>4.5926396060454511E-2</v>
      </c>
      <c r="AB96" s="14">
        <f t="shared" si="45"/>
        <v>9.8837623539847357</v>
      </c>
      <c r="AC96" s="16">
        <f t="shared" si="28"/>
        <v>1.0091779908835783</v>
      </c>
      <c r="AD96" s="16">
        <f t="shared" si="29"/>
        <v>0.12218058784695769</v>
      </c>
      <c r="AE96" s="23" t="str">
        <f t="shared" si="46"/>
        <v/>
      </c>
      <c r="AF96" s="23" t="str">
        <f t="shared" si="30"/>
        <v/>
      </c>
      <c r="AG96" s="23" t="str">
        <f t="shared" si="31"/>
        <v/>
      </c>
      <c r="AH96" s="23" t="str">
        <f t="shared" si="47"/>
        <v/>
      </c>
      <c r="AI96" s="23" t="str">
        <f t="shared" si="32"/>
        <v/>
      </c>
      <c r="AJ96" s="23" t="str">
        <f t="shared" si="33"/>
        <v/>
      </c>
      <c r="AK96" s="23" t="str">
        <f t="shared" si="34"/>
        <v/>
      </c>
      <c r="AL96" s="23" t="str">
        <f t="shared" si="35"/>
        <v/>
      </c>
      <c r="AM96" s="52">
        <f t="shared" si="36"/>
        <v>0</v>
      </c>
      <c r="AN96" s="26">
        <f t="shared" si="37"/>
        <v>123.4486353478695</v>
      </c>
    </row>
    <row r="97" spans="1:40" x14ac:dyDescent="0.2">
      <c r="A97" s="12">
        <v>44651</v>
      </c>
      <c r="B97" s="6">
        <v>31</v>
      </c>
      <c r="C97" s="6">
        <v>90</v>
      </c>
      <c r="D97" s="6">
        <v>5</v>
      </c>
      <c r="E97" s="6" t="s">
        <v>16</v>
      </c>
      <c r="F97" s="6">
        <v>13</v>
      </c>
      <c r="G97" s="6">
        <v>3</v>
      </c>
      <c r="H97" s="6" t="s">
        <v>19</v>
      </c>
      <c r="I97" s="6">
        <v>1</v>
      </c>
      <c r="J97" s="14">
        <v>1.2430441637330754</v>
      </c>
      <c r="K97" s="14">
        <v>84.151824533780768</v>
      </c>
      <c r="L97" s="14">
        <f t="shared" si="38"/>
        <v>104.60443435420601</v>
      </c>
      <c r="M97" s="16">
        <v>0.41485098407562848</v>
      </c>
      <c r="N97" s="14">
        <f t="shared" si="39"/>
        <v>43.395252530516842</v>
      </c>
      <c r="O97" s="14">
        <f t="shared" si="40"/>
        <v>61.209181823689164</v>
      </c>
      <c r="P97" s="14">
        <v>34.639162021925443</v>
      </c>
      <c r="Q97" s="14">
        <v>14.575981459028363</v>
      </c>
      <c r="R97" s="14">
        <f t="shared" si="24"/>
        <v>12.987012987012987</v>
      </c>
      <c r="S97" s="14">
        <v>41.179095024647765</v>
      </c>
      <c r="T97" s="14">
        <f t="shared" si="41"/>
        <v>73.223104047944204</v>
      </c>
      <c r="U97" s="14">
        <f t="shared" si="25"/>
        <v>58.906277173646536</v>
      </c>
      <c r="V97" s="14">
        <v>33.932346958941139</v>
      </c>
      <c r="W97" s="16">
        <f t="shared" si="42"/>
        <v>0.58803855351127665</v>
      </c>
      <c r="X97" s="16">
        <f t="shared" si="43"/>
        <v>3.6633014664066273E-2</v>
      </c>
      <c r="Y97" s="16">
        <f t="shared" si="44"/>
        <v>0.59264426296518358</v>
      </c>
      <c r="Z97" s="16">
        <f t="shared" si="26"/>
        <v>2.1102066254650158E-2</v>
      </c>
      <c r="AA97" s="16">
        <f t="shared" si="27"/>
        <v>0.12415356067064089</v>
      </c>
      <c r="AB97" s="14">
        <f t="shared" si="45"/>
        <v>58.906277173646536</v>
      </c>
      <c r="AC97" s="16">
        <f t="shared" si="28"/>
        <v>0.17321052205085793</v>
      </c>
      <c r="AD97" s="16">
        <f t="shared" si="29"/>
        <v>0.33114429838253456</v>
      </c>
      <c r="AE97" s="23" t="str">
        <f t="shared" si="46"/>
        <v/>
      </c>
      <c r="AF97" s="23" t="str">
        <f t="shared" si="30"/>
        <v/>
      </c>
      <c r="AG97" s="23" t="str">
        <f t="shared" si="31"/>
        <v/>
      </c>
      <c r="AH97" s="23" t="str">
        <f t="shared" si="47"/>
        <v/>
      </c>
      <c r="AI97" s="23" t="str">
        <f t="shared" si="32"/>
        <v/>
      </c>
      <c r="AJ97" s="23" t="str">
        <f t="shared" si="33"/>
        <v/>
      </c>
      <c r="AK97" s="23" t="str">
        <f t="shared" si="34"/>
        <v/>
      </c>
      <c r="AL97" s="23" t="str">
        <f t="shared" si="35"/>
        <v/>
      </c>
      <c r="AM97" s="52">
        <f t="shared" si="36"/>
        <v>0</v>
      </c>
      <c r="AN97" s="26">
        <f t="shared" si="37"/>
        <v>61.209181823689164</v>
      </c>
    </row>
    <row r="98" spans="1:40" x14ac:dyDescent="0.2">
      <c r="A98" s="12">
        <v>44652</v>
      </c>
      <c r="B98" s="6">
        <v>1</v>
      </c>
      <c r="C98" s="6">
        <v>91</v>
      </c>
      <c r="D98" s="6">
        <v>6</v>
      </c>
      <c r="E98" s="6" t="s">
        <v>17</v>
      </c>
      <c r="F98" s="6">
        <v>13</v>
      </c>
      <c r="G98" s="6">
        <v>4</v>
      </c>
      <c r="H98" s="6" t="s">
        <v>20</v>
      </c>
      <c r="I98" s="6">
        <v>2</v>
      </c>
      <c r="J98" s="14">
        <v>13.567359009403061</v>
      </c>
      <c r="K98" s="14">
        <v>105.58567448601754</v>
      </c>
      <c r="L98" s="14">
        <f t="shared" si="38"/>
        <v>1432.5187520017689</v>
      </c>
      <c r="M98" s="16">
        <v>0.64382352614598204</v>
      </c>
      <c r="N98" s="14">
        <f t="shared" si="39"/>
        <v>922.28927418402043</v>
      </c>
      <c r="O98" s="14">
        <f t="shared" si="40"/>
        <v>510.22947781774849</v>
      </c>
      <c r="P98" s="14">
        <v>39.094251125200685</v>
      </c>
      <c r="Q98" s="14">
        <v>3.5086074667683156</v>
      </c>
      <c r="R98" s="14">
        <f t="shared" si="24"/>
        <v>12.987012987012987</v>
      </c>
      <c r="S98" s="14">
        <v>31.414717731074891</v>
      </c>
      <c r="T98" s="14">
        <f t="shared" si="41"/>
        <v>1002.7631264012382</v>
      </c>
      <c r="U98" s="14">
        <f t="shared" si="25"/>
        <v>73.909972140212275</v>
      </c>
      <c r="V98" s="14">
        <v>33.113959665183359</v>
      </c>
      <c r="W98" s="16">
        <f t="shared" si="42"/>
        <v>0.52894420053407964</v>
      </c>
      <c r="X98" s="16">
        <f t="shared" si="43"/>
        <v>0.40971720526881111</v>
      </c>
      <c r="Y98" s="16">
        <f t="shared" si="44"/>
        <v>0.91974789449426009</v>
      </c>
      <c r="Z98" s="16">
        <f t="shared" si="26"/>
        <v>0.18356601438930126</v>
      </c>
      <c r="AA98" s="16">
        <f t="shared" si="27"/>
        <v>9.0658589766208861E-3</v>
      </c>
      <c r="AB98" s="14">
        <f t="shared" si="45"/>
        <v>73.909972140212275</v>
      </c>
      <c r="AC98" s="16">
        <f t="shared" si="28"/>
        <v>3.3229957414658104E-2</v>
      </c>
      <c r="AD98" s="16">
        <f t="shared" si="29"/>
        <v>2.7290568497320731E-2</v>
      </c>
      <c r="AE98" s="23">
        <f t="shared" si="46"/>
        <v>3000</v>
      </c>
      <c r="AF98" s="23" t="str">
        <f t="shared" si="30"/>
        <v/>
      </c>
      <c r="AG98" s="23" t="str">
        <f t="shared" si="31"/>
        <v/>
      </c>
      <c r="AH98" s="23" t="str">
        <f t="shared" si="47"/>
        <v/>
      </c>
      <c r="AI98" s="23" t="str">
        <f t="shared" si="32"/>
        <v/>
      </c>
      <c r="AJ98" s="23" t="str">
        <f t="shared" si="33"/>
        <v/>
      </c>
      <c r="AK98" s="23" t="str">
        <f t="shared" si="34"/>
        <v/>
      </c>
      <c r="AL98" s="23" t="str">
        <f t="shared" si="35"/>
        <v/>
      </c>
      <c r="AM98" s="52">
        <f t="shared" si="36"/>
        <v>3000</v>
      </c>
      <c r="AN98" s="26">
        <f t="shared" si="37"/>
        <v>-2489.7705221822516</v>
      </c>
    </row>
    <row r="99" spans="1:40" x14ac:dyDescent="0.2">
      <c r="A99" s="12">
        <v>44653</v>
      </c>
      <c r="B99" s="6">
        <v>2</v>
      </c>
      <c r="C99" s="6">
        <v>92</v>
      </c>
      <c r="D99" s="6">
        <v>7</v>
      </c>
      <c r="E99" s="6" t="s">
        <v>10</v>
      </c>
      <c r="F99" s="6">
        <v>13</v>
      </c>
      <c r="G99" s="6">
        <v>4</v>
      </c>
      <c r="H99" s="6" t="s">
        <v>20</v>
      </c>
      <c r="I99" s="6">
        <v>2</v>
      </c>
      <c r="J99" s="14">
        <v>16.415465926649365</v>
      </c>
      <c r="K99" s="14">
        <v>108.1032226885078</v>
      </c>
      <c r="L99" s="14">
        <f t="shared" si="38"/>
        <v>1774.5647686041882</v>
      </c>
      <c r="M99" s="16">
        <v>0.49389328542145294</v>
      </c>
      <c r="N99" s="14">
        <f t="shared" si="39"/>
        <v>876.44562375908288</v>
      </c>
      <c r="O99" s="14">
        <f t="shared" si="40"/>
        <v>898.11914484510532</v>
      </c>
      <c r="P99" s="14">
        <v>24.359656295617235</v>
      </c>
      <c r="Q99" s="14">
        <v>2.4373241038359774</v>
      </c>
      <c r="R99" s="14">
        <f t="shared" si="24"/>
        <v>12.987012987012987</v>
      </c>
      <c r="S99" s="14">
        <v>28.51248770834404</v>
      </c>
      <c r="T99" s="14">
        <f t="shared" si="41"/>
        <v>1242.1953380229318</v>
      </c>
      <c r="U99" s="14">
        <f t="shared" si="25"/>
        <v>75.672255881955451</v>
      </c>
      <c r="V99" s="14">
        <v>23.980987406315421</v>
      </c>
      <c r="W99" s="16">
        <f t="shared" si="42"/>
        <v>0.32191000534749431</v>
      </c>
      <c r="X99" s="16">
        <f t="shared" si="43"/>
        <v>0.68452001781737859</v>
      </c>
      <c r="Y99" s="16">
        <f t="shared" si="44"/>
        <v>0.70556183631636127</v>
      </c>
      <c r="Z99" s="16">
        <f t="shared" si="26"/>
        <v>0.21692845991345344</v>
      </c>
      <c r="AA99" s="16">
        <f t="shared" si="27"/>
        <v>7.3184215176480289E-3</v>
      </c>
      <c r="AB99" s="14">
        <f t="shared" si="45"/>
        <v>75.672255881955451</v>
      </c>
      <c r="AC99" s="16">
        <f t="shared" si="28"/>
        <v>2.2546266829241195E-2</v>
      </c>
      <c r="AD99" s="16">
        <f t="shared" si="29"/>
        <v>1.372711592531937E-2</v>
      </c>
      <c r="AE99" s="23" t="str">
        <f t="shared" si="46"/>
        <v/>
      </c>
      <c r="AF99" s="23" t="str">
        <f t="shared" si="30"/>
        <v/>
      </c>
      <c r="AG99" s="23" t="str">
        <f t="shared" si="31"/>
        <v/>
      </c>
      <c r="AH99" s="23" t="str">
        <f t="shared" si="47"/>
        <v/>
      </c>
      <c r="AI99" s="23" t="str">
        <f t="shared" si="32"/>
        <v/>
      </c>
      <c r="AJ99" s="23" t="str">
        <f t="shared" si="33"/>
        <v/>
      </c>
      <c r="AK99" s="23" t="str">
        <f t="shared" si="34"/>
        <v/>
      </c>
      <c r="AL99" s="23" t="str">
        <f t="shared" si="35"/>
        <v/>
      </c>
      <c r="AM99" s="52">
        <f t="shared" si="36"/>
        <v>0</v>
      </c>
      <c r="AN99" s="26">
        <f t="shared" si="37"/>
        <v>898.11914484510532</v>
      </c>
    </row>
    <row r="100" spans="1:40" x14ac:dyDescent="0.2">
      <c r="A100" s="12">
        <v>44654</v>
      </c>
      <c r="B100" s="6">
        <v>3</v>
      </c>
      <c r="C100" s="6">
        <v>93</v>
      </c>
      <c r="D100" s="6">
        <v>1</v>
      </c>
      <c r="E100" s="6" t="s">
        <v>12</v>
      </c>
      <c r="F100" s="6">
        <v>14</v>
      </c>
      <c r="G100" s="6">
        <v>4</v>
      </c>
      <c r="H100" s="6" t="s">
        <v>20</v>
      </c>
      <c r="I100" s="6">
        <v>2</v>
      </c>
      <c r="J100" s="14">
        <v>12.788308734405284</v>
      </c>
      <c r="K100" s="14">
        <v>18.090927944629197</v>
      </c>
      <c r="L100" s="14">
        <f t="shared" si="38"/>
        <v>231.3523718477982</v>
      </c>
      <c r="M100" s="16">
        <v>0.24587493552140516</v>
      </c>
      <c r="N100" s="14">
        <f t="shared" si="39"/>
        <v>56.883749510801529</v>
      </c>
      <c r="O100" s="14">
        <f t="shared" si="40"/>
        <v>174.46862233699667</v>
      </c>
      <c r="P100" s="14">
        <v>12.145399151869968</v>
      </c>
      <c r="Q100" s="14">
        <v>6.6955699597703369</v>
      </c>
      <c r="R100" s="14">
        <f t="shared" si="24"/>
        <v>28.571428571428573</v>
      </c>
      <c r="S100" s="14">
        <v>16.006669696857077</v>
      </c>
      <c r="T100" s="14">
        <f t="shared" si="41"/>
        <v>161.94666029345873</v>
      </c>
      <c r="U100" s="14">
        <f t="shared" si="25"/>
        <v>12.663649561240439</v>
      </c>
      <c r="V100" s="14">
        <v>13.108794045884117</v>
      </c>
      <c r="W100" s="16">
        <f t="shared" si="42"/>
        <v>0.95907574614535485</v>
      </c>
      <c r="X100" s="16">
        <f t="shared" si="43"/>
        <v>0.97555188445580476</v>
      </c>
      <c r="Y100" s="16">
        <f t="shared" si="44"/>
        <v>0.35124990788772165</v>
      </c>
      <c r="Z100" s="16">
        <f t="shared" si="26"/>
        <v>1.0098438584044831</v>
      </c>
      <c r="AA100" s="16">
        <f t="shared" si="27"/>
        <v>0.12349745257950115</v>
      </c>
      <c r="AB100" s="14">
        <f t="shared" si="45"/>
        <v>12.663649561240439</v>
      </c>
      <c r="AC100" s="16">
        <f t="shared" si="28"/>
        <v>0.37010649648616317</v>
      </c>
      <c r="AD100" s="16">
        <f t="shared" si="29"/>
        <v>5.2497404953601119E-2</v>
      </c>
      <c r="AE100" s="23" t="str">
        <f t="shared" si="46"/>
        <v/>
      </c>
      <c r="AF100" s="23">
        <f t="shared" si="30"/>
        <v>1000</v>
      </c>
      <c r="AG100" s="23" t="str">
        <f t="shared" si="31"/>
        <v/>
      </c>
      <c r="AH100" s="23" t="str">
        <f t="shared" si="47"/>
        <v/>
      </c>
      <c r="AI100" s="23" t="str">
        <f t="shared" si="32"/>
        <v/>
      </c>
      <c r="AJ100" s="23" t="str">
        <f t="shared" si="33"/>
        <v/>
      </c>
      <c r="AK100" s="23" t="str">
        <f t="shared" si="34"/>
        <v/>
      </c>
      <c r="AL100" s="23" t="str">
        <f t="shared" si="35"/>
        <v/>
      </c>
      <c r="AM100" s="52">
        <f t="shared" si="36"/>
        <v>1000</v>
      </c>
      <c r="AN100" s="26">
        <f t="shared" si="37"/>
        <v>-825.53137766300335</v>
      </c>
    </row>
    <row r="101" spans="1:40" x14ac:dyDescent="0.2">
      <c r="A101" s="12">
        <v>44655</v>
      </c>
      <c r="B101" s="6">
        <v>4</v>
      </c>
      <c r="C101" s="6">
        <v>94</v>
      </c>
      <c r="D101" s="6">
        <v>2</v>
      </c>
      <c r="E101" s="6" t="s">
        <v>13</v>
      </c>
      <c r="F101" s="6">
        <v>14</v>
      </c>
      <c r="G101" s="6">
        <v>4</v>
      </c>
      <c r="H101" s="6" t="s">
        <v>20</v>
      </c>
      <c r="I101" s="6">
        <v>2</v>
      </c>
      <c r="J101" s="14">
        <v>19.028807251434309</v>
      </c>
      <c r="K101" s="14">
        <v>66.328180371697414</v>
      </c>
      <c r="L101" s="14">
        <f t="shared" si="38"/>
        <v>1262.1461596313984</v>
      </c>
      <c r="M101" s="16">
        <v>0.33508825278356913</v>
      </c>
      <c r="N101" s="14">
        <f t="shared" si="39"/>
        <v>422.93035138837701</v>
      </c>
      <c r="O101" s="14">
        <f t="shared" si="40"/>
        <v>839.21580824302146</v>
      </c>
      <c r="P101" s="14">
        <v>43.779874150952701</v>
      </c>
      <c r="Q101" s="14">
        <v>18.166874829395276</v>
      </c>
      <c r="R101" s="14">
        <f t="shared" si="24"/>
        <v>12.987012987012987</v>
      </c>
      <c r="S101" s="14">
        <v>26.581501237317966</v>
      </c>
      <c r="T101" s="14">
        <f t="shared" si="41"/>
        <v>883.50231174197882</v>
      </c>
      <c r="U101" s="14">
        <f t="shared" si="25"/>
        <v>46.429726260188183</v>
      </c>
      <c r="V101" s="14">
        <v>36.482717566830047</v>
      </c>
      <c r="W101" s="16">
        <f t="shared" si="42"/>
        <v>0.94292768183930398</v>
      </c>
      <c r="X101" s="16">
        <f t="shared" si="43"/>
        <v>0.52158415053858898</v>
      </c>
      <c r="Y101" s="16">
        <f t="shared" si="44"/>
        <v>0.47869750397652733</v>
      </c>
      <c r="Z101" s="16">
        <f t="shared" si="26"/>
        <v>0.40984103901019175</v>
      </c>
      <c r="AA101" s="16">
        <f t="shared" si="27"/>
        <v>1.028962682959457E-2</v>
      </c>
      <c r="AB101" s="14">
        <f t="shared" si="45"/>
        <v>46.429726260188183</v>
      </c>
      <c r="AC101" s="16">
        <f t="shared" si="28"/>
        <v>0.27389376171017615</v>
      </c>
      <c r="AD101" s="16">
        <f t="shared" si="29"/>
        <v>3.4686849709813582E-2</v>
      </c>
      <c r="AE101" s="23" t="str">
        <f t="shared" si="46"/>
        <v/>
      </c>
      <c r="AF101" s="23" t="str">
        <f t="shared" si="30"/>
        <v/>
      </c>
      <c r="AG101" s="23" t="str">
        <f t="shared" si="31"/>
        <v/>
      </c>
      <c r="AH101" s="23" t="str">
        <f t="shared" si="47"/>
        <v/>
      </c>
      <c r="AI101" s="23" t="str">
        <f t="shared" si="32"/>
        <v/>
      </c>
      <c r="AJ101" s="23" t="str">
        <f t="shared" si="33"/>
        <v/>
      </c>
      <c r="AK101" s="23" t="str">
        <f t="shared" si="34"/>
        <v/>
      </c>
      <c r="AL101" s="23" t="str">
        <f t="shared" si="35"/>
        <v/>
      </c>
      <c r="AM101" s="52">
        <f t="shared" si="36"/>
        <v>0</v>
      </c>
      <c r="AN101" s="26">
        <f t="shared" si="37"/>
        <v>839.21580824302146</v>
      </c>
    </row>
    <row r="102" spans="1:40" x14ac:dyDescent="0.2">
      <c r="A102" s="12">
        <v>44656</v>
      </c>
      <c r="B102" s="6">
        <v>5</v>
      </c>
      <c r="C102" s="6">
        <v>95</v>
      </c>
      <c r="D102" s="6">
        <v>3</v>
      </c>
      <c r="E102" s="6" t="s">
        <v>14</v>
      </c>
      <c r="F102" s="6">
        <v>14</v>
      </c>
      <c r="G102" s="6">
        <v>4</v>
      </c>
      <c r="H102" s="6" t="s">
        <v>20</v>
      </c>
      <c r="I102" s="6">
        <v>2</v>
      </c>
      <c r="J102" s="14">
        <v>17.650596470389836</v>
      </c>
      <c r="K102" s="14">
        <v>108.22852052839411</v>
      </c>
      <c r="L102" s="14">
        <f t="shared" si="38"/>
        <v>1910.2979424339869</v>
      </c>
      <c r="M102" s="16">
        <v>0.32532581002540079</v>
      </c>
      <c r="N102" s="14">
        <f t="shared" si="39"/>
        <v>621.46922551219325</v>
      </c>
      <c r="O102" s="14">
        <f t="shared" si="40"/>
        <v>1288.8287169217938</v>
      </c>
      <c r="P102" s="14">
        <v>24.368912729331658</v>
      </c>
      <c r="Q102" s="14">
        <v>6.6554587892311279</v>
      </c>
      <c r="R102" s="14">
        <f t="shared" si="24"/>
        <v>12.987012987012987</v>
      </c>
      <c r="S102" s="14">
        <v>31.665727705091687</v>
      </c>
      <c r="T102" s="14">
        <f t="shared" si="41"/>
        <v>1337.2085597037908</v>
      </c>
      <c r="U102" s="14">
        <f t="shared" si="25"/>
        <v>75.759964369875874</v>
      </c>
      <c r="V102" s="14">
        <v>28.883381922180693</v>
      </c>
      <c r="W102" s="16">
        <f t="shared" si="42"/>
        <v>0.32165950620511868</v>
      </c>
      <c r="X102" s="16">
        <f t="shared" si="43"/>
        <v>0.61109867666968887</v>
      </c>
      <c r="Y102" s="16">
        <f t="shared" si="44"/>
        <v>0.464751157179144</v>
      </c>
      <c r="Z102" s="16">
        <f t="shared" si="26"/>
        <v>0.23298052760711396</v>
      </c>
      <c r="AA102" s="16">
        <f t="shared" si="27"/>
        <v>6.7984227478493304E-3</v>
      </c>
      <c r="AB102" s="14">
        <f t="shared" si="45"/>
        <v>75.759964369875874</v>
      </c>
      <c r="AC102" s="16">
        <f t="shared" si="28"/>
        <v>6.1494500310433846E-2</v>
      </c>
      <c r="AD102" s="16">
        <f t="shared" si="29"/>
        <v>1.2756603139237146E-2</v>
      </c>
      <c r="AE102" s="23" t="str">
        <f t="shared" si="46"/>
        <v/>
      </c>
      <c r="AF102" s="23" t="str">
        <f t="shared" si="30"/>
        <v/>
      </c>
      <c r="AG102" s="23" t="str">
        <f t="shared" si="31"/>
        <v/>
      </c>
      <c r="AH102" s="23" t="str">
        <f t="shared" si="47"/>
        <v/>
      </c>
      <c r="AI102" s="23" t="str">
        <f t="shared" si="32"/>
        <v/>
      </c>
      <c r="AJ102" s="23" t="str">
        <f t="shared" si="33"/>
        <v/>
      </c>
      <c r="AK102" s="23" t="str">
        <f t="shared" si="34"/>
        <v/>
      </c>
      <c r="AL102" s="23">
        <f t="shared" si="35"/>
        <v>1000</v>
      </c>
      <c r="AM102" s="52">
        <f t="shared" si="36"/>
        <v>1000</v>
      </c>
      <c r="AN102" s="26">
        <f t="shared" si="37"/>
        <v>288.82871692179378</v>
      </c>
    </row>
    <row r="103" spans="1:40" x14ac:dyDescent="0.2">
      <c r="A103" s="12">
        <v>44657</v>
      </c>
      <c r="B103" s="6">
        <v>6</v>
      </c>
      <c r="C103" s="6">
        <v>96</v>
      </c>
      <c r="D103" s="6">
        <v>4</v>
      </c>
      <c r="E103" s="6" t="s">
        <v>15</v>
      </c>
      <c r="F103" s="6">
        <v>14</v>
      </c>
      <c r="G103" s="6">
        <v>4</v>
      </c>
      <c r="H103" s="6" t="s">
        <v>20</v>
      </c>
      <c r="I103" s="6">
        <v>2</v>
      </c>
      <c r="J103" s="14">
        <v>14.115119678837461</v>
      </c>
      <c r="K103" s="14">
        <v>36.609521740037309</v>
      </c>
      <c r="L103" s="14">
        <f t="shared" si="38"/>
        <v>516.74778074562846</v>
      </c>
      <c r="M103" s="16">
        <v>0.70897726600299582</v>
      </c>
      <c r="N103" s="14">
        <f t="shared" si="39"/>
        <v>366.36242880615117</v>
      </c>
      <c r="O103" s="14">
        <f t="shared" si="40"/>
        <v>150.38535193947729</v>
      </c>
      <c r="P103" s="14">
        <v>42.548060962857896</v>
      </c>
      <c r="Q103" s="14">
        <v>12.76728807049229</v>
      </c>
      <c r="R103" s="14">
        <f t="shared" si="24"/>
        <v>12.987012987012987</v>
      </c>
      <c r="S103" s="14">
        <v>30.035376853794453</v>
      </c>
      <c r="T103" s="14">
        <f t="shared" si="41"/>
        <v>361.72344652193988</v>
      </c>
      <c r="U103" s="14">
        <f t="shared" si="25"/>
        <v>25.626665218026112</v>
      </c>
      <c r="V103" s="14">
        <v>27.525273389027042</v>
      </c>
      <c r="W103" s="16">
        <f t="shared" si="42"/>
        <v>1.6603042417290044</v>
      </c>
      <c r="X103" s="16">
        <f t="shared" si="43"/>
        <v>0.51280579412753291</v>
      </c>
      <c r="Y103" s="16">
        <f t="shared" si="44"/>
        <v>1.0128246657185656</v>
      </c>
      <c r="Z103" s="16">
        <f t="shared" si="26"/>
        <v>0.55079814555460427</v>
      </c>
      <c r="AA103" s="16">
        <f t="shared" si="27"/>
        <v>2.5132208537545525E-2</v>
      </c>
      <c r="AB103" s="14">
        <f t="shared" si="45"/>
        <v>25.626665218026112</v>
      </c>
      <c r="AC103" s="16">
        <f t="shared" si="28"/>
        <v>0.34874227970395982</v>
      </c>
      <c r="AD103" s="16">
        <f t="shared" si="29"/>
        <v>8.233815905597934E-2</v>
      </c>
      <c r="AE103" s="23" t="str">
        <f t="shared" si="46"/>
        <v/>
      </c>
      <c r="AF103" s="23" t="str">
        <f t="shared" si="30"/>
        <v/>
      </c>
      <c r="AG103" s="23" t="str">
        <f t="shared" si="31"/>
        <v/>
      </c>
      <c r="AH103" s="23" t="str">
        <f t="shared" si="47"/>
        <v/>
      </c>
      <c r="AI103" s="23" t="str">
        <f t="shared" si="32"/>
        <v/>
      </c>
      <c r="AJ103" s="23" t="str">
        <f t="shared" si="33"/>
        <v/>
      </c>
      <c r="AK103" s="23" t="str">
        <f t="shared" si="34"/>
        <v/>
      </c>
      <c r="AL103" s="23" t="str">
        <f t="shared" si="35"/>
        <v/>
      </c>
      <c r="AM103" s="52">
        <f t="shared" si="36"/>
        <v>0</v>
      </c>
      <c r="AN103" s="26">
        <f t="shared" si="37"/>
        <v>150.38535193947729</v>
      </c>
    </row>
    <row r="104" spans="1:40" x14ac:dyDescent="0.2">
      <c r="A104" s="12">
        <v>44658</v>
      </c>
      <c r="B104" s="6">
        <v>7</v>
      </c>
      <c r="C104" s="6">
        <v>97</v>
      </c>
      <c r="D104" s="6">
        <v>5</v>
      </c>
      <c r="E104" s="6" t="s">
        <v>16</v>
      </c>
      <c r="F104" s="6">
        <v>14</v>
      </c>
      <c r="G104" s="6">
        <v>4</v>
      </c>
      <c r="H104" s="6" t="s">
        <v>20</v>
      </c>
      <c r="I104" s="6">
        <v>2</v>
      </c>
      <c r="J104" s="14">
        <v>19.723834551617827</v>
      </c>
      <c r="K104" s="14">
        <v>70.82237083395529</v>
      </c>
      <c r="L104" s="14">
        <f t="shared" si="38"/>
        <v>1396.888724882258</v>
      </c>
      <c r="M104" s="16">
        <v>0.74914207568861513</v>
      </c>
      <c r="N104" s="14">
        <f t="shared" si="39"/>
        <v>1046.4681188643176</v>
      </c>
      <c r="O104" s="14">
        <f t="shared" si="40"/>
        <v>350.42060601794037</v>
      </c>
      <c r="P104" s="14">
        <v>40.516345038606524</v>
      </c>
      <c r="Q104" s="14">
        <v>11.820868135282756</v>
      </c>
      <c r="R104" s="14">
        <f t="shared" si="24"/>
        <v>12.987012987012987</v>
      </c>
      <c r="S104" s="14">
        <v>32.174231220848782</v>
      </c>
      <c r="T104" s="14">
        <f t="shared" si="41"/>
        <v>977.82210741758047</v>
      </c>
      <c r="U104" s="14">
        <f t="shared" si="25"/>
        <v>49.575659583768697</v>
      </c>
      <c r="V104" s="14">
        <v>25.290422673913906</v>
      </c>
      <c r="W104" s="16">
        <f t="shared" si="42"/>
        <v>0.81726285396456455</v>
      </c>
      <c r="X104" s="16">
        <f t="shared" si="43"/>
        <v>0.77989343262191502</v>
      </c>
      <c r="Y104" s="16">
        <f t="shared" si="44"/>
        <v>1.0702029652694502</v>
      </c>
      <c r="Z104" s="16">
        <f t="shared" si="26"/>
        <v>0.39785319483828918</v>
      </c>
      <c r="AA104" s="16">
        <f t="shared" si="27"/>
        <v>9.2970991573488766E-3</v>
      </c>
      <c r="AB104" s="14">
        <f t="shared" si="45"/>
        <v>49.575659583768697</v>
      </c>
      <c r="AC104" s="16">
        <f t="shared" si="28"/>
        <v>0.16690867583347441</v>
      </c>
      <c r="AD104" s="16">
        <f t="shared" si="29"/>
        <v>2.9004704753430949E-2</v>
      </c>
      <c r="AE104" s="23" t="str">
        <f t="shared" si="46"/>
        <v/>
      </c>
      <c r="AF104" s="23" t="str">
        <f t="shared" si="30"/>
        <v/>
      </c>
      <c r="AG104" s="23" t="str">
        <f t="shared" si="31"/>
        <v/>
      </c>
      <c r="AH104" s="23" t="str">
        <f t="shared" si="47"/>
        <v/>
      </c>
      <c r="AI104" s="23" t="str">
        <f t="shared" si="32"/>
        <v/>
      </c>
      <c r="AJ104" s="23" t="str">
        <f t="shared" si="33"/>
        <v/>
      </c>
      <c r="AK104" s="23" t="str">
        <f t="shared" si="34"/>
        <v/>
      </c>
      <c r="AL104" s="23" t="str">
        <f t="shared" si="35"/>
        <v/>
      </c>
      <c r="AM104" s="52">
        <f t="shared" si="36"/>
        <v>0</v>
      </c>
      <c r="AN104" s="26">
        <f t="shared" si="37"/>
        <v>350.42060601794037</v>
      </c>
    </row>
    <row r="105" spans="1:40" x14ac:dyDescent="0.2">
      <c r="A105" s="12">
        <v>44659</v>
      </c>
      <c r="B105" s="6">
        <v>8</v>
      </c>
      <c r="C105" s="6">
        <v>98</v>
      </c>
      <c r="D105" s="6">
        <v>6</v>
      </c>
      <c r="E105" s="6" t="s">
        <v>17</v>
      </c>
      <c r="F105" s="6">
        <v>14</v>
      </c>
      <c r="G105" s="6">
        <v>4</v>
      </c>
      <c r="H105" s="6" t="s">
        <v>20</v>
      </c>
      <c r="I105" s="6">
        <v>2</v>
      </c>
      <c r="J105" s="14">
        <v>25.907810103172306</v>
      </c>
      <c r="K105" s="14">
        <v>70.941605023892592</v>
      </c>
      <c r="L105" s="14">
        <f t="shared" si="38"/>
        <v>1837.9416313732636</v>
      </c>
      <c r="M105" s="16">
        <v>0.42738767718128562</v>
      </c>
      <c r="N105" s="14">
        <f t="shared" si="39"/>
        <v>785.51360462740183</v>
      </c>
      <c r="O105" s="14">
        <f t="shared" si="40"/>
        <v>1052.4280267458616</v>
      </c>
      <c r="P105" s="14">
        <v>33.251620518193171</v>
      </c>
      <c r="Q105" s="14">
        <v>12.547860232595646</v>
      </c>
      <c r="R105" s="14">
        <f t="shared" si="24"/>
        <v>12.987012987012987</v>
      </c>
      <c r="S105" s="14">
        <v>33.203603364126636</v>
      </c>
      <c r="T105" s="14">
        <f t="shared" si="41"/>
        <v>1286.5591419612845</v>
      </c>
      <c r="U105" s="14">
        <f t="shared" si="25"/>
        <v>49.659123516724812</v>
      </c>
      <c r="V105" s="14">
        <v>29.95962027291052</v>
      </c>
      <c r="W105" s="16">
        <f t="shared" si="42"/>
        <v>0.66959741057439892</v>
      </c>
      <c r="X105" s="16">
        <f t="shared" si="43"/>
        <v>0.86475762600362927</v>
      </c>
      <c r="Y105" s="16">
        <f t="shared" si="44"/>
        <v>0.61055382454469376</v>
      </c>
      <c r="Z105" s="16">
        <f t="shared" si="26"/>
        <v>0.52171299588980369</v>
      </c>
      <c r="AA105" s="16">
        <f t="shared" si="27"/>
        <v>7.0660638865388875E-3</v>
      </c>
      <c r="AB105" s="14">
        <f t="shared" si="45"/>
        <v>49.659123516724812</v>
      </c>
      <c r="AC105" s="16">
        <f t="shared" si="28"/>
        <v>0.17687589995137018</v>
      </c>
      <c r="AD105" s="16">
        <f t="shared" si="29"/>
        <v>1.8091771768262519E-2</v>
      </c>
      <c r="AE105" s="23" t="str">
        <f t="shared" si="46"/>
        <v/>
      </c>
      <c r="AF105" s="23" t="str">
        <f t="shared" si="30"/>
        <v/>
      </c>
      <c r="AG105" s="23" t="str">
        <f t="shared" si="31"/>
        <v/>
      </c>
      <c r="AH105" s="23" t="str">
        <f t="shared" si="47"/>
        <v/>
      </c>
      <c r="AI105" s="23" t="str">
        <f t="shared" si="32"/>
        <v/>
      </c>
      <c r="AJ105" s="23" t="str">
        <f t="shared" si="33"/>
        <v/>
      </c>
      <c r="AK105" s="23" t="str">
        <f t="shared" si="34"/>
        <v/>
      </c>
      <c r="AL105" s="23" t="str">
        <f t="shared" si="35"/>
        <v/>
      </c>
      <c r="AM105" s="52">
        <f t="shared" si="36"/>
        <v>0</v>
      </c>
      <c r="AN105" s="26">
        <f t="shared" si="37"/>
        <v>1052.4280267458616</v>
      </c>
    </row>
    <row r="106" spans="1:40" x14ac:dyDescent="0.2">
      <c r="A106" s="12">
        <v>44660</v>
      </c>
      <c r="B106" s="6">
        <v>9</v>
      </c>
      <c r="C106" s="6">
        <v>99</v>
      </c>
      <c r="D106" s="6">
        <v>7</v>
      </c>
      <c r="E106" s="6" t="s">
        <v>10</v>
      </c>
      <c r="F106" s="6">
        <v>14</v>
      </c>
      <c r="G106" s="6">
        <v>4</v>
      </c>
      <c r="H106" s="6" t="s">
        <v>20</v>
      </c>
      <c r="I106" s="6">
        <v>2</v>
      </c>
      <c r="J106" s="14">
        <v>13.203030931682287</v>
      </c>
      <c r="K106" s="14">
        <v>22.839353421375847</v>
      </c>
      <c r="L106" s="14">
        <f t="shared" si="38"/>
        <v>301.54868968204897</v>
      </c>
      <c r="M106" s="16">
        <v>0.75663127900592009</v>
      </c>
      <c r="N106" s="14">
        <f t="shared" si="39"/>
        <v>228.16117075668802</v>
      </c>
      <c r="O106" s="14">
        <f t="shared" si="40"/>
        <v>73.387518925360951</v>
      </c>
      <c r="P106" s="14">
        <v>34.800195317831736</v>
      </c>
      <c r="Q106" s="14">
        <v>10.001852903304581</v>
      </c>
      <c r="R106" s="14">
        <f t="shared" si="24"/>
        <v>12.987012987012987</v>
      </c>
      <c r="S106" s="14">
        <v>32.736147368843966</v>
      </c>
      <c r="T106" s="14">
        <f t="shared" si="41"/>
        <v>211.08408277743428</v>
      </c>
      <c r="U106" s="14">
        <f t="shared" si="25"/>
        <v>15.987547394963093</v>
      </c>
      <c r="V106" s="14">
        <v>36.322279634542198</v>
      </c>
      <c r="W106" s="16">
        <f t="shared" si="42"/>
        <v>2.1767063113630303</v>
      </c>
      <c r="X106" s="16">
        <f t="shared" si="43"/>
        <v>0.36349675913860618</v>
      </c>
      <c r="Y106" s="16">
        <f t="shared" si="44"/>
        <v>1.0809018271513144</v>
      </c>
      <c r="Z106" s="16">
        <f t="shared" si="26"/>
        <v>0.82583216834384032</v>
      </c>
      <c r="AA106" s="16">
        <f t="shared" si="27"/>
        <v>4.3067714871208397E-2</v>
      </c>
      <c r="AB106" s="14">
        <f t="shared" si="45"/>
        <v>15.987547394963093</v>
      </c>
      <c r="AC106" s="16">
        <f t="shared" si="28"/>
        <v>0.43792189379335184</v>
      </c>
      <c r="AD106" s="16">
        <f t="shared" si="29"/>
        <v>0.11540489648462689</v>
      </c>
      <c r="AE106" s="23" t="str">
        <f t="shared" si="46"/>
        <v/>
      </c>
      <c r="AF106" s="23" t="str">
        <f t="shared" si="30"/>
        <v/>
      </c>
      <c r="AG106" s="23" t="str">
        <f t="shared" si="31"/>
        <v/>
      </c>
      <c r="AH106" s="23" t="str">
        <f t="shared" si="47"/>
        <v/>
      </c>
      <c r="AI106" s="23" t="str">
        <f t="shared" si="32"/>
        <v/>
      </c>
      <c r="AJ106" s="23" t="str">
        <f t="shared" si="33"/>
        <v/>
      </c>
      <c r="AK106" s="23" t="str">
        <f t="shared" si="34"/>
        <v/>
      </c>
      <c r="AL106" s="23" t="str">
        <f t="shared" si="35"/>
        <v/>
      </c>
      <c r="AM106" s="52">
        <f t="shared" si="36"/>
        <v>0</v>
      </c>
      <c r="AN106" s="26">
        <f t="shared" si="37"/>
        <v>73.387518925360951</v>
      </c>
    </row>
    <row r="107" spans="1:40" x14ac:dyDescent="0.2">
      <c r="A107" s="12">
        <v>44661</v>
      </c>
      <c r="B107" s="6">
        <v>10</v>
      </c>
      <c r="C107" s="6">
        <v>100</v>
      </c>
      <c r="D107" s="6">
        <v>1</v>
      </c>
      <c r="E107" s="6" t="s">
        <v>12</v>
      </c>
      <c r="F107" s="6">
        <v>15</v>
      </c>
      <c r="G107" s="6">
        <v>4</v>
      </c>
      <c r="H107" s="6" t="s">
        <v>20</v>
      </c>
      <c r="I107" s="6">
        <v>2</v>
      </c>
      <c r="J107" s="14">
        <v>8.926963800037198</v>
      </c>
      <c r="K107" s="14">
        <v>35.731028979831791</v>
      </c>
      <c r="L107" s="14">
        <f t="shared" si="38"/>
        <v>318.96960224103844</v>
      </c>
      <c r="M107" s="16">
        <v>0.2345069053735937</v>
      </c>
      <c r="N107" s="14">
        <f t="shared" si="39"/>
        <v>74.800574329792028</v>
      </c>
      <c r="O107" s="14">
        <f t="shared" si="40"/>
        <v>244.16902791124642</v>
      </c>
      <c r="P107" s="14">
        <v>24.446507822359159</v>
      </c>
      <c r="Q107" s="14">
        <v>8.5491147620660541</v>
      </c>
      <c r="R107" s="14">
        <f t="shared" si="24"/>
        <v>28.571428571428573</v>
      </c>
      <c r="S107" s="14">
        <v>22.614160665514163</v>
      </c>
      <c r="T107" s="14">
        <f t="shared" si="41"/>
        <v>223.27872156872689</v>
      </c>
      <c r="U107" s="14">
        <f t="shared" si="25"/>
        <v>25.011720285882252</v>
      </c>
      <c r="V107" s="14">
        <v>20.355140996668908</v>
      </c>
      <c r="W107" s="16">
        <f t="shared" si="42"/>
        <v>0.97740209561506552</v>
      </c>
      <c r="X107" s="16">
        <f t="shared" si="43"/>
        <v>0.43856064674266243</v>
      </c>
      <c r="Y107" s="16">
        <f t="shared" si="44"/>
        <v>0.33500986481941963</v>
      </c>
      <c r="Z107" s="16">
        <f t="shared" si="26"/>
        <v>0.35691122793644792</v>
      </c>
      <c r="AA107" s="16">
        <f t="shared" si="27"/>
        <v>8.9574142396922699E-2</v>
      </c>
      <c r="AB107" s="14">
        <f t="shared" si="45"/>
        <v>25.011720285882252</v>
      </c>
      <c r="AC107" s="16">
        <f t="shared" si="28"/>
        <v>0.23926304408673932</v>
      </c>
      <c r="AD107" s="16">
        <f t="shared" si="29"/>
        <v>7.6642124047561933E-2</v>
      </c>
      <c r="AE107" s="23" t="str">
        <f t="shared" si="46"/>
        <v/>
      </c>
      <c r="AF107" s="23">
        <f t="shared" si="30"/>
        <v>1000</v>
      </c>
      <c r="AG107" s="23" t="str">
        <f t="shared" si="31"/>
        <v/>
      </c>
      <c r="AH107" s="23">
        <f t="shared" si="47"/>
        <v>300</v>
      </c>
      <c r="AI107" s="23" t="str">
        <f t="shared" si="32"/>
        <v/>
      </c>
      <c r="AJ107" s="23" t="str">
        <f t="shared" si="33"/>
        <v/>
      </c>
      <c r="AK107" s="23" t="str">
        <f t="shared" si="34"/>
        <v/>
      </c>
      <c r="AL107" s="23" t="str">
        <f t="shared" si="35"/>
        <v/>
      </c>
      <c r="AM107" s="52">
        <f t="shared" si="36"/>
        <v>1300</v>
      </c>
      <c r="AN107" s="26">
        <f t="shared" si="37"/>
        <v>-1055.8309720887537</v>
      </c>
    </row>
    <row r="108" spans="1:40" x14ac:dyDescent="0.2">
      <c r="A108" s="12">
        <v>44662</v>
      </c>
      <c r="B108" s="6">
        <v>11</v>
      </c>
      <c r="C108" s="6">
        <v>101</v>
      </c>
      <c r="D108" s="6">
        <v>2</v>
      </c>
      <c r="E108" s="6" t="s">
        <v>13</v>
      </c>
      <c r="F108" s="6">
        <v>15</v>
      </c>
      <c r="G108" s="6">
        <v>4</v>
      </c>
      <c r="H108" s="6" t="s">
        <v>20</v>
      </c>
      <c r="I108" s="6">
        <v>2</v>
      </c>
      <c r="J108" s="14">
        <v>18.548857017520294</v>
      </c>
      <c r="K108" s="14">
        <v>60.147813039794457</v>
      </c>
      <c r="L108" s="14">
        <f t="shared" si="38"/>
        <v>1115.6731839916902</v>
      </c>
      <c r="M108" s="16">
        <v>0.59981184539392762</v>
      </c>
      <c r="N108" s="14">
        <f t="shared" si="39"/>
        <v>669.19399134657465</v>
      </c>
      <c r="O108" s="14">
        <f t="shared" si="40"/>
        <v>446.47919264511552</v>
      </c>
      <c r="P108" s="14">
        <v>38.429735439844805</v>
      </c>
      <c r="Q108" s="14">
        <v>9.9047899808665463</v>
      </c>
      <c r="R108" s="14">
        <f t="shared" si="24"/>
        <v>12.987012987012987</v>
      </c>
      <c r="S108" s="14">
        <v>38.09514049364752</v>
      </c>
      <c r="T108" s="14">
        <f t="shared" si="41"/>
        <v>780.97122879418305</v>
      </c>
      <c r="U108" s="14">
        <f t="shared" si="25"/>
        <v>42.103469127856123</v>
      </c>
      <c r="V108" s="14">
        <v>50.783778563314499</v>
      </c>
      <c r="W108" s="16">
        <f t="shared" si="42"/>
        <v>0.9127451071346343</v>
      </c>
      <c r="X108" s="16">
        <f t="shared" si="43"/>
        <v>0.3652516126659337</v>
      </c>
      <c r="Y108" s="16">
        <f t="shared" si="44"/>
        <v>0.85687406484846818</v>
      </c>
      <c r="Z108" s="16">
        <f t="shared" si="26"/>
        <v>0.44055412539030342</v>
      </c>
      <c r="AA108" s="16">
        <f t="shared" si="27"/>
        <v>1.1640517288896063E-2</v>
      </c>
      <c r="AB108" s="14">
        <f t="shared" si="45"/>
        <v>42.103469127856123</v>
      </c>
      <c r="AC108" s="16">
        <f t="shared" si="28"/>
        <v>0.16467414990322971</v>
      </c>
      <c r="AD108" s="16">
        <f t="shared" si="29"/>
        <v>3.4445333984231566E-2</v>
      </c>
      <c r="AE108" s="23" t="str">
        <f t="shared" si="46"/>
        <v/>
      </c>
      <c r="AF108" s="23" t="str">
        <f t="shared" si="30"/>
        <v/>
      </c>
      <c r="AG108" s="23" t="str">
        <f t="shared" si="31"/>
        <v/>
      </c>
      <c r="AH108" s="23" t="str">
        <f t="shared" si="47"/>
        <v/>
      </c>
      <c r="AI108" s="23" t="str">
        <f t="shared" si="32"/>
        <v/>
      </c>
      <c r="AJ108" s="23" t="str">
        <f t="shared" si="33"/>
        <v/>
      </c>
      <c r="AK108" s="23" t="str">
        <f t="shared" si="34"/>
        <v/>
      </c>
      <c r="AL108" s="23" t="str">
        <f t="shared" si="35"/>
        <v/>
      </c>
      <c r="AM108" s="52">
        <f t="shared" si="36"/>
        <v>0</v>
      </c>
      <c r="AN108" s="26">
        <f t="shared" si="37"/>
        <v>446.47919264511552</v>
      </c>
    </row>
    <row r="109" spans="1:40" x14ac:dyDescent="0.2">
      <c r="A109" s="12">
        <v>44663</v>
      </c>
      <c r="B109" s="6">
        <v>12</v>
      </c>
      <c r="C109" s="6">
        <v>102</v>
      </c>
      <c r="D109" s="6">
        <v>3</v>
      </c>
      <c r="E109" s="6" t="s">
        <v>14</v>
      </c>
      <c r="F109" s="6">
        <v>15</v>
      </c>
      <c r="G109" s="6">
        <v>4</v>
      </c>
      <c r="H109" s="6" t="s">
        <v>20</v>
      </c>
      <c r="I109" s="6">
        <v>2</v>
      </c>
      <c r="J109" s="14">
        <v>6.8044545199975621</v>
      </c>
      <c r="K109" s="14">
        <v>64.096849502848869</v>
      </c>
      <c r="L109" s="14">
        <f t="shared" si="38"/>
        <v>436.14409731726346</v>
      </c>
      <c r="M109" s="16">
        <v>0.58449763636469254</v>
      </c>
      <c r="N109" s="14">
        <f t="shared" si="39"/>
        <v>254.92519399635293</v>
      </c>
      <c r="O109" s="14">
        <f t="shared" si="40"/>
        <v>181.21890332091053</v>
      </c>
      <c r="P109" s="14">
        <v>40.685175215369917</v>
      </c>
      <c r="Q109" s="14">
        <v>6.8562540582903786</v>
      </c>
      <c r="R109" s="14">
        <f t="shared" si="24"/>
        <v>12.987012987012987</v>
      </c>
      <c r="S109" s="14">
        <v>40.881653390167436</v>
      </c>
      <c r="T109" s="14">
        <f t="shared" si="41"/>
        <v>305.30086812208441</v>
      </c>
      <c r="U109" s="14">
        <f t="shared" si="25"/>
        <v>44.867794651994203</v>
      </c>
      <c r="V109" s="14">
        <v>36.7105467610834</v>
      </c>
      <c r="W109" s="16">
        <f t="shared" si="42"/>
        <v>0.90677902782907593</v>
      </c>
      <c r="X109" s="16">
        <f t="shared" si="43"/>
        <v>0.18535421344393915</v>
      </c>
      <c r="Y109" s="16">
        <f t="shared" si="44"/>
        <v>0.83499662337813219</v>
      </c>
      <c r="Z109" s="16">
        <f t="shared" si="26"/>
        <v>0.15165564906353449</v>
      </c>
      <c r="AA109" s="16">
        <f t="shared" si="27"/>
        <v>2.9776885820297756E-2</v>
      </c>
      <c r="AB109" s="14">
        <f t="shared" si="45"/>
        <v>44.867794651994203</v>
      </c>
      <c r="AC109" s="16">
        <f t="shared" si="28"/>
        <v>0.10696709918614086</v>
      </c>
      <c r="AD109" s="16">
        <f t="shared" si="29"/>
        <v>9.3283791906449615E-2</v>
      </c>
      <c r="AE109" s="23" t="str">
        <f t="shared" si="46"/>
        <v/>
      </c>
      <c r="AF109" s="23" t="str">
        <f t="shared" si="30"/>
        <v/>
      </c>
      <c r="AG109" s="23" t="str">
        <f t="shared" si="31"/>
        <v/>
      </c>
      <c r="AH109" s="23" t="str">
        <f t="shared" si="47"/>
        <v/>
      </c>
      <c r="AI109" s="23" t="str">
        <f t="shared" si="32"/>
        <v/>
      </c>
      <c r="AJ109" s="23">
        <f t="shared" si="33"/>
        <v>480</v>
      </c>
      <c r="AK109" s="23" t="str">
        <f t="shared" si="34"/>
        <v/>
      </c>
      <c r="AL109" s="23" t="str">
        <f t="shared" si="35"/>
        <v/>
      </c>
      <c r="AM109" s="52">
        <f t="shared" si="36"/>
        <v>480</v>
      </c>
      <c r="AN109" s="26">
        <f t="shared" si="37"/>
        <v>-298.7810966790895</v>
      </c>
    </row>
    <row r="110" spans="1:40" x14ac:dyDescent="0.2">
      <c r="A110" s="12">
        <v>44664</v>
      </c>
      <c r="B110" s="6">
        <v>13</v>
      </c>
      <c r="C110" s="6">
        <v>103</v>
      </c>
      <c r="D110" s="6">
        <v>4</v>
      </c>
      <c r="E110" s="6" t="s">
        <v>15</v>
      </c>
      <c r="F110" s="6">
        <v>15</v>
      </c>
      <c r="G110" s="6">
        <v>4</v>
      </c>
      <c r="H110" s="6" t="s">
        <v>20</v>
      </c>
      <c r="I110" s="6">
        <v>2</v>
      </c>
      <c r="J110" s="14">
        <v>14.337530296352025</v>
      </c>
      <c r="K110" s="14">
        <v>64.24021105295185</v>
      </c>
      <c r="L110" s="14">
        <f t="shared" si="38"/>
        <v>921.04597221574534</v>
      </c>
      <c r="M110" s="16">
        <v>0.91636566461267899</v>
      </c>
      <c r="N110" s="14">
        <f t="shared" si="39"/>
        <v>844.01490446831258</v>
      </c>
      <c r="O110" s="14">
        <f t="shared" si="40"/>
        <v>77.031067747432758</v>
      </c>
      <c r="P110" s="14">
        <v>55.203778455713703</v>
      </c>
      <c r="Q110" s="14">
        <v>15.570292598872307</v>
      </c>
      <c r="R110" s="14">
        <f t="shared" si="24"/>
        <v>12.987012987012987</v>
      </c>
      <c r="S110" s="14">
        <v>43.711796871571984</v>
      </c>
      <c r="T110" s="14">
        <f t="shared" si="41"/>
        <v>644.73218055102166</v>
      </c>
      <c r="U110" s="14">
        <f t="shared" si="25"/>
        <v>44.968147737066289</v>
      </c>
      <c r="V110" s="14">
        <v>42.306575013561435</v>
      </c>
      <c r="W110" s="16">
        <f t="shared" si="42"/>
        <v>1.2276195759384236</v>
      </c>
      <c r="X110" s="16">
        <f t="shared" si="43"/>
        <v>0.33889602955937959</v>
      </c>
      <c r="Y110" s="16">
        <f t="shared" si="44"/>
        <v>1.3090938065895417</v>
      </c>
      <c r="Z110" s="16">
        <f t="shared" si="26"/>
        <v>0.3188374664703813</v>
      </c>
      <c r="AA110" s="16">
        <f t="shared" si="27"/>
        <v>1.4100287476172705E-2</v>
      </c>
      <c r="AB110" s="14">
        <f t="shared" si="45"/>
        <v>44.968147737066289</v>
      </c>
      <c r="AC110" s="16">
        <f t="shared" si="28"/>
        <v>0.24237611215252769</v>
      </c>
      <c r="AD110" s="16">
        <f t="shared" si="29"/>
        <v>5.9935964241731463E-2</v>
      </c>
      <c r="AE110" s="23" t="str">
        <f t="shared" si="46"/>
        <v/>
      </c>
      <c r="AF110" s="23" t="str">
        <f t="shared" si="30"/>
        <v/>
      </c>
      <c r="AG110" s="23" t="str">
        <f t="shared" si="31"/>
        <v/>
      </c>
      <c r="AH110" s="23" t="str">
        <f t="shared" si="47"/>
        <v/>
      </c>
      <c r="AI110" s="23" t="str">
        <f t="shared" si="32"/>
        <v/>
      </c>
      <c r="AJ110" s="23" t="str">
        <f t="shared" si="33"/>
        <v/>
      </c>
      <c r="AK110" s="23" t="str">
        <f t="shared" si="34"/>
        <v/>
      </c>
      <c r="AL110" s="23" t="str">
        <f t="shared" si="35"/>
        <v/>
      </c>
      <c r="AM110" s="52">
        <f t="shared" si="36"/>
        <v>0</v>
      </c>
      <c r="AN110" s="26">
        <f t="shared" si="37"/>
        <v>77.031067747432758</v>
      </c>
    </row>
    <row r="111" spans="1:40" x14ac:dyDescent="0.2">
      <c r="A111" s="12">
        <v>44665</v>
      </c>
      <c r="B111" s="6">
        <v>14</v>
      </c>
      <c r="C111" s="6">
        <v>104</v>
      </c>
      <c r="D111" s="6">
        <v>5</v>
      </c>
      <c r="E111" s="6" t="s">
        <v>16</v>
      </c>
      <c r="F111" s="6">
        <v>15</v>
      </c>
      <c r="G111" s="6">
        <v>4</v>
      </c>
      <c r="H111" s="6" t="s">
        <v>20</v>
      </c>
      <c r="I111" s="6">
        <v>2</v>
      </c>
      <c r="J111" s="14">
        <v>24.463033674064604</v>
      </c>
      <c r="K111" s="14">
        <v>50.059561909477324</v>
      </c>
      <c r="L111" s="14">
        <f t="shared" si="38"/>
        <v>1224.6087487004656</v>
      </c>
      <c r="M111" s="16">
        <v>0.74265471551113227</v>
      </c>
      <c r="N111" s="14">
        <f t="shared" si="39"/>
        <v>909.46146187858801</v>
      </c>
      <c r="O111" s="14">
        <f t="shared" si="40"/>
        <v>315.14728682187763</v>
      </c>
      <c r="P111" s="14">
        <v>51.742610932048109</v>
      </c>
      <c r="Q111" s="14">
        <v>11.593313391574972</v>
      </c>
      <c r="R111" s="14">
        <f t="shared" si="24"/>
        <v>12.987012987012987</v>
      </c>
      <c r="S111" s="14">
        <v>37.929468224561141</v>
      </c>
      <c r="T111" s="14">
        <f t="shared" si="41"/>
        <v>857.22612409032592</v>
      </c>
      <c r="U111" s="14">
        <f t="shared" si="25"/>
        <v>35.041693336634125</v>
      </c>
      <c r="V111" s="14">
        <v>37.67652452400597</v>
      </c>
      <c r="W111" s="16">
        <f t="shared" si="42"/>
        <v>1.4766013284510457</v>
      </c>
      <c r="X111" s="16">
        <f t="shared" si="43"/>
        <v>0.64929114304260582</v>
      </c>
      <c r="Y111" s="16">
        <f t="shared" si="44"/>
        <v>1.0609353078730461</v>
      </c>
      <c r="Z111" s="16">
        <f t="shared" si="26"/>
        <v>0.69811220134415919</v>
      </c>
      <c r="AA111" s="16">
        <f t="shared" si="27"/>
        <v>1.0605030382801518E-2</v>
      </c>
      <c r="AB111" s="14">
        <f t="shared" si="45"/>
        <v>35.041693336634125</v>
      </c>
      <c r="AC111" s="16">
        <f t="shared" si="28"/>
        <v>0.23159038851636682</v>
      </c>
      <c r="AD111" s="16">
        <f t="shared" si="29"/>
        <v>4.2252360998528311E-2</v>
      </c>
      <c r="AE111" s="23" t="str">
        <f t="shared" si="46"/>
        <v/>
      </c>
      <c r="AF111" s="23" t="str">
        <f t="shared" si="30"/>
        <v/>
      </c>
      <c r="AG111" s="23" t="str">
        <f t="shared" si="31"/>
        <v/>
      </c>
      <c r="AH111" s="23" t="str">
        <f t="shared" si="47"/>
        <v/>
      </c>
      <c r="AI111" s="23" t="str">
        <f t="shared" si="32"/>
        <v/>
      </c>
      <c r="AJ111" s="23" t="str">
        <f t="shared" si="33"/>
        <v/>
      </c>
      <c r="AK111" s="23" t="str">
        <f t="shared" si="34"/>
        <v/>
      </c>
      <c r="AL111" s="23" t="str">
        <f t="shared" si="35"/>
        <v/>
      </c>
      <c r="AM111" s="52">
        <f t="shared" si="36"/>
        <v>0</v>
      </c>
      <c r="AN111" s="26">
        <f t="shared" si="37"/>
        <v>315.14728682187763</v>
      </c>
    </row>
    <row r="112" spans="1:40" x14ac:dyDescent="0.2">
      <c r="A112" s="12">
        <v>44666</v>
      </c>
      <c r="B112" s="6">
        <v>15</v>
      </c>
      <c r="C112" s="6">
        <v>105</v>
      </c>
      <c r="D112" s="6">
        <v>6</v>
      </c>
      <c r="E112" s="6" t="s">
        <v>17</v>
      </c>
      <c r="F112" s="6">
        <v>15</v>
      </c>
      <c r="G112" s="6">
        <v>4</v>
      </c>
      <c r="H112" s="6" t="s">
        <v>20</v>
      </c>
      <c r="I112" s="6">
        <v>2</v>
      </c>
      <c r="J112" s="14">
        <v>2.6306686541323199</v>
      </c>
      <c r="K112" s="14">
        <v>61.07028903383862</v>
      </c>
      <c r="L112" s="14">
        <f t="shared" si="38"/>
        <v>160.65569506012002</v>
      </c>
      <c r="M112" s="16">
        <v>0.59264771203440059</v>
      </c>
      <c r="N112" s="14">
        <f t="shared" si="39"/>
        <v>95.212230102676486</v>
      </c>
      <c r="O112" s="14">
        <f t="shared" si="40"/>
        <v>65.443464957443538</v>
      </c>
      <c r="P112" s="14">
        <v>35.867077828891112</v>
      </c>
      <c r="Q112" s="14">
        <v>17.310908807586014</v>
      </c>
      <c r="R112" s="14">
        <f t="shared" si="24"/>
        <v>12.987012987012987</v>
      </c>
      <c r="S112" s="14">
        <v>44.084093627753717</v>
      </c>
      <c r="T112" s="14">
        <f t="shared" si="41"/>
        <v>112.45898654208401</v>
      </c>
      <c r="U112" s="14">
        <f t="shared" si="25"/>
        <v>42.74920232368703</v>
      </c>
      <c r="V112" s="14">
        <v>40.611317283970351</v>
      </c>
      <c r="W112" s="16">
        <f t="shared" si="42"/>
        <v>0.83901162780334315</v>
      </c>
      <c r="X112" s="16">
        <f t="shared" si="43"/>
        <v>6.4776737866877029E-2</v>
      </c>
      <c r="Y112" s="16">
        <f t="shared" si="44"/>
        <v>0.84663958862057231</v>
      </c>
      <c r="Z112" s="16">
        <f t="shared" si="26"/>
        <v>6.1537257098120988E-2</v>
      </c>
      <c r="AA112" s="16">
        <f t="shared" si="27"/>
        <v>8.0837551274811834E-2</v>
      </c>
      <c r="AB112" s="14">
        <f t="shared" si="45"/>
        <v>42.74920232368703</v>
      </c>
      <c r="AC112" s="16">
        <f t="shared" si="28"/>
        <v>0.2834587666351826</v>
      </c>
      <c r="AD112" s="16">
        <f t="shared" si="29"/>
        <v>0.22325431921644021</v>
      </c>
      <c r="AE112" s="23" t="str">
        <f t="shared" si="46"/>
        <v/>
      </c>
      <c r="AF112" s="23" t="str">
        <f t="shared" si="30"/>
        <v/>
      </c>
      <c r="AG112" s="23">
        <f t="shared" si="31"/>
        <v>300</v>
      </c>
      <c r="AH112" s="23" t="str">
        <f t="shared" si="47"/>
        <v/>
      </c>
      <c r="AI112" s="23" t="str">
        <f t="shared" si="32"/>
        <v/>
      </c>
      <c r="AJ112" s="23" t="str">
        <f t="shared" si="33"/>
        <v/>
      </c>
      <c r="AK112" s="23" t="str">
        <f t="shared" si="34"/>
        <v/>
      </c>
      <c r="AL112" s="23" t="str">
        <f t="shared" si="35"/>
        <v/>
      </c>
      <c r="AM112" s="52">
        <f t="shared" si="36"/>
        <v>300</v>
      </c>
      <c r="AN112" s="26">
        <f t="shared" si="37"/>
        <v>-234.55653504255645</v>
      </c>
    </row>
    <row r="113" spans="1:40" x14ac:dyDescent="0.2">
      <c r="A113" s="12">
        <v>44667</v>
      </c>
      <c r="B113" s="6">
        <v>16</v>
      </c>
      <c r="C113" s="6">
        <v>106</v>
      </c>
      <c r="D113" s="6">
        <v>7</v>
      </c>
      <c r="E113" s="6" t="s">
        <v>10</v>
      </c>
      <c r="F113" s="6">
        <v>15</v>
      </c>
      <c r="G113" s="6">
        <v>4</v>
      </c>
      <c r="H113" s="6" t="s">
        <v>20</v>
      </c>
      <c r="I113" s="6">
        <v>2</v>
      </c>
      <c r="J113" s="14">
        <v>24.447642321557815</v>
      </c>
      <c r="K113" s="14">
        <v>61.785742269249049</v>
      </c>
      <c r="L113" s="14">
        <f t="shared" si="38"/>
        <v>1510.5157275705567</v>
      </c>
      <c r="M113" s="16">
        <v>0.83595717044676954</v>
      </c>
      <c r="N113" s="14">
        <f t="shared" si="39"/>
        <v>1262.726453535226</v>
      </c>
      <c r="O113" s="14">
        <f t="shared" si="40"/>
        <v>247.78927403533066</v>
      </c>
      <c r="P113" s="14">
        <v>45.301624729698318</v>
      </c>
      <c r="Q113" s="14">
        <v>10.863452150124216</v>
      </c>
      <c r="R113" s="14">
        <f t="shared" si="24"/>
        <v>12.987012987012987</v>
      </c>
      <c r="S113" s="14">
        <v>43.903940852554449</v>
      </c>
      <c r="T113" s="14">
        <f t="shared" si="41"/>
        <v>1057.3610092993897</v>
      </c>
      <c r="U113" s="14">
        <f t="shared" si="25"/>
        <v>43.250019588474338</v>
      </c>
      <c r="V113" s="14">
        <v>45.587902043233719</v>
      </c>
      <c r="W113" s="16">
        <f t="shared" si="42"/>
        <v>1.0474359355381822</v>
      </c>
      <c r="X113" s="16">
        <f t="shared" si="43"/>
        <v>0.53627478400678896</v>
      </c>
      <c r="Y113" s="16">
        <f t="shared" si="44"/>
        <v>1.1942245292096707</v>
      </c>
      <c r="Z113" s="16">
        <f t="shared" si="26"/>
        <v>0.56526315026393303</v>
      </c>
      <c r="AA113" s="16">
        <f t="shared" si="27"/>
        <v>8.5977343697709752E-3</v>
      </c>
      <c r="AB113" s="14">
        <f t="shared" si="45"/>
        <v>43.250019588474338</v>
      </c>
      <c r="AC113" s="16">
        <f t="shared" si="28"/>
        <v>0.1758245794439697</v>
      </c>
      <c r="AD113" s="16">
        <f t="shared" si="29"/>
        <v>2.9990832867764539E-2</v>
      </c>
      <c r="AE113" s="23" t="str">
        <f t="shared" si="46"/>
        <v/>
      </c>
      <c r="AF113" s="23" t="str">
        <f t="shared" si="30"/>
        <v/>
      </c>
      <c r="AG113" s="23" t="str">
        <f t="shared" si="31"/>
        <v/>
      </c>
      <c r="AH113" s="23" t="str">
        <f t="shared" si="47"/>
        <v/>
      </c>
      <c r="AI113" s="23" t="str">
        <f t="shared" si="32"/>
        <v/>
      </c>
      <c r="AJ113" s="23" t="str">
        <f t="shared" si="33"/>
        <v/>
      </c>
      <c r="AK113" s="23" t="str">
        <f t="shared" si="34"/>
        <v/>
      </c>
      <c r="AL113" s="23" t="str">
        <f t="shared" si="35"/>
        <v/>
      </c>
      <c r="AM113" s="52">
        <f t="shared" si="36"/>
        <v>0</v>
      </c>
      <c r="AN113" s="26">
        <f t="shared" si="37"/>
        <v>247.78927403533066</v>
      </c>
    </row>
    <row r="114" spans="1:40" x14ac:dyDescent="0.2">
      <c r="A114" s="12">
        <v>44668</v>
      </c>
      <c r="B114" s="6">
        <v>17</v>
      </c>
      <c r="C114" s="6">
        <v>107</v>
      </c>
      <c r="D114" s="6">
        <v>1</v>
      </c>
      <c r="E114" s="6" t="s">
        <v>12</v>
      </c>
      <c r="F114" s="6">
        <v>16</v>
      </c>
      <c r="G114" s="6">
        <v>4</v>
      </c>
      <c r="H114" s="6" t="s">
        <v>20</v>
      </c>
      <c r="I114" s="6">
        <v>2</v>
      </c>
      <c r="J114" s="14">
        <v>8.2401495843252768</v>
      </c>
      <c r="K114" s="14">
        <v>41.79296279832927</v>
      </c>
      <c r="L114" s="14">
        <f t="shared" si="38"/>
        <v>344.38026503037469</v>
      </c>
      <c r="M114" s="16">
        <v>0.33395706333127373</v>
      </c>
      <c r="N114" s="14">
        <f t="shared" si="39"/>
        <v>115.00822197878968</v>
      </c>
      <c r="O114" s="14">
        <f t="shared" si="40"/>
        <v>229.37204305158502</v>
      </c>
      <c r="P114" s="14">
        <v>27.229281232803363</v>
      </c>
      <c r="Q114" s="14">
        <v>14.131270766253017</v>
      </c>
      <c r="R114" s="14">
        <f t="shared" si="24"/>
        <v>28.571428571428573</v>
      </c>
      <c r="S114" s="14">
        <v>25.628934331644309</v>
      </c>
      <c r="T114" s="14">
        <f t="shared" si="41"/>
        <v>241.06618552126227</v>
      </c>
      <c r="U114" s="14">
        <f t="shared" si="25"/>
        <v>29.255073958830486</v>
      </c>
      <c r="V114" s="14">
        <v>26.519117298248538</v>
      </c>
      <c r="W114" s="16">
        <f t="shared" si="42"/>
        <v>0.9307541410123269</v>
      </c>
      <c r="X114" s="16">
        <f t="shared" si="43"/>
        <v>0.31072488166374601</v>
      </c>
      <c r="Y114" s="16">
        <f t="shared" si="44"/>
        <v>0.47708151904467683</v>
      </c>
      <c r="Z114" s="16">
        <f t="shared" si="26"/>
        <v>0.28166565553453443</v>
      </c>
      <c r="AA114" s="16">
        <f t="shared" si="27"/>
        <v>8.2964767359443622E-2</v>
      </c>
      <c r="AB114" s="14">
        <f t="shared" si="45"/>
        <v>29.255073958830486</v>
      </c>
      <c r="AC114" s="16">
        <f t="shared" si="28"/>
        <v>0.3381256034525012</v>
      </c>
      <c r="AD114" s="16">
        <f t="shared" si="29"/>
        <v>7.9067484399553828E-2</v>
      </c>
      <c r="AE114" s="23" t="str">
        <f t="shared" si="46"/>
        <v/>
      </c>
      <c r="AF114" s="23">
        <f t="shared" si="30"/>
        <v>1000</v>
      </c>
      <c r="AG114" s="23" t="str">
        <f t="shared" si="31"/>
        <v/>
      </c>
      <c r="AH114" s="23" t="str">
        <f t="shared" si="47"/>
        <v/>
      </c>
      <c r="AI114" s="23" t="str">
        <f t="shared" si="32"/>
        <v/>
      </c>
      <c r="AJ114" s="23" t="str">
        <f t="shared" si="33"/>
        <v/>
      </c>
      <c r="AK114" s="23" t="str">
        <f t="shared" si="34"/>
        <v/>
      </c>
      <c r="AL114" s="23" t="str">
        <f t="shared" si="35"/>
        <v/>
      </c>
      <c r="AM114" s="52">
        <f t="shared" si="36"/>
        <v>1000</v>
      </c>
      <c r="AN114" s="26">
        <f t="shared" si="37"/>
        <v>-770.62795694841498</v>
      </c>
    </row>
    <row r="115" spans="1:40" x14ac:dyDescent="0.2">
      <c r="A115" s="12">
        <v>44669</v>
      </c>
      <c r="B115" s="6">
        <v>18</v>
      </c>
      <c r="C115" s="6">
        <v>108</v>
      </c>
      <c r="D115" s="6">
        <v>2</v>
      </c>
      <c r="E115" s="6" t="s">
        <v>13</v>
      </c>
      <c r="F115" s="6">
        <v>16</v>
      </c>
      <c r="G115" s="6">
        <v>4</v>
      </c>
      <c r="H115" s="6" t="s">
        <v>20</v>
      </c>
      <c r="I115" s="6">
        <v>2</v>
      </c>
      <c r="J115" s="14">
        <v>0.16906770131868543</v>
      </c>
      <c r="K115" s="14">
        <v>57.693264235702287</v>
      </c>
      <c r="L115" s="14">
        <f t="shared" si="38"/>
        <v>9.7540675659017104</v>
      </c>
      <c r="M115" s="16">
        <v>0.76625690700154003</v>
      </c>
      <c r="N115" s="14">
        <f t="shared" si="39"/>
        <v>7.4741216437318849</v>
      </c>
      <c r="O115" s="14">
        <f t="shared" si="40"/>
        <v>2.2799459221698255</v>
      </c>
      <c r="P115" s="14">
        <v>66.808851293013163</v>
      </c>
      <c r="Q115" s="14">
        <v>27.653432109795993</v>
      </c>
      <c r="R115" s="14">
        <f t="shared" si="24"/>
        <v>12.987012987012987</v>
      </c>
      <c r="S115" s="14">
        <v>62.832884709561874</v>
      </c>
      <c r="T115" s="14">
        <f t="shared" si="41"/>
        <v>6.8278472961311971</v>
      </c>
      <c r="U115" s="14">
        <f t="shared" si="25"/>
        <v>40.385284964991598</v>
      </c>
      <c r="V115" s="14">
        <v>44.066286366893479</v>
      </c>
      <c r="W115" s="16">
        <f t="shared" si="42"/>
        <v>1.6542869847501906</v>
      </c>
      <c r="X115" s="16">
        <f t="shared" si="43"/>
        <v>3.8366677852323893E-3</v>
      </c>
      <c r="Y115" s="16">
        <f t="shared" si="44"/>
        <v>1.0946527242879143</v>
      </c>
      <c r="Z115" s="16">
        <f t="shared" si="26"/>
        <v>4.1863689080129931E-3</v>
      </c>
      <c r="AA115" s="16">
        <f t="shared" si="27"/>
        <v>1.3314458710961787</v>
      </c>
      <c r="AB115" s="14">
        <f t="shared" si="45"/>
        <v>40.385284964991598</v>
      </c>
      <c r="AC115" s="16">
        <f t="shared" si="28"/>
        <v>0.4793182094329001</v>
      </c>
      <c r="AD115" s="16">
        <f t="shared" si="29"/>
        <v>6.8493324289205955</v>
      </c>
      <c r="AE115" s="23" t="str">
        <f t="shared" si="46"/>
        <v/>
      </c>
      <c r="AF115" s="23" t="str">
        <f t="shared" si="30"/>
        <v/>
      </c>
      <c r="AG115" s="23" t="str">
        <f t="shared" si="31"/>
        <v/>
      </c>
      <c r="AH115" s="23" t="str">
        <f t="shared" si="47"/>
        <v/>
      </c>
      <c r="AI115" s="23" t="str">
        <f t="shared" si="32"/>
        <v/>
      </c>
      <c r="AJ115" s="23" t="str">
        <f t="shared" si="33"/>
        <v/>
      </c>
      <c r="AK115" s="23" t="str">
        <f t="shared" si="34"/>
        <v/>
      </c>
      <c r="AL115" s="23" t="str">
        <f t="shared" si="35"/>
        <v/>
      </c>
      <c r="AM115" s="52">
        <f t="shared" si="36"/>
        <v>0</v>
      </c>
      <c r="AN115" s="26">
        <f t="shared" si="37"/>
        <v>2.2799459221698255</v>
      </c>
    </row>
    <row r="116" spans="1:40" x14ac:dyDescent="0.2">
      <c r="A116" s="12">
        <v>44670</v>
      </c>
      <c r="B116" s="6">
        <v>19</v>
      </c>
      <c r="C116" s="6">
        <v>109</v>
      </c>
      <c r="D116" s="6">
        <v>3</v>
      </c>
      <c r="E116" s="6" t="s">
        <v>14</v>
      </c>
      <c r="F116" s="6">
        <v>16</v>
      </c>
      <c r="G116" s="6">
        <v>4</v>
      </c>
      <c r="H116" s="6" t="s">
        <v>20</v>
      </c>
      <c r="I116" s="6">
        <v>2</v>
      </c>
      <c r="J116" s="14">
        <v>13.740251147763859</v>
      </c>
      <c r="K116" s="14">
        <v>127.65558294379504</v>
      </c>
      <c r="L116" s="14">
        <f t="shared" si="38"/>
        <v>1754.0197700619442</v>
      </c>
      <c r="M116" s="16">
        <v>1.0182977928352266</v>
      </c>
      <c r="N116" s="14">
        <f t="shared" si="39"/>
        <v>1786.1144604434294</v>
      </c>
      <c r="O116" s="14">
        <f t="shared" si="40"/>
        <v>-32.094690381485179</v>
      </c>
      <c r="P116" s="14">
        <v>54.534353105483405</v>
      </c>
      <c r="Q116" s="14">
        <v>21.127123566380423</v>
      </c>
      <c r="R116" s="14">
        <f t="shared" si="24"/>
        <v>12.987012987012987</v>
      </c>
      <c r="S116" s="14">
        <v>61.652364746054388</v>
      </c>
      <c r="T116" s="14">
        <f t="shared" si="41"/>
        <v>1227.8138390433608</v>
      </c>
      <c r="U116" s="14">
        <f t="shared" si="25"/>
        <v>89.358908060656518</v>
      </c>
      <c r="V116" s="14">
        <v>51.060308233375345</v>
      </c>
      <c r="W116" s="16">
        <f t="shared" si="42"/>
        <v>0.61028446171774697</v>
      </c>
      <c r="X116" s="16">
        <f t="shared" si="43"/>
        <v>0.2690984763539403</v>
      </c>
      <c r="Y116" s="16">
        <f t="shared" si="44"/>
        <v>1.4547111326217523</v>
      </c>
      <c r="Z116" s="16">
        <f t="shared" si="26"/>
        <v>0.15376476107381509</v>
      </c>
      <c r="AA116" s="16">
        <f t="shared" si="27"/>
        <v>7.4041428772232956E-3</v>
      </c>
      <c r="AB116" s="14">
        <f t="shared" si="45"/>
        <v>89.358908060656518</v>
      </c>
      <c r="AC116" s="16">
        <f t="shared" si="28"/>
        <v>0.1655009759791109</v>
      </c>
      <c r="AD116" s="16">
        <f t="shared" si="29"/>
        <v>3.1091070942465771E-2</v>
      </c>
      <c r="AE116" s="23" t="str">
        <f t="shared" si="46"/>
        <v/>
      </c>
      <c r="AF116" s="23" t="str">
        <f t="shared" si="30"/>
        <v/>
      </c>
      <c r="AG116" s="23" t="str">
        <f t="shared" si="31"/>
        <v/>
      </c>
      <c r="AH116" s="23" t="str">
        <f t="shared" si="47"/>
        <v/>
      </c>
      <c r="AI116" s="23" t="str">
        <f t="shared" si="32"/>
        <v/>
      </c>
      <c r="AJ116" s="23" t="str">
        <f t="shared" si="33"/>
        <v/>
      </c>
      <c r="AK116" s="23" t="str">
        <f t="shared" si="34"/>
        <v/>
      </c>
      <c r="AL116" s="23" t="str">
        <f t="shared" si="35"/>
        <v/>
      </c>
      <c r="AM116" s="52">
        <f t="shared" si="36"/>
        <v>0</v>
      </c>
      <c r="AN116" s="26">
        <f t="shared" si="37"/>
        <v>-32.094690381485179</v>
      </c>
    </row>
    <row r="117" spans="1:40" x14ac:dyDescent="0.2">
      <c r="A117" s="12">
        <v>44671</v>
      </c>
      <c r="B117" s="6">
        <v>20</v>
      </c>
      <c r="C117" s="6">
        <v>110</v>
      </c>
      <c r="D117" s="6">
        <v>4</v>
      </c>
      <c r="E117" s="6" t="s">
        <v>15</v>
      </c>
      <c r="F117" s="6">
        <v>16</v>
      </c>
      <c r="G117" s="6">
        <v>4</v>
      </c>
      <c r="H117" s="6" t="s">
        <v>20</v>
      </c>
      <c r="I117" s="6">
        <v>2</v>
      </c>
      <c r="J117" s="14">
        <v>21.52324233021638</v>
      </c>
      <c r="K117" s="14">
        <v>147.84232229148935</v>
      </c>
      <c r="L117" s="14">
        <f t="shared" si="38"/>
        <v>3182.0461293416765</v>
      </c>
      <c r="M117" s="16">
        <v>0.70303036205129099</v>
      </c>
      <c r="N117" s="14">
        <f t="shared" si="39"/>
        <v>2237.0750423749878</v>
      </c>
      <c r="O117" s="14">
        <f t="shared" si="40"/>
        <v>944.97108696668874</v>
      </c>
      <c r="P117" s="14">
        <v>46.246575863713119</v>
      </c>
      <c r="Q117" s="14">
        <v>11.377060117246597</v>
      </c>
      <c r="R117" s="14">
        <f t="shared" si="24"/>
        <v>12.987012987012987</v>
      </c>
      <c r="S117" s="14">
        <v>49.313812221768501</v>
      </c>
      <c r="T117" s="14">
        <f t="shared" si="41"/>
        <v>2227.4322905391732</v>
      </c>
      <c r="U117" s="14">
        <f t="shared" si="25"/>
        <v>103.48962560404253</v>
      </c>
      <c r="V117" s="14">
        <v>55.674222750267433</v>
      </c>
      <c r="W117" s="16">
        <f t="shared" si="42"/>
        <v>0.44687161243248935</v>
      </c>
      <c r="X117" s="16">
        <f t="shared" si="43"/>
        <v>0.38659259648331584</v>
      </c>
      <c r="Y117" s="16">
        <f t="shared" si="44"/>
        <v>1.0043290886447016</v>
      </c>
      <c r="Z117" s="16">
        <f t="shared" si="26"/>
        <v>0.20797487868557557</v>
      </c>
      <c r="AA117" s="16">
        <f t="shared" si="27"/>
        <v>4.0813402631909136E-3</v>
      </c>
      <c r="AB117" s="14">
        <f t="shared" si="45"/>
        <v>103.48962560404253</v>
      </c>
      <c r="AC117" s="16">
        <f t="shared" si="28"/>
        <v>7.6954013850075498E-2</v>
      </c>
      <c r="AD117" s="16">
        <f t="shared" si="29"/>
        <v>1.4533596932260981E-2</v>
      </c>
      <c r="AE117" s="23" t="str">
        <f t="shared" si="46"/>
        <v/>
      </c>
      <c r="AF117" s="23" t="str">
        <f t="shared" si="30"/>
        <v/>
      </c>
      <c r="AG117" s="23" t="str">
        <f t="shared" si="31"/>
        <v/>
      </c>
      <c r="AH117" s="23" t="str">
        <f t="shared" si="47"/>
        <v/>
      </c>
      <c r="AI117" s="23">
        <f t="shared" si="32"/>
        <v>100</v>
      </c>
      <c r="AJ117" s="23" t="str">
        <f t="shared" si="33"/>
        <v/>
      </c>
      <c r="AK117" s="23" t="str">
        <f t="shared" si="34"/>
        <v/>
      </c>
      <c r="AL117" s="23" t="str">
        <f t="shared" si="35"/>
        <v/>
      </c>
      <c r="AM117" s="52">
        <f t="shared" si="36"/>
        <v>100</v>
      </c>
      <c r="AN117" s="26">
        <f t="shared" si="37"/>
        <v>844.97108696668874</v>
      </c>
    </row>
    <row r="118" spans="1:40" x14ac:dyDescent="0.2">
      <c r="A118" s="12">
        <v>44672</v>
      </c>
      <c r="B118" s="6">
        <v>21</v>
      </c>
      <c r="C118" s="6">
        <v>111</v>
      </c>
      <c r="D118" s="6">
        <v>5</v>
      </c>
      <c r="E118" s="6" t="s">
        <v>16</v>
      </c>
      <c r="F118" s="6">
        <v>16</v>
      </c>
      <c r="G118" s="6">
        <v>4</v>
      </c>
      <c r="H118" s="6" t="s">
        <v>20</v>
      </c>
      <c r="I118" s="6">
        <v>2</v>
      </c>
      <c r="J118" s="14">
        <v>20.924383404942819</v>
      </c>
      <c r="K118" s="14">
        <v>49.381558977145055</v>
      </c>
      <c r="L118" s="14">
        <f t="shared" si="38"/>
        <v>1033.2786731715792</v>
      </c>
      <c r="M118" s="16">
        <v>0.32888310044728958</v>
      </c>
      <c r="N118" s="14">
        <f t="shared" si="39"/>
        <v>339.82789365873055</v>
      </c>
      <c r="O118" s="14">
        <f t="shared" si="40"/>
        <v>693.45077951284861</v>
      </c>
      <c r="P118" s="14">
        <v>30.192700570013884</v>
      </c>
      <c r="Q118" s="14">
        <v>13.921661850549636</v>
      </c>
      <c r="R118" s="14">
        <f t="shared" si="24"/>
        <v>12.987012987012987</v>
      </c>
      <c r="S118" s="14">
        <v>62.821216452987059</v>
      </c>
      <c r="T118" s="14">
        <f t="shared" si="41"/>
        <v>723.29507122010534</v>
      </c>
      <c r="U118" s="14">
        <f t="shared" si="25"/>
        <v>34.567091284001535</v>
      </c>
      <c r="V118" s="14">
        <v>45.522984158125546</v>
      </c>
      <c r="W118" s="16">
        <f t="shared" si="42"/>
        <v>0.87345216066784814</v>
      </c>
      <c r="X118" s="16">
        <f t="shared" si="43"/>
        <v>0.45964437068231956</v>
      </c>
      <c r="Y118" s="16">
        <f t="shared" si="44"/>
        <v>0.46983300063898514</v>
      </c>
      <c r="Z118" s="16">
        <f t="shared" si="26"/>
        <v>0.60532670316484272</v>
      </c>
      <c r="AA118" s="16">
        <f t="shared" si="27"/>
        <v>1.2568741932077458E-2</v>
      </c>
      <c r="AB118" s="14">
        <f t="shared" si="45"/>
        <v>34.567091284001535</v>
      </c>
      <c r="AC118" s="16">
        <f t="shared" si="28"/>
        <v>0.28192025806623294</v>
      </c>
      <c r="AD118" s="16">
        <f t="shared" si="29"/>
        <v>2.9220288150668423E-2</v>
      </c>
      <c r="AE118" s="23" t="str">
        <f t="shared" si="46"/>
        <v/>
      </c>
      <c r="AF118" s="23" t="str">
        <f t="shared" si="30"/>
        <v/>
      </c>
      <c r="AG118" s="23" t="str">
        <f t="shared" si="31"/>
        <v/>
      </c>
      <c r="AH118" s="23" t="str">
        <f t="shared" si="47"/>
        <v/>
      </c>
      <c r="AI118" s="23" t="str">
        <f t="shared" si="32"/>
        <v/>
      </c>
      <c r="AJ118" s="23" t="str">
        <f t="shared" si="33"/>
        <v/>
      </c>
      <c r="AK118" s="23" t="str">
        <f t="shared" si="34"/>
        <v/>
      </c>
      <c r="AL118" s="23" t="str">
        <f t="shared" si="35"/>
        <v/>
      </c>
      <c r="AM118" s="52">
        <f t="shared" si="36"/>
        <v>0</v>
      </c>
      <c r="AN118" s="26">
        <f t="shared" si="37"/>
        <v>693.45077951284861</v>
      </c>
    </row>
    <row r="119" spans="1:40" x14ac:dyDescent="0.2">
      <c r="A119" s="12">
        <v>44673</v>
      </c>
      <c r="B119" s="6">
        <v>22</v>
      </c>
      <c r="C119" s="6">
        <v>112</v>
      </c>
      <c r="D119" s="6">
        <v>6</v>
      </c>
      <c r="E119" s="6" t="s">
        <v>17</v>
      </c>
      <c r="F119" s="6">
        <v>16</v>
      </c>
      <c r="G119" s="6">
        <v>4</v>
      </c>
      <c r="H119" s="6" t="s">
        <v>20</v>
      </c>
      <c r="I119" s="6">
        <v>2</v>
      </c>
      <c r="J119" s="14">
        <v>15.28069224484077</v>
      </c>
      <c r="K119" s="14">
        <v>85.071413248431242</v>
      </c>
      <c r="L119" s="14">
        <f t="shared" si="38"/>
        <v>1299.9500846829476</v>
      </c>
      <c r="M119" s="16">
        <v>0.803586357051296</v>
      </c>
      <c r="N119" s="14">
        <f t="shared" si="39"/>
        <v>1044.6221528988935</v>
      </c>
      <c r="O119" s="14">
        <f t="shared" si="40"/>
        <v>255.32793178405404</v>
      </c>
      <c r="P119" s="14">
        <v>51.657264228532718</v>
      </c>
      <c r="Q119" s="14">
        <v>24.850848170537645</v>
      </c>
      <c r="R119" s="14">
        <f t="shared" si="24"/>
        <v>12.987012987012987</v>
      </c>
      <c r="S119" s="14">
        <v>51.066183147988227</v>
      </c>
      <c r="T119" s="14">
        <f t="shared" si="41"/>
        <v>909.96505927806322</v>
      </c>
      <c r="U119" s="14">
        <f t="shared" si="25"/>
        <v>59.549989273901865</v>
      </c>
      <c r="V119" s="14">
        <v>63.924087714570348</v>
      </c>
      <c r="W119" s="16">
        <f t="shared" si="42"/>
        <v>0.86746051272878766</v>
      </c>
      <c r="X119" s="16">
        <f t="shared" si="43"/>
        <v>0.23904435387597733</v>
      </c>
      <c r="Y119" s="16">
        <f t="shared" si="44"/>
        <v>1.1479805100732801</v>
      </c>
      <c r="Z119" s="16">
        <f t="shared" si="26"/>
        <v>0.25660277073362336</v>
      </c>
      <c r="AA119" s="16">
        <f t="shared" si="27"/>
        <v>9.9903935851355895E-3</v>
      </c>
      <c r="AB119" s="14">
        <f t="shared" si="45"/>
        <v>59.549989273901865</v>
      </c>
      <c r="AC119" s="16">
        <f t="shared" si="28"/>
        <v>0.29211749542665444</v>
      </c>
      <c r="AD119" s="16">
        <f t="shared" si="29"/>
        <v>3.9737882890427838E-2</v>
      </c>
      <c r="AE119" s="23" t="str">
        <f t="shared" si="46"/>
        <v/>
      </c>
      <c r="AF119" s="23" t="str">
        <f t="shared" si="30"/>
        <v/>
      </c>
      <c r="AG119" s="23" t="str">
        <f t="shared" si="31"/>
        <v/>
      </c>
      <c r="AH119" s="23" t="str">
        <f t="shared" si="47"/>
        <v/>
      </c>
      <c r="AI119" s="23" t="str">
        <f t="shared" si="32"/>
        <v/>
      </c>
      <c r="AJ119" s="23" t="str">
        <f t="shared" si="33"/>
        <v/>
      </c>
      <c r="AK119" s="23" t="str">
        <f t="shared" si="34"/>
        <v/>
      </c>
      <c r="AL119" s="23" t="str">
        <f t="shared" si="35"/>
        <v/>
      </c>
      <c r="AM119" s="52">
        <f t="shared" si="36"/>
        <v>0</v>
      </c>
      <c r="AN119" s="26">
        <f t="shared" si="37"/>
        <v>255.32793178405404</v>
      </c>
    </row>
    <row r="120" spans="1:40" x14ac:dyDescent="0.2">
      <c r="A120" s="12">
        <v>44674</v>
      </c>
      <c r="B120" s="6">
        <v>23</v>
      </c>
      <c r="C120" s="6">
        <v>113</v>
      </c>
      <c r="D120" s="6">
        <v>7</v>
      </c>
      <c r="E120" s="6" t="s">
        <v>10</v>
      </c>
      <c r="F120" s="6">
        <v>16</v>
      </c>
      <c r="G120" s="6">
        <v>4</v>
      </c>
      <c r="H120" s="6" t="s">
        <v>20</v>
      </c>
      <c r="I120" s="6">
        <v>2</v>
      </c>
      <c r="J120" s="14">
        <v>26.861469920124932</v>
      </c>
      <c r="K120" s="14">
        <v>108.75384945448293</v>
      </c>
      <c r="L120" s="14">
        <f t="shared" si="38"/>
        <v>2921.2882558193887</v>
      </c>
      <c r="M120" s="16">
        <v>0.67577404047953959</v>
      </c>
      <c r="N120" s="14">
        <f t="shared" si="39"/>
        <v>1974.1307680404952</v>
      </c>
      <c r="O120" s="14">
        <f t="shared" si="40"/>
        <v>947.15748777889348</v>
      </c>
      <c r="P120" s="14">
        <v>60.029559320145196</v>
      </c>
      <c r="Q120" s="14">
        <v>9.0180598934455354</v>
      </c>
      <c r="R120" s="14">
        <f t="shared" si="24"/>
        <v>12.987012987012987</v>
      </c>
      <c r="S120" s="14">
        <v>50.287819761528951</v>
      </c>
      <c r="T120" s="14">
        <f t="shared" si="41"/>
        <v>2044.901779073572</v>
      </c>
      <c r="U120" s="14">
        <f t="shared" si="25"/>
        <v>76.127694618138051</v>
      </c>
      <c r="V120" s="14">
        <v>54.576445391962551</v>
      </c>
      <c r="W120" s="16">
        <f t="shared" si="42"/>
        <v>0.78853772758071483</v>
      </c>
      <c r="X120" s="16">
        <f t="shared" si="43"/>
        <v>0.49218064179901333</v>
      </c>
      <c r="Y120" s="16">
        <f t="shared" si="44"/>
        <v>0.96539148639934236</v>
      </c>
      <c r="Z120" s="16">
        <f t="shared" si="26"/>
        <v>0.35284754194730289</v>
      </c>
      <c r="AA120" s="16">
        <f t="shared" si="27"/>
        <v>4.4456458417419251E-3</v>
      </c>
      <c r="AB120" s="14">
        <f t="shared" si="45"/>
        <v>76.127694618138051</v>
      </c>
      <c r="AC120" s="16">
        <f t="shared" si="28"/>
        <v>8.2921753470619822E-2</v>
      </c>
      <c r="AD120" s="16">
        <f t="shared" si="29"/>
        <v>2.0549002379536687E-2</v>
      </c>
      <c r="AE120" s="23" t="str">
        <f t="shared" si="46"/>
        <v/>
      </c>
      <c r="AF120" s="23" t="str">
        <f t="shared" si="30"/>
        <v/>
      </c>
      <c r="AG120" s="23" t="str">
        <f t="shared" si="31"/>
        <v/>
      </c>
      <c r="AH120" s="23" t="str">
        <f t="shared" si="47"/>
        <v/>
      </c>
      <c r="AI120" s="23" t="str">
        <f t="shared" si="32"/>
        <v/>
      </c>
      <c r="AJ120" s="23" t="str">
        <f t="shared" si="33"/>
        <v/>
      </c>
      <c r="AK120" s="23" t="str">
        <f t="shared" si="34"/>
        <v/>
      </c>
      <c r="AL120" s="23" t="str">
        <f t="shared" si="35"/>
        <v/>
      </c>
      <c r="AM120" s="52">
        <f t="shared" si="36"/>
        <v>0</v>
      </c>
      <c r="AN120" s="26">
        <f t="shared" si="37"/>
        <v>947.15748777889348</v>
      </c>
    </row>
    <row r="121" spans="1:40" x14ac:dyDescent="0.2">
      <c r="A121" s="12">
        <v>44675</v>
      </c>
      <c r="B121" s="6">
        <v>24</v>
      </c>
      <c r="C121" s="6">
        <v>114</v>
      </c>
      <c r="D121" s="6">
        <v>1</v>
      </c>
      <c r="E121" s="6" t="s">
        <v>12</v>
      </c>
      <c r="F121" s="6">
        <v>17</v>
      </c>
      <c r="G121" s="6">
        <v>4</v>
      </c>
      <c r="H121" s="6" t="s">
        <v>20</v>
      </c>
      <c r="I121" s="6">
        <v>2</v>
      </c>
      <c r="J121" s="14">
        <v>2.4447704009222622</v>
      </c>
      <c r="K121" s="14">
        <v>64.414986583519351</v>
      </c>
      <c r="L121" s="14">
        <f t="shared" si="38"/>
        <v>157.47985257519275</v>
      </c>
      <c r="M121" s="16">
        <v>0.41168973669360848</v>
      </c>
      <c r="N121" s="14">
        <f t="shared" si="39"/>
        <v>64.832839041229391</v>
      </c>
      <c r="O121" s="14">
        <f t="shared" si="40"/>
        <v>92.64701353396336</v>
      </c>
      <c r="P121" s="14">
        <v>29.682165726604627</v>
      </c>
      <c r="Q121" s="14">
        <v>7.5974464741991286</v>
      </c>
      <c r="R121" s="14">
        <f t="shared" si="24"/>
        <v>28.571428571428573</v>
      </c>
      <c r="S121" s="14">
        <v>28.401695402187691</v>
      </c>
      <c r="T121" s="14">
        <f t="shared" si="41"/>
        <v>110.23589680263493</v>
      </c>
      <c r="U121" s="14">
        <f t="shared" si="25"/>
        <v>45.090490608463547</v>
      </c>
      <c r="V121" s="14">
        <v>31.225755792357589</v>
      </c>
      <c r="W121" s="16">
        <f t="shared" si="42"/>
        <v>0.65827994608320461</v>
      </c>
      <c r="X121" s="16">
        <f t="shared" si="43"/>
        <v>7.8293393991142796E-2</v>
      </c>
      <c r="Y121" s="16">
        <f t="shared" si="44"/>
        <v>0.58812819527658355</v>
      </c>
      <c r="Z121" s="16">
        <f t="shared" si="26"/>
        <v>5.4219201608406882E-2</v>
      </c>
      <c r="AA121" s="16">
        <f t="shared" si="27"/>
        <v>0.18142910413118668</v>
      </c>
      <c r="AB121" s="14">
        <f t="shared" si="45"/>
        <v>45.090490608463547</v>
      </c>
      <c r="AC121" s="16">
        <f t="shared" si="28"/>
        <v>0.1179453241731008</v>
      </c>
      <c r="AD121" s="16">
        <f t="shared" si="29"/>
        <v>0.18848230577579519</v>
      </c>
      <c r="AE121" s="23" t="str">
        <f t="shared" si="46"/>
        <v/>
      </c>
      <c r="AF121" s="23">
        <f t="shared" si="30"/>
        <v>1000</v>
      </c>
      <c r="AG121" s="23" t="str">
        <f t="shared" si="31"/>
        <v/>
      </c>
      <c r="AH121" s="23" t="str">
        <f t="shared" si="47"/>
        <v/>
      </c>
      <c r="AI121" s="23" t="str">
        <f t="shared" si="32"/>
        <v/>
      </c>
      <c r="AJ121" s="23" t="str">
        <f t="shared" si="33"/>
        <v/>
      </c>
      <c r="AK121" s="23" t="str">
        <f t="shared" si="34"/>
        <v/>
      </c>
      <c r="AL121" s="23" t="str">
        <f t="shared" si="35"/>
        <v/>
      </c>
      <c r="AM121" s="52">
        <f t="shared" si="36"/>
        <v>1000</v>
      </c>
      <c r="AN121" s="26">
        <f t="shared" si="37"/>
        <v>-907.35298646603667</v>
      </c>
    </row>
    <row r="122" spans="1:40" x14ac:dyDescent="0.2">
      <c r="A122" s="12">
        <v>44676</v>
      </c>
      <c r="B122" s="6">
        <v>25</v>
      </c>
      <c r="C122" s="6">
        <v>115</v>
      </c>
      <c r="D122" s="6">
        <v>2</v>
      </c>
      <c r="E122" s="6" t="s">
        <v>13</v>
      </c>
      <c r="F122" s="6">
        <v>17</v>
      </c>
      <c r="G122" s="6">
        <v>4</v>
      </c>
      <c r="H122" s="6" t="s">
        <v>20</v>
      </c>
      <c r="I122" s="6">
        <v>2</v>
      </c>
      <c r="J122" s="14">
        <v>17.310379313357586</v>
      </c>
      <c r="K122" s="14">
        <v>127.60663171084491</v>
      </c>
      <c r="L122" s="14">
        <f t="shared" si="38"/>
        <v>2208.91919781465</v>
      </c>
      <c r="M122" s="16">
        <v>1.0447307161682655</v>
      </c>
      <c r="N122" s="14">
        <f t="shared" si="39"/>
        <v>2307.7257354907297</v>
      </c>
      <c r="O122" s="14">
        <f t="shared" si="40"/>
        <v>-98.806537676079643</v>
      </c>
      <c r="P122" s="14">
        <v>52.763644625618859</v>
      </c>
      <c r="Q122" s="14">
        <v>29.200341342346682</v>
      </c>
      <c r="R122" s="14">
        <f t="shared" si="24"/>
        <v>12.987012987012987</v>
      </c>
      <c r="S122" s="14">
        <v>75.887544243428152</v>
      </c>
      <c r="T122" s="14">
        <f t="shared" si="41"/>
        <v>1546.2434384702549</v>
      </c>
      <c r="U122" s="14">
        <f t="shared" si="25"/>
        <v>89.32464219759143</v>
      </c>
      <c r="V122" s="14">
        <v>67.485333940370737</v>
      </c>
      <c r="W122" s="16">
        <f t="shared" si="42"/>
        <v>0.59069528102785496</v>
      </c>
      <c r="X122" s="16">
        <f t="shared" si="43"/>
        <v>0.25650579618755148</v>
      </c>
      <c r="Y122" s="16">
        <f t="shared" si="44"/>
        <v>1.4924724516689507</v>
      </c>
      <c r="Z122" s="16">
        <f t="shared" si="26"/>
        <v>0.19379175653529063</v>
      </c>
      <c r="AA122" s="16">
        <f t="shared" si="27"/>
        <v>5.8793517661766114E-3</v>
      </c>
      <c r="AB122" s="14">
        <f t="shared" si="45"/>
        <v>89.32464219759143</v>
      </c>
      <c r="AC122" s="16">
        <f t="shared" si="28"/>
        <v>0.22883090753867952</v>
      </c>
      <c r="AD122" s="16">
        <f t="shared" si="29"/>
        <v>2.3886634095905145E-2</v>
      </c>
      <c r="AE122" s="23" t="str">
        <f t="shared" si="46"/>
        <v/>
      </c>
      <c r="AF122" s="23" t="str">
        <f t="shared" si="30"/>
        <v/>
      </c>
      <c r="AG122" s="23" t="str">
        <f t="shared" si="31"/>
        <v/>
      </c>
      <c r="AH122" s="23" t="str">
        <f t="shared" si="47"/>
        <v/>
      </c>
      <c r="AI122" s="23" t="str">
        <f t="shared" si="32"/>
        <v/>
      </c>
      <c r="AJ122" s="23" t="str">
        <f t="shared" si="33"/>
        <v/>
      </c>
      <c r="AK122" s="23">
        <f t="shared" si="34"/>
        <v>83</v>
      </c>
      <c r="AL122" s="23" t="str">
        <f t="shared" si="35"/>
        <v/>
      </c>
      <c r="AM122" s="52">
        <f t="shared" si="36"/>
        <v>83</v>
      </c>
      <c r="AN122" s="26">
        <f t="shared" si="37"/>
        <v>-181.80653767607964</v>
      </c>
    </row>
    <row r="123" spans="1:40" x14ac:dyDescent="0.2">
      <c r="A123" s="12">
        <v>44677</v>
      </c>
      <c r="B123" s="6">
        <v>26</v>
      </c>
      <c r="C123" s="6">
        <v>116</v>
      </c>
      <c r="D123" s="6">
        <v>3</v>
      </c>
      <c r="E123" s="6" t="s">
        <v>14</v>
      </c>
      <c r="F123" s="6">
        <v>17</v>
      </c>
      <c r="G123" s="6">
        <v>4</v>
      </c>
      <c r="H123" s="6" t="s">
        <v>20</v>
      </c>
      <c r="I123" s="6">
        <v>2</v>
      </c>
      <c r="J123" s="14">
        <v>27.32940150249447</v>
      </c>
      <c r="K123" s="14">
        <v>110.48843564064214</v>
      </c>
      <c r="L123" s="14">
        <f t="shared" si="38"/>
        <v>3019.5828190056286</v>
      </c>
      <c r="M123" s="16">
        <v>0.80465086299614785</v>
      </c>
      <c r="N123" s="14">
        <f t="shared" si="39"/>
        <v>2429.7099212012199</v>
      </c>
      <c r="O123" s="14">
        <f t="shared" si="40"/>
        <v>589.87289780440869</v>
      </c>
      <c r="P123" s="14">
        <v>74.820374680756444</v>
      </c>
      <c r="Q123" s="14">
        <v>25.064941242234859</v>
      </c>
      <c r="R123" s="14">
        <f t="shared" si="24"/>
        <v>12.987012987012987</v>
      </c>
      <c r="S123" s="14">
        <v>76.358198928092961</v>
      </c>
      <c r="T123" s="14">
        <f t="shared" si="41"/>
        <v>2113.70797330394</v>
      </c>
      <c r="U123" s="14">
        <f t="shared" si="25"/>
        <v>77.341904948449496</v>
      </c>
      <c r="V123" s="14">
        <v>80.827843290818407</v>
      </c>
      <c r="W123" s="16">
        <f t="shared" si="42"/>
        <v>0.9673976188022041</v>
      </c>
      <c r="X123" s="16">
        <f t="shared" si="43"/>
        <v>0.33811865305082239</v>
      </c>
      <c r="Y123" s="16">
        <f t="shared" si="44"/>
        <v>1.1495012328516399</v>
      </c>
      <c r="Z123" s="16">
        <f t="shared" si="26"/>
        <v>0.35335826704436962</v>
      </c>
      <c r="AA123" s="16">
        <f t="shared" si="27"/>
        <v>4.3009295540003467E-3</v>
      </c>
      <c r="AB123" s="14">
        <f t="shared" si="45"/>
        <v>77.341904948449496</v>
      </c>
      <c r="AC123" s="16">
        <f t="shared" si="28"/>
        <v>0.22685578899639117</v>
      </c>
      <c r="AD123" s="16">
        <f t="shared" si="29"/>
        <v>2.4778381374350036E-2</v>
      </c>
      <c r="AE123" s="23" t="str">
        <f t="shared" si="46"/>
        <v/>
      </c>
      <c r="AF123" s="23" t="str">
        <f t="shared" si="30"/>
        <v/>
      </c>
      <c r="AG123" s="23" t="str">
        <f t="shared" si="31"/>
        <v/>
      </c>
      <c r="AH123" s="23" t="str">
        <f t="shared" si="47"/>
        <v/>
      </c>
      <c r="AI123" s="23" t="str">
        <f t="shared" si="32"/>
        <v/>
      </c>
      <c r="AJ123" s="23" t="str">
        <f t="shared" si="33"/>
        <v/>
      </c>
      <c r="AK123" s="23" t="str">
        <f t="shared" si="34"/>
        <v/>
      </c>
      <c r="AL123" s="23" t="str">
        <f t="shared" si="35"/>
        <v/>
      </c>
      <c r="AM123" s="52">
        <f t="shared" si="36"/>
        <v>0</v>
      </c>
      <c r="AN123" s="26">
        <f t="shared" si="37"/>
        <v>589.87289780440869</v>
      </c>
    </row>
    <row r="124" spans="1:40" x14ac:dyDescent="0.2">
      <c r="A124" s="12">
        <v>44678</v>
      </c>
      <c r="B124" s="6">
        <v>27</v>
      </c>
      <c r="C124" s="6">
        <v>117</v>
      </c>
      <c r="D124" s="6">
        <v>4</v>
      </c>
      <c r="E124" s="6" t="s">
        <v>15</v>
      </c>
      <c r="F124" s="6">
        <v>17</v>
      </c>
      <c r="G124" s="6">
        <v>4</v>
      </c>
      <c r="H124" s="6" t="s">
        <v>20</v>
      </c>
      <c r="I124" s="6">
        <v>2</v>
      </c>
      <c r="J124" s="14">
        <v>37.763244649850577</v>
      </c>
      <c r="K124" s="14">
        <v>48.40256470216346</v>
      </c>
      <c r="L124" s="14">
        <f t="shared" si="38"/>
        <v>1827.8378925280206</v>
      </c>
      <c r="M124" s="16">
        <v>0.71938152998042837</v>
      </c>
      <c r="N124" s="14">
        <f t="shared" si="39"/>
        <v>1314.9128196830093</v>
      </c>
      <c r="O124" s="14">
        <f t="shared" si="40"/>
        <v>512.9250728450113</v>
      </c>
      <c r="P124" s="14">
        <v>77.963496665595073</v>
      </c>
      <c r="Q124" s="14">
        <v>26.591846500695329</v>
      </c>
      <c r="R124" s="14">
        <f t="shared" si="24"/>
        <v>12.987012987012987</v>
      </c>
      <c r="S124" s="14">
        <v>49.011922826979031</v>
      </c>
      <c r="T124" s="14">
        <f t="shared" si="41"/>
        <v>1279.4865247696143</v>
      </c>
      <c r="U124" s="14">
        <f t="shared" si="25"/>
        <v>33.881795291514422</v>
      </c>
      <c r="V124" s="14">
        <v>66.939304187712366</v>
      </c>
      <c r="W124" s="16">
        <f t="shared" si="42"/>
        <v>2.3010438495011143</v>
      </c>
      <c r="X124" s="16">
        <f t="shared" si="43"/>
        <v>0.56414157733032644</v>
      </c>
      <c r="Y124" s="16">
        <f t="shared" si="44"/>
        <v>1.0276878999720407</v>
      </c>
      <c r="Z124" s="16">
        <f t="shared" si="26"/>
        <v>1.1145585505413951</v>
      </c>
      <c r="AA124" s="16">
        <f t="shared" si="27"/>
        <v>7.1051229652817245E-3</v>
      </c>
      <c r="AB124" s="14">
        <f t="shared" si="45"/>
        <v>33.881795291514422</v>
      </c>
      <c r="AC124" s="16">
        <f t="shared" si="28"/>
        <v>0.54938920415319947</v>
      </c>
      <c r="AD124" s="16">
        <f t="shared" si="29"/>
        <v>4.265339775715362E-2</v>
      </c>
      <c r="AE124" s="23" t="str">
        <f t="shared" si="46"/>
        <v/>
      </c>
      <c r="AF124" s="23" t="str">
        <f t="shared" si="30"/>
        <v/>
      </c>
      <c r="AG124" s="23" t="str">
        <f t="shared" si="31"/>
        <v/>
      </c>
      <c r="AH124" s="23" t="str">
        <f t="shared" si="47"/>
        <v/>
      </c>
      <c r="AI124" s="23" t="str">
        <f t="shared" si="32"/>
        <v/>
      </c>
      <c r="AJ124" s="23" t="str">
        <f t="shared" si="33"/>
        <v/>
      </c>
      <c r="AK124" s="23" t="str">
        <f t="shared" si="34"/>
        <v/>
      </c>
      <c r="AL124" s="23" t="str">
        <f t="shared" si="35"/>
        <v/>
      </c>
      <c r="AM124" s="52">
        <f t="shared" si="36"/>
        <v>0</v>
      </c>
      <c r="AN124" s="26">
        <f t="shared" si="37"/>
        <v>512.9250728450113</v>
      </c>
    </row>
    <row r="125" spans="1:40" x14ac:dyDescent="0.2">
      <c r="A125" s="12">
        <v>44679</v>
      </c>
      <c r="B125" s="6">
        <v>28</v>
      </c>
      <c r="C125" s="6">
        <v>118</v>
      </c>
      <c r="D125" s="6">
        <v>5</v>
      </c>
      <c r="E125" s="6" t="s">
        <v>16</v>
      </c>
      <c r="F125" s="6">
        <v>17</v>
      </c>
      <c r="G125" s="6">
        <v>4</v>
      </c>
      <c r="H125" s="6" t="s">
        <v>20</v>
      </c>
      <c r="I125" s="6">
        <v>2</v>
      </c>
      <c r="J125" s="14">
        <v>10.323547393480052</v>
      </c>
      <c r="K125" s="14">
        <v>115.1680224857907</v>
      </c>
      <c r="L125" s="14">
        <f t="shared" si="38"/>
        <v>1188.9425383454366</v>
      </c>
      <c r="M125" s="16">
        <v>0.4877747547478492</v>
      </c>
      <c r="N125" s="14">
        <f t="shared" si="39"/>
        <v>579.93615505073058</v>
      </c>
      <c r="O125" s="14">
        <f t="shared" si="40"/>
        <v>609.00638329470598</v>
      </c>
      <c r="P125" s="14">
        <v>56.85488518791405</v>
      </c>
      <c r="Q125" s="14">
        <v>13.609972883771704</v>
      </c>
      <c r="R125" s="14">
        <f t="shared" si="24"/>
        <v>12.987012987012987</v>
      </c>
      <c r="S125" s="14">
        <v>71.076562873273232</v>
      </c>
      <c r="T125" s="14">
        <f t="shared" si="41"/>
        <v>832.25977684180555</v>
      </c>
      <c r="U125" s="14">
        <f t="shared" si="25"/>
        <v>80.617615740053481</v>
      </c>
      <c r="V125" s="14">
        <v>57.960856825414155</v>
      </c>
      <c r="W125" s="16">
        <f t="shared" si="42"/>
        <v>0.70524146200551396</v>
      </c>
      <c r="X125" s="16">
        <f t="shared" si="43"/>
        <v>0.17811240135003448</v>
      </c>
      <c r="Y125" s="16">
        <f t="shared" si="44"/>
        <v>0.69682107821121309</v>
      </c>
      <c r="Z125" s="16">
        <f t="shared" si="26"/>
        <v>0.12805572701092641</v>
      </c>
      <c r="AA125" s="16">
        <f t="shared" si="27"/>
        <v>1.0923162867976826E-2</v>
      </c>
      <c r="AB125" s="14">
        <f t="shared" si="45"/>
        <v>80.617615740053481</v>
      </c>
      <c r="AC125" s="16">
        <f t="shared" si="28"/>
        <v>0.11817492902989532</v>
      </c>
      <c r="AD125" s="16">
        <f t="shared" si="29"/>
        <v>4.7819708147573546E-2</v>
      </c>
      <c r="AE125" s="23" t="str">
        <f t="shared" si="46"/>
        <v/>
      </c>
      <c r="AF125" s="23" t="str">
        <f t="shared" si="30"/>
        <v/>
      </c>
      <c r="AG125" s="23" t="str">
        <f t="shared" si="31"/>
        <v/>
      </c>
      <c r="AH125" s="23" t="str">
        <f t="shared" si="47"/>
        <v/>
      </c>
      <c r="AI125" s="23" t="str">
        <f t="shared" si="32"/>
        <v/>
      </c>
      <c r="AJ125" s="23" t="str">
        <f t="shared" si="33"/>
        <v/>
      </c>
      <c r="AK125" s="23" t="str">
        <f t="shared" si="34"/>
        <v/>
      </c>
      <c r="AL125" s="23" t="str">
        <f t="shared" si="35"/>
        <v/>
      </c>
      <c r="AM125" s="52">
        <f t="shared" si="36"/>
        <v>0</v>
      </c>
      <c r="AN125" s="26">
        <f t="shared" si="37"/>
        <v>609.00638329470598</v>
      </c>
    </row>
    <row r="126" spans="1:40" x14ac:dyDescent="0.2">
      <c r="A126" s="12">
        <v>44680</v>
      </c>
      <c r="B126" s="6">
        <v>29</v>
      </c>
      <c r="C126" s="6">
        <v>119</v>
      </c>
      <c r="D126" s="6">
        <v>6</v>
      </c>
      <c r="E126" s="6" t="s">
        <v>17</v>
      </c>
      <c r="F126" s="6">
        <v>17</v>
      </c>
      <c r="G126" s="6">
        <v>4</v>
      </c>
      <c r="H126" s="6" t="s">
        <v>20</v>
      </c>
      <c r="I126" s="6">
        <v>2</v>
      </c>
      <c r="J126" s="14">
        <v>40.943289025514304</v>
      </c>
      <c r="K126" s="14">
        <v>76.023570130187494</v>
      </c>
      <c r="L126" s="14">
        <f t="shared" si="38"/>
        <v>3112.6550045917224</v>
      </c>
      <c r="M126" s="16">
        <v>1.1660797239716014</v>
      </c>
      <c r="N126" s="14">
        <f t="shared" si="39"/>
        <v>3629.6038885731396</v>
      </c>
      <c r="O126" s="14">
        <f t="shared" si="40"/>
        <v>-516.94888398141711</v>
      </c>
      <c r="P126" s="14">
        <v>58.951832957406786</v>
      </c>
      <c r="Q126" s="14">
        <v>18.23725029363823</v>
      </c>
      <c r="R126" s="14">
        <f t="shared" si="24"/>
        <v>12.987012987012987</v>
      </c>
      <c r="S126" s="14">
        <v>68.371320244078078</v>
      </c>
      <c r="T126" s="14">
        <f t="shared" si="41"/>
        <v>2178.8585032142055</v>
      </c>
      <c r="U126" s="14">
        <f t="shared" si="25"/>
        <v>53.21649909113124</v>
      </c>
      <c r="V126" s="14">
        <v>47.749437873191695</v>
      </c>
      <c r="W126" s="16">
        <f t="shared" si="42"/>
        <v>1.1077736033791701</v>
      </c>
      <c r="X126" s="16">
        <f t="shared" si="43"/>
        <v>0.85746117334925498</v>
      </c>
      <c r="Y126" s="16">
        <f t="shared" si="44"/>
        <v>1.665828177102288</v>
      </c>
      <c r="Z126" s="16">
        <f t="shared" si="26"/>
        <v>0.76937208806991364</v>
      </c>
      <c r="AA126" s="16">
        <f t="shared" si="27"/>
        <v>4.1723265083521369E-3</v>
      </c>
      <c r="AB126" s="14">
        <f t="shared" si="45"/>
        <v>53.21649909113124</v>
      </c>
      <c r="AC126" s="16">
        <f t="shared" si="28"/>
        <v>0.23988942195700133</v>
      </c>
      <c r="AD126" s="16">
        <f t="shared" si="29"/>
        <v>1.8939404743038433E-2</v>
      </c>
      <c r="AE126" s="23" t="str">
        <f t="shared" si="46"/>
        <v/>
      </c>
      <c r="AF126" s="23" t="str">
        <f t="shared" si="30"/>
        <v/>
      </c>
      <c r="AG126" s="23" t="str">
        <f t="shared" si="31"/>
        <v/>
      </c>
      <c r="AH126" s="23" t="str">
        <f t="shared" si="47"/>
        <v/>
      </c>
      <c r="AI126" s="23" t="str">
        <f t="shared" si="32"/>
        <v/>
      </c>
      <c r="AJ126" s="23" t="str">
        <f t="shared" si="33"/>
        <v/>
      </c>
      <c r="AK126" s="23" t="str">
        <f t="shared" si="34"/>
        <v/>
      </c>
      <c r="AL126" s="23" t="str">
        <f t="shared" si="35"/>
        <v/>
      </c>
      <c r="AM126" s="52">
        <f t="shared" si="36"/>
        <v>0</v>
      </c>
      <c r="AN126" s="26">
        <f t="shared" si="37"/>
        <v>-516.94888398141711</v>
      </c>
    </row>
    <row r="127" spans="1:40" x14ac:dyDescent="0.2">
      <c r="A127" s="12">
        <v>44681</v>
      </c>
      <c r="B127" s="6">
        <v>30</v>
      </c>
      <c r="C127" s="6">
        <v>120</v>
      </c>
      <c r="D127" s="6">
        <v>7</v>
      </c>
      <c r="E127" s="6" t="s">
        <v>10</v>
      </c>
      <c r="F127" s="6">
        <v>17</v>
      </c>
      <c r="G127" s="6">
        <v>4</v>
      </c>
      <c r="H127" s="6" t="s">
        <v>20</v>
      </c>
      <c r="I127" s="6">
        <v>2</v>
      </c>
      <c r="J127" s="14">
        <v>3.3212199100440811</v>
      </c>
      <c r="K127" s="14">
        <v>51.93811059599787</v>
      </c>
      <c r="L127" s="14">
        <f t="shared" si="38"/>
        <v>172.49788700149958</v>
      </c>
      <c r="M127" s="16">
        <v>0.91176334913721524</v>
      </c>
      <c r="N127" s="14">
        <f t="shared" si="39"/>
        <v>157.27725117158016</v>
      </c>
      <c r="O127" s="14">
        <f t="shared" si="40"/>
        <v>15.220635829919416</v>
      </c>
      <c r="P127" s="14">
        <v>81.026511318317262</v>
      </c>
      <c r="Q127" s="14">
        <v>29.30795314595785</v>
      </c>
      <c r="R127" s="14">
        <f t="shared" si="24"/>
        <v>12.987012987012987</v>
      </c>
      <c r="S127" s="14">
        <v>50.570661368832383</v>
      </c>
      <c r="T127" s="14">
        <f t="shared" si="41"/>
        <v>120.7485209010497</v>
      </c>
      <c r="U127" s="14">
        <f t="shared" si="25"/>
        <v>36.356677417198505</v>
      </c>
      <c r="V127" s="14">
        <v>68.333613385729635</v>
      </c>
      <c r="W127" s="16">
        <f t="shared" si="42"/>
        <v>2.2286555613574226</v>
      </c>
      <c r="X127" s="16">
        <f t="shared" si="43"/>
        <v>4.8603019004665481E-2</v>
      </c>
      <c r="Y127" s="16">
        <f t="shared" si="44"/>
        <v>1.3025190701960219</v>
      </c>
      <c r="Z127" s="16">
        <f t="shared" si="26"/>
        <v>9.1351029466542513E-2</v>
      </c>
      <c r="AA127" s="16">
        <f t="shared" si="27"/>
        <v>7.5287954030996834E-2</v>
      </c>
      <c r="AB127" s="14">
        <f t="shared" si="45"/>
        <v>36.356677417198505</v>
      </c>
      <c r="AC127" s="16">
        <f t="shared" si="28"/>
        <v>0.56428608606752428</v>
      </c>
      <c r="AD127" s="16">
        <f t="shared" si="29"/>
        <v>0.46972465997576462</v>
      </c>
      <c r="AE127" s="23" t="str">
        <f t="shared" si="46"/>
        <v/>
      </c>
      <c r="AF127" s="23" t="str">
        <f t="shared" si="30"/>
        <v/>
      </c>
      <c r="AG127" s="23" t="str">
        <f t="shared" si="31"/>
        <v/>
      </c>
      <c r="AH127" s="23" t="str">
        <f t="shared" si="47"/>
        <v/>
      </c>
      <c r="AI127" s="23" t="str">
        <f t="shared" si="32"/>
        <v/>
      </c>
      <c r="AJ127" s="23" t="str">
        <f t="shared" si="33"/>
        <v/>
      </c>
      <c r="AK127" s="23" t="str">
        <f t="shared" si="34"/>
        <v/>
      </c>
      <c r="AL127" s="23" t="str">
        <f t="shared" si="35"/>
        <v/>
      </c>
      <c r="AM127" s="52">
        <f t="shared" si="36"/>
        <v>0</v>
      </c>
      <c r="AN127" s="26">
        <f t="shared" si="37"/>
        <v>15.220635829919416</v>
      </c>
    </row>
    <row r="128" spans="1:40" x14ac:dyDescent="0.2">
      <c r="A128" s="12">
        <v>44682</v>
      </c>
      <c r="B128" s="6">
        <v>1</v>
      </c>
      <c r="C128" s="6">
        <v>121</v>
      </c>
      <c r="D128" s="6">
        <v>1</v>
      </c>
      <c r="E128" s="6" t="s">
        <v>12</v>
      </c>
      <c r="F128" s="6">
        <v>18</v>
      </c>
      <c r="G128" s="6">
        <v>5</v>
      </c>
      <c r="H128" s="6" t="s">
        <v>21</v>
      </c>
      <c r="I128" s="6">
        <v>2</v>
      </c>
      <c r="J128" s="14">
        <v>14.407873666374094</v>
      </c>
      <c r="K128" s="14">
        <v>54.295802084674854</v>
      </c>
      <c r="L128" s="14">
        <f t="shared" si="38"/>
        <v>782.28705705044649</v>
      </c>
      <c r="M128" s="16">
        <v>0.36437587322580511</v>
      </c>
      <c r="N128" s="14">
        <f t="shared" si="39"/>
        <v>285.04652952600168</v>
      </c>
      <c r="O128" s="14">
        <f t="shared" si="40"/>
        <v>497.24052752444481</v>
      </c>
      <c r="P128" s="14">
        <v>32.967063946532981</v>
      </c>
      <c r="Q128" s="14">
        <v>10.473558419674283</v>
      </c>
      <c r="R128" s="14">
        <f t="shared" si="24"/>
        <v>28.571428571428573</v>
      </c>
      <c r="S128" s="14">
        <v>33.147755569760719</v>
      </c>
      <c r="T128" s="14">
        <f t="shared" si="41"/>
        <v>547.60093993531245</v>
      </c>
      <c r="U128" s="14">
        <f t="shared" si="25"/>
        <v>38.007061459272393</v>
      </c>
      <c r="V128" s="14">
        <v>32.344816889833623</v>
      </c>
      <c r="W128" s="16">
        <f t="shared" si="42"/>
        <v>0.86739312856006578</v>
      </c>
      <c r="X128" s="16">
        <f t="shared" si="43"/>
        <v>0.44544613486133744</v>
      </c>
      <c r="Y128" s="16">
        <f t="shared" si="44"/>
        <v>0.52053696175115027</v>
      </c>
      <c r="Z128" s="16">
        <f t="shared" si="26"/>
        <v>0.37908412576997785</v>
      </c>
      <c r="AA128" s="16">
        <f t="shared" si="27"/>
        <v>3.6522946805684041E-2</v>
      </c>
      <c r="AB128" s="14">
        <f t="shared" si="45"/>
        <v>38.007061459272393</v>
      </c>
      <c r="AC128" s="16">
        <f t="shared" si="28"/>
        <v>0.19289812503995543</v>
      </c>
      <c r="AD128" s="16">
        <f t="shared" si="29"/>
        <v>4.2141901300058286E-2</v>
      </c>
      <c r="AE128" s="23">
        <f t="shared" si="46"/>
        <v>3000</v>
      </c>
      <c r="AF128" s="23">
        <f t="shared" si="30"/>
        <v>1000</v>
      </c>
      <c r="AG128" s="23" t="str">
        <f t="shared" si="31"/>
        <v/>
      </c>
      <c r="AH128" s="23" t="str">
        <f t="shared" si="47"/>
        <v/>
      </c>
      <c r="AI128" s="23" t="str">
        <f t="shared" si="32"/>
        <v/>
      </c>
      <c r="AJ128" s="23" t="str">
        <f t="shared" si="33"/>
        <v/>
      </c>
      <c r="AK128" s="23" t="str">
        <f t="shared" si="34"/>
        <v/>
      </c>
      <c r="AL128" s="23" t="str">
        <f t="shared" si="35"/>
        <v/>
      </c>
      <c r="AM128" s="52">
        <f t="shared" si="36"/>
        <v>4000</v>
      </c>
      <c r="AN128" s="26">
        <f t="shared" si="37"/>
        <v>-3502.7594724755554</v>
      </c>
    </row>
    <row r="129" spans="1:40" x14ac:dyDescent="0.2">
      <c r="A129" s="12">
        <v>44683</v>
      </c>
      <c r="B129" s="6">
        <v>2</v>
      </c>
      <c r="C129" s="6">
        <v>122</v>
      </c>
      <c r="D129" s="6">
        <v>2</v>
      </c>
      <c r="E129" s="6" t="s">
        <v>13</v>
      </c>
      <c r="F129" s="6">
        <v>18</v>
      </c>
      <c r="G129" s="6">
        <v>5</v>
      </c>
      <c r="H129" s="6" t="s">
        <v>21</v>
      </c>
      <c r="I129" s="6">
        <v>2</v>
      </c>
      <c r="J129" s="14">
        <v>36.181828065921465</v>
      </c>
      <c r="K129" s="14">
        <v>60.232192428051192</v>
      </c>
      <c r="L129" s="14">
        <f t="shared" si="38"/>
        <v>2179.3108304652451</v>
      </c>
      <c r="M129" s="16">
        <v>0.65544969031834943</v>
      </c>
      <c r="N129" s="14">
        <f t="shared" si="39"/>
        <v>1428.4286089358698</v>
      </c>
      <c r="O129" s="14">
        <f t="shared" si="40"/>
        <v>750.88222152937533</v>
      </c>
      <c r="P129" s="14">
        <v>94.436822770634961</v>
      </c>
      <c r="Q129" s="14">
        <v>23.163413676135605</v>
      </c>
      <c r="R129" s="14">
        <f t="shared" si="24"/>
        <v>12.987012987012987</v>
      </c>
      <c r="S129" s="14">
        <v>85.414337501064537</v>
      </c>
      <c r="T129" s="14">
        <f t="shared" si="41"/>
        <v>1525.5175813256715</v>
      </c>
      <c r="U129" s="14">
        <f t="shared" si="25"/>
        <v>42.162534699635835</v>
      </c>
      <c r="V129" s="14">
        <v>85.485514632877354</v>
      </c>
      <c r="W129" s="16">
        <f t="shared" si="42"/>
        <v>2.2398279288330034</v>
      </c>
      <c r="X129" s="16">
        <f t="shared" si="43"/>
        <v>0.4232509825940276</v>
      </c>
      <c r="Y129" s="16">
        <f t="shared" si="44"/>
        <v>0.93635670045478492</v>
      </c>
      <c r="Z129" s="16">
        <f t="shared" si="26"/>
        <v>0.85815116011594939</v>
      </c>
      <c r="AA129" s="16">
        <f t="shared" si="27"/>
        <v>5.9592293148198984E-3</v>
      </c>
      <c r="AB129" s="14">
        <f t="shared" si="45"/>
        <v>42.162534699635835</v>
      </c>
      <c r="AC129" s="16">
        <f t="shared" si="28"/>
        <v>0.38456866241096671</v>
      </c>
      <c r="AD129" s="16">
        <f t="shared" si="29"/>
        <v>4.3333342564297876E-2</v>
      </c>
      <c r="AE129" s="23" t="str">
        <f t="shared" si="46"/>
        <v/>
      </c>
      <c r="AF129" s="23" t="str">
        <f t="shared" si="30"/>
        <v/>
      </c>
      <c r="AG129" s="23" t="str">
        <f t="shared" si="31"/>
        <v/>
      </c>
      <c r="AH129" s="23" t="str">
        <f t="shared" si="47"/>
        <v/>
      </c>
      <c r="AI129" s="23" t="str">
        <f t="shared" si="32"/>
        <v/>
      </c>
      <c r="AJ129" s="23" t="str">
        <f t="shared" si="33"/>
        <v/>
      </c>
      <c r="AK129" s="23" t="str">
        <f t="shared" si="34"/>
        <v/>
      </c>
      <c r="AL129" s="23" t="str">
        <f t="shared" si="35"/>
        <v/>
      </c>
      <c r="AM129" s="52">
        <f t="shared" si="36"/>
        <v>0</v>
      </c>
      <c r="AN129" s="26">
        <f t="shared" si="37"/>
        <v>750.88222152937533</v>
      </c>
    </row>
    <row r="130" spans="1:40" x14ac:dyDescent="0.2">
      <c r="A130" s="12">
        <v>44684</v>
      </c>
      <c r="B130" s="6">
        <v>3</v>
      </c>
      <c r="C130" s="6">
        <v>123</v>
      </c>
      <c r="D130" s="6">
        <v>3</v>
      </c>
      <c r="E130" s="6" t="s">
        <v>14</v>
      </c>
      <c r="F130" s="6">
        <v>18</v>
      </c>
      <c r="G130" s="6">
        <v>5</v>
      </c>
      <c r="H130" s="6" t="s">
        <v>21</v>
      </c>
      <c r="I130" s="6">
        <v>2</v>
      </c>
      <c r="J130" s="14">
        <v>27.197978974292997</v>
      </c>
      <c r="K130" s="14">
        <v>93.677868112037075</v>
      </c>
      <c r="L130" s="14">
        <f t="shared" si="38"/>
        <v>2547.8486872677768</v>
      </c>
      <c r="M130" s="16">
        <v>0.72349144727796411</v>
      </c>
      <c r="N130" s="14">
        <f t="shared" si="39"/>
        <v>1843.3467341966248</v>
      </c>
      <c r="O130" s="14">
        <f t="shared" si="40"/>
        <v>704.501953071152</v>
      </c>
      <c r="P130" s="14">
        <v>87.064492469945463</v>
      </c>
      <c r="Q130" s="14">
        <v>27.674590925582343</v>
      </c>
      <c r="R130" s="14">
        <f t="shared" si="24"/>
        <v>12.987012987012987</v>
      </c>
      <c r="S130" s="14">
        <v>83.482367148679629</v>
      </c>
      <c r="T130" s="14">
        <f t="shared" si="41"/>
        <v>1783.4940810874436</v>
      </c>
      <c r="U130" s="14">
        <f t="shared" si="25"/>
        <v>65.574507678425945</v>
      </c>
      <c r="V130" s="14">
        <v>73.567288048982178</v>
      </c>
      <c r="W130" s="16">
        <f t="shared" si="42"/>
        <v>1.3277185838268937</v>
      </c>
      <c r="X130" s="16">
        <f t="shared" si="43"/>
        <v>0.36970207405476446</v>
      </c>
      <c r="Y130" s="16">
        <f t="shared" si="44"/>
        <v>1.0335592103970916</v>
      </c>
      <c r="Z130" s="16">
        <f t="shared" si="26"/>
        <v>0.41476451653545771</v>
      </c>
      <c r="AA130" s="16">
        <f t="shared" si="27"/>
        <v>5.097246571946077E-3</v>
      </c>
      <c r="AB130" s="14">
        <f t="shared" si="45"/>
        <v>65.574507678425945</v>
      </c>
      <c r="AC130" s="16">
        <f t="shared" si="28"/>
        <v>0.29542293695757488</v>
      </c>
      <c r="AD130" s="16">
        <f t="shared" si="29"/>
        <v>3.4171767305110401E-2</v>
      </c>
      <c r="AE130" s="23" t="str">
        <f t="shared" si="46"/>
        <v/>
      </c>
      <c r="AF130" s="23" t="str">
        <f t="shared" si="30"/>
        <v/>
      </c>
      <c r="AG130" s="23" t="str">
        <f t="shared" si="31"/>
        <v/>
      </c>
      <c r="AH130" s="23" t="str">
        <f t="shared" si="47"/>
        <v/>
      </c>
      <c r="AI130" s="23" t="str">
        <f t="shared" si="32"/>
        <v/>
      </c>
      <c r="AJ130" s="23" t="str">
        <f t="shared" si="33"/>
        <v/>
      </c>
      <c r="AK130" s="23" t="str">
        <f t="shared" si="34"/>
        <v/>
      </c>
      <c r="AL130" s="23" t="str">
        <f t="shared" si="35"/>
        <v/>
      </c>
      <c r="AM130" s="52">
        <f t="shared" si="36"/>
        <v>0</v>
      </c>
      <c r="AN130" s="26">
        <f t="shared" si="37"/>
        <v>704.501953071152</v>
      </c>
    </row>
    <row r="131" spans="1:40" x14ac:dyDescent="0.2">
      <c r="A131" s="12">
        <v>44685</v>
      </c>
      <c r="B131" s="6">
        <v>4</v>
      </c>
      <c r="C131" s="6">
        <v>124</v>
      </c>
      <c r="D131" s="6">
        <v>4</v>
      </c>
      <c r="E131" s="6" t="s">
        <v>15</v>
      </c>
      <c r="F131" s="6">
        <v>18</v>
      </c>
      <c r="G131" s="6">
        <v>5</v>
      </c>
      <c r="H131" s="6" t="s">
        <v>21</v>
      </c>
      <c r="I131" s="6">
        <v>2</v>
      </c>
      <c r="J131" s="14">
        <v>33.424291409656838</v>
      </c>
      <c r="K131" s="14">
        <v>108.81093355964366</v>
      </c>
      <c r="L131" s="14">
        <f t="shared" si="38"/>
        <v>3636.9283518543384</v>
      </c>
      <c r="M131" s="16">
        <v>0.39876359960100249</v>
      </c>
      <c r="N131" s="14">
        <f t="shared" si="39"/>
        <v>1450.2746410763773</v>
      </c>
      <c r="O131" s="14">
        <f t="shared" si="40"/>
        <v>2186.6537107779614</v>
      </c>
      <c r="P131" s="14">
        <v>79.201536017927694</v>
      </c>
      <c r="Q131" s="14">
        <v>35.560402098874057</v>
      </c>
      <c r="R131" s="14">
        <f t="shared" si="24"/>
        <v>12.987012987012987</v>
      </c>
      <c r="S131" s="14">
        <v>78.040442846807039</v>
      </c>
      <c r="T131" s="14">
        <f t="shared" si="41"/>
        <v>2545.8498462980369</v>
      </c>
      <c r="U131" s="14">
        <f t="shared" si="25"/>
        <v>76.167653491750556</v>
      </c>
      <c r="V131" s="14">
        <v>80.667759751651303</v>
      </c>
      <c r="W131" s="16">
        <f t="shared" si="42"/>
        <v>1.0398316396409104</v>
      </c>
      <c r="X131" s="16">
        <f t="shared" si="43"/>
        <v>0.41434510531293922</v>
      </c>
      <c r="Y131" s="16">
        <f t="shared" si="44"/>
        <v>0.56966228514428929</v>
      </c>
      <c r="Z131" s="16">
        <f t="shared" si="26"/>
        <v>0.43882527395014082</v>
      </c>
      <c r="AA131" s="16">
        <f t="shared" si="27"/>
        <v>3.5708740262621282E-3</v>
      </c>
      <c r="AB131" s="14">
        <f t="shared" si="45"/>
        <v>76.167653491750556</v>
      </c>
      <c r="AC131" s="16">
        <f t="shared" si="28"/>
        <v>0.3268090892665852</v>
      </c>
      <c r="AD131" s="16">
        <f t="shared" si="29"/>
        <v>2.1777040501099146E-2</v>
      </c>
      <c r="AE131" s="23" t="str">
        <f t="shared" si="46"/>
        <v/>
      </c>
      <c r="AF131" s="23" t="str">
        <f t="shared" si="30"/>
        <v/>
      </c>
      <c r="AG131" s="23" t="str">
        <f t="shared" si="31"/>
        <v/>
      </c>
      <c r="AH131" s="23" t="str">
        <f t="shared" si="47"/>
        <v/>
      </c>
      <c r="AI131" s="23" t="str">
        <f t="shared" si="32"/>
        <v/>
      </c>
      <c r="AJ131" s="23" t="str">
        <f t="shared" si="33"/>
        <v/>
      </c>
      <c r="AK131" s="23" t="str">
        <f t="shared" si="34"/>
        <v/>
      </c>
      <c r="AL131" s="23" t="str">
        <f t="shared" si="35"/>
        <v/>
      </c>
      <c r="AM131" s="52">
        <f t="shared" si="36"/>
        <v>0</v>
      </c>
      <c r="AN131" s="26">
        <f t="shared" si="37"/>
        <v>2186.6537107779614</v>
      </c>
    </row>
    <row r="132" spans="1:40" x14ac:dyDescent="0.2">
      <c r="A132" s="12">
        <v>44686</v>
      </c>
      <c r="B132" s="6">
        <v>5</v>
      </c>
      <c r="C132" s="6">
        <v>125</v>
      </c>
      <c r="D132" s="6">
        <v>5</v>
      </c>
      <c r="E132" s="6" t="s">
        <v>16</v>
      </c>
      <c r="F132" s="6">
        <v>18</v>
      </c>
      <c r="G132" s="6">
        <v>5</v>
      </c>
      <c r="H132" s="6" t="s">
        <v>21</v>
      </c>
      <c r="I132" s="6">
        <v>2</v>
      </c>
      <c r="J132" s="14">
        <v>24.015384903278783</v>
      </c>
      <c r="K132" s="14">
        <v>88.176240029485683</v>
      </c>
      <c r="L132" s="14">
        <f t="shared" si="38"/>
        <v>2117.5863436319969</v>
      </c>
      <c r="M132" s="16">
        <v>0.97283312647351894</v>
      </c>
      <c r="N132" s="14">
        <f t="shared" si="39"/>
        <v>2060.058143253143</v>
      </c>
      <c r="O132" s="14">
        <f t="shared" si="40"/>
        <v>57.528200378853853</v>
      </c>
      <c r="P132" s="14">
        <v>59.986059179308299</v>
      </c>
      <c r="Q132" s="14">
        <v>8.7575695245196297</v>
      </c>
      <c r="R132" s="14">
        <f t="shared" si="24"/>
        <v>12.987012987012987</v>
      </c>
      <c r="S132" s="14">
        <v>50.383220775527619</v>
      </c>
      <c r="T132" s="14">
        <f t="shared" si="41"/>
        <v>1482.3104405423978</v>
      </c>
      <c r="U132" s="14">
        <f t="shared" si="25"/>
        <v>61.723368020639981</v>
      </c>
      <c r="V132" s="14">
        <v>77.800318828466715</v>
      </c>
      <c r="W132" s="16">
        <f t="shared" si="42"/>
        <v>0.97185330455799601</v>
      </c>
      <c r="X132" s="16">
        <f t="shared" si="43"/>
        <v>0.3086797749020494</v>
      </c>
      <c r="Y132" s="16">
        <f t="shared" si="44"/>
        <v>1.3897616092478842</v>
      </c>
      <c r="Z132" s="16">
        <f t="shared" si="26"/>
        <v>0.38908092143073203</v>
      </c>
      <c r="AA132" s="16">
        <f t="shared" si="27"/>
        <v>6.1329319704329964E-3</v>
      </c>
      <c r="AB132" s="14">
        <f t="shared" si="45"/>
        <v>61.723368020639981</v>
      </c>
      <c r="AC132" s="16">
        <f t="shared" si="28"/>
        <v>9.9318926749327741E-2</v>
      </c>
      <c r="AD132" s="16">
        <f t="shared" si="29"/>
        <v>2.8327562349322051E-2</v>
      </c>
      <c r="AE132" s="23" t="str">
        <f t="shared" si="46"/>
        <v/>
      </c>
      <c r="AF132" s="23" t="str">
        <f t="shared" si="30"/>
        <v/>
      </c>
      <c r="AG132" s="23" t="str">
        <f t="shared" si="31"/>
        <v/>
      </c>
      <c r="AH132" s="23" t="str">
        <f t="shared" si="47"/>
        <v/>
      </c>
      <c r="AI132" s="23" t="str">
        <f t="shared" si="32"/>
        <v/>
      </c>
      <c r="AJ132" s="23" t="str">
        <f t="shared" si="33"/>
        <v/>
      </c>
      <c r="AK132" s="23" t="str">
        <f t="shared" si="34"/>
        <v/>
      </c>
      <c r="AL132" s="23">
        <f t="shared" si="35"/>
        <v>1000</v>
      </c>
      <c r="AM132" s="52">
        <f t="shared" si="36"/>
        <v>1000</v>
      </c>
      <c r="AN132" s="26">
        <f t="shared" si="37"/>
        <v>-942.47179962114615</v>
      </c>
    </row>
    <row r="133" spans="1:40" x14ac:dyDescent="0.2">
      <c r="A133" s="12">
        <v>44687</v>
      </c>
      <c r="B133" s="6">
        <v>6</v>
      </c>
      <c r="C133" s="6">
        <v>126</v>
      </c>
      <c r="D133" s="6">
        <v>6</v>
      </c>
      <c r="E133" s="6" t="s">
        <v>17</v>
      </c>
      <c r="F133" s="6">
        <v>18</v>
      </c>
      <c r="G133" s="6">
        <v>5</v>
      </c>
      <c r="H133" s="6" t="s">
        <v>21</v>
      </c>
      <c r="I133" s="6">
        <v>2</v>
      </c>
      <c r="J133" s="14">
        <v>32.888019430107349</v>
      </c>
      <c r="K133" s="14">
        <v>45.371068196659074</v>
      </c>
      <c r="L133" s="14">
        <f t="shared" si="38"/>
        <v>1492.1645724164491</v>
      </c>
      <c r="M133" s="16">
        <v>0.65125027451985573</v>
      </c>
      <c r="N133" s="14">
        <f t="shared" si="39"/>
        <v>971.77258741501566</v>
      </c>
      <c r="O133" s="14">
        <f t="shared" si="40"/>
        <v>520.39198500143345</v>
      </c>
      <c r="P133" s="14">
        <v>113.26159483346471</v>
      </c>
      <c r="Q133" s="14">
        <v>22.221997396320084</v>
      </c>
      <c r="R133" s="14">
        <f t="shared" si="24"/>
        <v>12.987012987012987</v>
      </c>
      <c r="S133" s="14">
        <v>52.611971384943978</v>
      </c>
      <c r="T133" s="14">
        <f t="shared" si="41"/>
        <v>1044.5152006915143</v>
      </c>
      <c r="U133" s="14">
        <f t="shared" si="25"/>
        <v>31.75974773766135</v>
      </c>
      <c r="V133" s="14">
        <v>60.562594088000395</v>
      </c>
      <c r="W133" s="16">
        <f t="shared" si="42"/>
        <v>3.5661994474583572</v>
      </c>
      <c r="X133" s="16">
        <f t="shared" si="43"/>
        <v>0.54304178883618259</v>
      </c>
      <c r="Y133" s="16">
        <f t="shared" si="44"/>
        <v>0.93035753502836538</v>
      </c>
      <c r="Z133" s="16">
        <f t="shared" si="26"/>
        <v>1.0355252095125451</v>
      </c>
      <c r="AA133" s="16">
        <f t="shared" si="27"/>
        <v>8.7034722758371676E-3</v>
      </c>
      <c r="AB133" s="14">
        <f t="shared" si="45"/>
        <v>31.75974773766135</v>
      </c>
      <c r="AC133" s="16">
        <f t="shared" si="28"/>
        <v>0.48978342982800688</v>
      </c>
      <c r="AD133" s="16">
        <f t="shared" si="29"/>
        <v>7.5904224592362499E-2</v>
      </c>
      <c r="AE133" s="23" t="str">
        <f t="shared" si="46"/>
        <v/>
      </c>
      <c r="AF133" s="23" t="str">
        <f t="shared" si="30"/>
        <v/>
      </c>
      <c r="AG133" s="23" t="str">
        <f t="shared" si="31"/>
        <v/>
      </c>
      <c r="AH133" s="23" t="str">
        <f t="shared" si="47"/>
        <v/>
      </c>
      <c r="AI133" s="23" t="str">
        <f t="shared" si="32"/>
        <v/>
      </c>
      <c r="AJ133" s="23" t="str">
        <f t="shared" si="33"/>
        <v/>
      </c>
      <c r="AK133" s="23" t="str">
        <f t="shared" si="34"/>
        <v/>
      </c>
      <c r="AL133" s="23" t="str">
        <f t="shared" si="35"/>
        <v/>
      </c>
      <c r="AM133" s="52">
        <f t="shared" si="36"/>
        <v>0</v>
      </c>
      <c r="AN133" s="26">
        <f t="shared" si="37"/>
        <v>520.39198500143345</v>
      </c>
    </row>
    <row r="134" spans="1:40" x14ac:dyDescent="0.2">
      <c r="A134" s="12">
        <v>44688</v>
      </c>
      <c r="B134" s="6">
        <v>7</v>
      </c>
      <c r="C134" s="6">
        <v>127</v>
      </c>
      <c r="D134" s="6">
        <v>7</v>
      </c>
      <c r="E134" s="6" t="s">
        <v>10</v>
      </c>
      <c r="F134" s="6">
        <v>18</v>
      </c>
      <c r="G134" s="6">
        <v>5</v>
      </c>
      <c r="H134" s="6" t="s">
        <v>21</v>
      </c>
      <c r="I134" s="6">
        <v>2</v>
      </c>
      <c r="J134" s="14">
        <v>21.130129901589633</v>
      </c>
      <c r="K134" s="14">
        <v>59.310675206167133</v>
      </c>
      <c r="L134" s="14">
        <f t="shared" si="38"/>
        <v>1253.242271657303</v>
      </c>
      <c r="M134" s="16">
        <v>0.88117351279350098</v>
      </c>
      <c r="N134" s="14">
        <f t="shared" si="39"/>
        <v>1104.3238948975727</v>
      </c>
      <c r="O134" s="14">
        <f t="shared" si="40"/>
        <v>148.91837675973034</v>
      </c>
      <c r="P134" s="14">
        <v>85.279449572428547</v>
      </c>
      <c r="Q134" s="14">
        <v>32.115539493806494</v>
      </c>
      <c r="R134" s="14">
        <f t="shared" si="24"/>
        <v>12.987012987012987</v>
      </c>
      <c r="S134" s="14">
        <v>86.107013077831269</v>
      </c>
      <c r="T134" s="14">
        <f t="shared" si="41"/>
        <v>877.2695901601121</v>
      </c>
      <c r="U134" s="14">
        <f t="shared" si="25"/>
        <v>41.517472644316989</v>
      </c>
      <c r="V134" s="14">
        <v>69.984918163349676</v>
      </c>
      <c r="W134" s="16">
        <f t="shared" si="42"/>
        <v>2.054061679115764</v>
      </c>
      <c r="X134" s="16">
        <f t="shared" si="43"/>
        <v>0.30192404958266061</v>
      </c>
      <c r="Y134" s="16">
        <f t="shared" si="44"/>
        <v>1.2588193039907156</v>
      </c>
      <c r="Z134" s="16">
        <f t="shared" si="26"/>
        <v>0.50894547658555456</v>
      </c>
      <c r="AA134" s="16">
        <f t="shared" si="27"/>
        <v>1.0362731357472328E-2</v>
      </c>
      <c r="AB134" s="14">
        <f t="shared" si="45"/>
        <v>41.517472644316989</v>
      </c>
      <c r="AC134" s="16">
        <f t="shared" si="28"/>
        <v>0.54147991710043986</v>
      </c>
      <c r="AD134" s="16">
        <f t="shared" si="29"/>
        <v>6.8047058019878273E-2</v>
      </c>
      <c r="AE134" s="23" t="str">
        <f t="shared" si="46"/>
        <v/>
      </c>
      <c r="AF134" s="23" t="str">
        <f t="shared" si="30"/>
        <v/>
      </c>
      <c r="AG134" s="23" t="str">
        <f t="shared" si="31"/>
        <v/>
      </c>
      <c r="AH134" s="23" t="str">
        <f t="shared" si="47"/>
        <v/>
      </c>
      <c r="AI134" s="23" t="str">
        <f t="shared" si="32"/>
        <v/>
      </c>
      <c r="AJ134" s="23" t="str">
        <f t="shared" si="33"/>
        <v/>
      </c>
      <c r="AK134" s="23" t="str">
        <f t="shared" si="34"/>
        <v/>
      </c>
      <c r="AL134" s="23" t="str">
        <f t="shared" si="35"/>
        <v/>
      </c>
      <c r="AM134" s="52">
        <f t="shared" si="36"/>
        <v>0</v>
      </c>
      <c r="AN134" s="26">
        <f t="shared" si="37"/>
        <v>148.91837675973034</v>
      </c>
    </row>
    <row r="135" spans="1:40" x14ac:dyDescent="0.2">
      <c r="A135" s="12">
        <v>44689</v>
      </c>
      <c r="B135" s="6">
        <v>8</v>
      </c>
      <c r="C135" s="6">
        <v>128</v>
      </c>
      <c r="D135" s="6">
        <v>1</v>
      </c>
      <c r="E135" s="6" t="s">
        <v>12</v>
      </c>
      <c r="F135" s="6">
        <v>19</v>
      </c>
      <c r="G135" s="6">
        <v>5</v>
      </c>
      <c r="H135" s="6" t="s">
        <v>21</v>
      </c>
      <c r="I135" s="6">
        <v>2</v>
      </c>
      <c r="J135" s="14">
        <v>11.653595406342724</v>
      </c>
      <c r="K135" s="14">
        <v>48.441419126349047</v>
      </c>
      <c r="L135" s="14">
        <f t="shared" si="38"/>
        <v>564.5166994075438</v>
      </c>
      <c r="M135" s="16">
        <v>0.38574242101152345</v>
      </c>
      <c r="N135" s="14">
        <f t="shared" si="39"/>
        <v>217.75803833090038</v>
      </c>
      <c r="O135" s="14">
        <f t="shared" si="40"/>
        <v>346.75866107664342</v>
      </c>
      <c r="P135" s="14">
        <v>20.288317114841213</v>
      </c>
      <c r="Q135" s="14">
        <v>5.0451081790538632</v>
      </c>
      <c r="R135" s="14">
        <f t="shared" si="24"/>
        <v>28.571428571428573</v>
      </c>
      <c r="S135" s="14">
        <v>37.03892574199196</v>
      </c>
      <c r="T135" s="14">
        <f t="shared" si="41"/>
        <v>395.16168958528061</v>
      </c>
      <c r="U135" s="14">
        <f t="shared" si="25"/>
        <v>33.90899338844433</v>
      </c>
      <c r="V135" s="14">
        <v>39.766398221855788</v>
      </c>
      <c r="W135" s="16">
        <f t="shared" si="42"/>
        <v>0.59831670266434878</v>
      </c>
      <c r="X135" s="16">
        <f t="shared" si="43"/>
        <v>0.29305131788218769</v>
      </c>
      <c r="Y135" s="16">
        <f t="shared" si="44"/>
        <v>0.55106060144503355</v>
      </c>
      <c r="Z135" s="16">
        <f t="shared" si="26"/>
        <v>0.34367270277961398</v>
      </c>
      <c r="AA135" s="16">
        <f t="shared" si="27"/>
        <v>5.0612193760457537E-2</v>
      </c>
      <c r="AB135" s="14">
        <f t="shared" si="45"/>
        <v>33.90899338844433</v>
      </c>
      <c r="AC135" s="16">
        <f t="shared" si="28"/>
        <v>0.10414864531311069</v>
      </c>
      <c r="AD135" s="16">
        <f t="shared" si="29"/>
        <v>3.5939268291148262E-2</v>
      </c>
      <c r="AE135" s="23" t="str">
        <f t="shared" si="46"/>
        <v/>
      </c>
      <c r="AF135" s="23">
        <f t="shared" si="30"/>
        <v>1000</v>
      </c>
      <c r="AG135" s="23" t="str">
        <f t="shared" si="31"/>
        <v/>
      </c>
      <c r="AH135" s="23" t="str">
        <f t="shared" si="47"/>
        <v/>
      </c>
      <c r="AI135" s="23" t="str">
        <f t="shared" si="32"/>
        <v/>
      </c>
      <c r="AJ135" s="23" t="str">
        <f t="shared" si="33"/>
        <v/>
      </c>
      <c r="AK135" s="23" t="str">
        <f t="shared" si="34"/>
        <v/>
      </c>
      <c r="AL135" s="23" t="str">
        <f t="shared" si="35"/>
        <v/>
      </c>
      <c r="AM135" s="52">
        <f t="shared" si="36"/>
        <v>1000</v>
      </c>
      <c r="AN135" s="26">
        <f t="shared" si="37"/>
        <v>-653.24133892335658</v>
      </c>
    </row>
    <row r="136" spans="1:40" x14ac:dyDescent="0.2">
      <c r="A136" s="12">
        <v>44690</v>
      </c>
      <c r="B136" s="6">
        <v>9</v>
      </c>
      <c r="C136" s="6">
        <v>129</v>
      </c>
      <c r="D136" s="6">
        <v>2</v>
      </c>
      <c r="E136" s="6" t="s">
        <v>13</v>
      </c>
      <c r="F136" s="6">
        <v>19</v>
      </c>
      <c r="G136" s="6">
        <v>5</v>
      </c>
      <c r="H136" s="6" t="s">
        <v>21</v>
      </c>
      <c r="I136" s="6">
        <v>2</v>
      </c>
      <c r="J136" s="14">
        <v>16.080982635941979</v>
      </c>
      <c r="K136" s="14">
        <v>67.983151195550136</v>
      </c>
      <c r="L136" s="14">
        <f t="shared" si="38"/>
        <v>1093.2358739122599</v>
      </c>
      <c r="M136" s="16">
        <v>1.141795621746347</v>
      </c>
      <c r="N136" s="14">
        <f t="shared" si="39"/>
        <v>1248.2519343690597</v>
      </c>
      <c r="O136" s="14">
        <f t="shared" si="40"/>
        <v>-155.01606045679978</v>
      </c>
      <c r="P136" s="14">
        <v>116.81978565108471</v>
      </c>
      <c r="Q136" s="14">
        <v>27.190434073850522</v>
      </c>
      <c r="R136" s="14">
        <f t="shared" ref="R136:R199" si="48">IF(E136=$AF$6,$R$2/5,$R$2/11)</f>
        <v>12.987012987012987</v>
      </c>
      <c r="S136" s="14">
        <v>78.764033401109899</v>
      </c>
      <c r="T136" s="14">
        <f t="shared" si="41"/>
        <v>765.26511173858182</v>
      </c>
      <c r="U136" s="14">
        <f t="shared" ref="U136:U199" si="49">T136/J136</f>
        <v>47.588205836885088</v>
      </c>
      <c r="V136" s="14">
        <v>83.404934624808192</v>
      </c>
      <c r="W136" s="16">
        <f t="shared" si="42"/>
        <v>2.454805420727566</v>
      </c>
      <c r="X136" s="16">
        <f t="shared" si="43"/>
        <v>0.19280612961668586</v>
      </c>
      <c r="Y136" s="16">
        <f t="shared" si="44"/>
        <v>1.6311366024947815</v>
      </c>
      <c r="Z136" s="16">
        <f t="shared" ref="Z136:Z199" si="50">J136/U136</f>
        <v>0.33791949818536315</v>
      </c>
      <c r="AA136" s="16">
        <f t="shared" ref="AA136:AA199" si="51">R136/L136</f>
        <v>1.1879424465406163E-2</v>
      </c>
      <c r="AB136" s="14">
        <f t="shared" si="45"/>
        <v>47.588205836885088</v>
      </c>
      <c r="AC136" s="16">
        <f t="shared" ref="AC136:AC199" si="52">Q136/K136</f>
        <v>0.39995842492853262</v>
      </c>
      <c r="AD136" s="16">
        <f t="shared" ref="AD136:AD199" si="53">P136/L136</f>
        <v>0.10685689011743897</v>
      </c>
      <c r="AE136" s="23" t="str">
        <f t="shared" si="46"/>
        <v/>
      </c>
      <c r="AF136" s="23" t="str">
        <f t="shared" ref="AF136:AF199" si="54">IF(E136=$AF$6,$AF$5,"")</f>
        <v/>
      </c>
      <c r="AG136" s="23" t="str">
        <f t="shared" ref="AG136:AG199" si="55">IF(B136=$AG$6,$AG$5,"")</f>
        <v/>
      </c>
      <c r="AH136" s="23" t="str">
        <f t="shared" si="47"/>
        <v/>
      </c>
      <c r="AI136" s="23" t="str">
        <f t="shared" ref="AI136:AI199" si="56">IF($B136=$AI$6,$AI$5,"")</f>
        <v/>
      </c>
      <c r="AJ136" s="23" t="str">
        <f t="shared" ref="AJ136:AJ199" si="57">IF($B136=$AJ$6,$AJ$5,"")</f>
        <v/>
      </c>
      <c r="AK136" s="23" t="str">
        <f t="shared" ref="AK136:AK199" si="58">IF($B136=$AK$6,$AK$5,"")</f>
        <v/>
      </c>
      <c r="AL136" s="23" t="str">
        <f t="shared" ref="AL136:AL199" si="59">IF($B136=$AL$6,$AL$5,"")</f>
        <v/>
      </c>
      <c r="AM136" s="52">
        <f t="shared" ref="AM136:AM199" si="60">SUM(AE136:AL136)</f>
        <v>0</v>
      </c>
      <c r="AN136" s="26">
        <f t="shared" ref="AN136:AN199" si="61">O136-AM136</f>
        <v>-155.01606045679978</v>
      </c>
    </row>
    <row r="137" spans="1:40" x14ac:dyDescent="0.2">
      <c r="A137" s="12">
        <v>44691</v>
      </c>
      <c r="B137" s="6">
        <v>10</v>
      </c>
      <c r="C137" s="6">
        <v>130</v>
      </c>
      <c r="D137" s="6">
        <v>3</v>
      </c>
      <c r="E137" s="6" t="s">
        <v>14</v>
      </c>
      <c r="F137" s="6">
        <v>19</v>
      </c>
      <c r="G137" s="6">
        <v>5</v>
      </c>
      <c r="H137" s="6" t="s">
        <v>21</v>
      </c>
      <c r="I137" s="6">
        <v>2</v>
      </c>
      <c r="J137" s="14">
        <v>21.309434609212492</v>
      </c>
      <c r="K137" s="14">
        <v>85.360198137370219</v>
      </c>
      <c r="L137" s="14">
        <f t="shared" ref="L137:L200" si="62">J137*K137</f>
        <v>1818.9775604377126</v>
      </c>
      <c r="M137" s="16">
        <v>0.94459617412472552</v>
      </c>
      <c r="N137" s="14">
        <f t="shared" ref="N137:N200" si="63">L137*M137</f>
        <v>1718.19924440819</v>
      </c>
      <c r="O137" s="14">
        <f t="shared" ref="O137:O200" si="64">L137-N137</f>
        <v>100.77831602952256</v>
      </c>
      <c r="P137" s="14">
        <v>99.048818812182247</v>
      </c>
      <c r="Q137" s="14">
        <v>30.293877791578872</v>
      </c>
      <c r="R137" s="14">
        <f t="shared" si="48"/>
        <v>12.987012987012987</v>
      </c>
      <c r="S137" s="14">
        <v>96.130135615477442</v>
      </c>
      <c r="T137" s="14">
        <f t="shared" ref="T137:T200" si="65">L137*0.7</f>
        <v>1273.2842923063988</v>
      </c>
      <c r="U137" s="14">
        <f t="shared" si="49"/>
        <v>59.75213869615915</v>
      </c>
      <c r="V137" s="14">
        <v>93.357491082434251</v>
      </c>
      <c r="W137" s="16">
        <f t="shared" ref="W137:W200" si="66">P137/U137</f>
        <v>1.6576614824759248</v>
      </c>
      <c r="X137" s="16">
        <f t="shared" ref="X137:X200" si="67">J137/V137</f>
        <v>0.22825629054658672</v>
      </c>
      <c r="Y137" s="16">
        <f t="shared" ref="Y137:Y200" si="68">N137/T137</f>
        <v>1.3494231058924651</v>
      </c>
      <c r="Z137" s="16">
        <f t="shared" si="50"/>
        <v>0.35663049179831707</v>
      </c>
      <c r="AA137" s="16">
        <f t="shared" si="51"/>
        <v>7.1397323801442808E-3</v>
      </c>
      <c r="AB137" s="14">
        <f t="shared" ref="AB137:AB200" si="69">T137/J137</f>
        <v>59.75213869615915</v>
      </c>
      <c r="AC137" s="16">
        <f t="shared" si="52"/>
        <v>0.35489465175358326</v>
      </c>
      <c r="AD137" s="16">
        <f t="shared" si="53"/>
        <v>5.445301853440538E-2</v>
      </c>
      <c r="AE137" s="23" t="str">
        <f t="shared" ref="AE137:AE200" si="70">IF(B137=$AE$6,$AE$5, "")</f>
        <v/>
      </c>
      <c r="AF137" s="23" t="str">
        <f t="shared" si="54"/>
        <v/>
      </c>
      <c r="AG137" s="23" t="str">
        <f t="shared" si="55"/>
        <v/>
      </c>
      <c r="AH137" s="23">
        <f t="shared" ref="AH137:AH200" si="71">IF(B137=$AH$6,$AH$5,"")</f>
        <v>300</v>
      </c>
      <c r="AI137" s="23" t="str">
        <f t="shared" si="56"/>
        <v/>
      </c>
      <c r="AJ137" s="23" t="str">
        <f t="shared" si="57"/>
        <v/>
      </c>
      <c r="AK137" s="23" t="str">
        <f t="shared" si="58"/>
        <v/>
      </c>
      <c r="AL137" s="23" t="str">
        <f t="shared" si="59"/>
        <v/>
      </c>
      <c r="AM137" s="52">
        <f t="shared" si="60"/>
        <v>300</v>
      </c>
      <c r="AN137" s="26">
        <f t="shared" si="61"/>
        <v>-199.22168397047744</v>
      </c>
    </row>
    <row r="138" spans="1:40" x14ac:dyDescent="0.2">
      <c r="A138" s="12">
        <v>44692</v>
      </c>
      <c r="B138" s="6">
        <v>11</v>
      </c>
      <c r="C138" s="6">
        <v>131</v>
      </c>
      <c r="D138" s="6">
        <v>4</v>
      </c>
      <c r="E138" s="6" t="s">
        <v>15</v>
      </c>
      <c r="F138" s="6">
        <v>19</v>
      </c>
      <c r="G138" s="6">
        <v>5</v>
      </c>
      <c r="H138" s="6" t="s">
        <v>21</v>
      </c>
      <c r="I138" s="6">
        <v>2</v>
      </c>
      <c r="J138" s="14">
        <v>27.245063396872386</v>
      </c>
      <c r="K138" s="14">
        <v>119.61341237632955</v>
      </c>
      <c r="L138" s="14">
        <f t="shared" si="62"/>
        <v>3258.8750033093388</v>
      </c>
      <c r="M138" s="16">
        <v>0.66265822845292488</v>
      </c>
      <c r="N138" s="14">
        <f t="shared" si="63"/>
        <v>2159.520336442486</v>
      </c>
      <c r="O138" s="14">
        <f t="shared" si="64"/>
        <v>1099.3546668668528</v>
      </c>
      <c r="P138" s="14">
        <v>80.823266006039347</v>
      </c>
      <c r="Q138" s="14">
        <v>38.615173083779325</v>
      </c>
      <c r="R138" s="14">
        <f t="shared" si="48"/>
        <v>12.987012987012987</v>
      </c>
      <c r="S138" s="14">
        <v>73.672849595720109</v>
      </c>
      <c r="T138" s="14">
        <f t="shared" si="65"/>
        <v>2281.2125023165372</v>
      </c>
      <c r="U138" s="14">
        <f t="shared" si="49"/>
        <v>83.729388663430697</v>
      </c>
      <c r="V138" s="14">
        <v>74.925595486640646</v>
      </c>
      <c r="W138" s="16">
        <f t="shared" si="66"/>
        <v>0.9652914860148667</v>
      </c>
      <c r="X138" s="16">
        <f t="shared" si="67"/>
        <v>0.3636282530678081</v>
      </c>
      <c r="Y138" s="16">
        <f t="shared" si="68"/>
        <v>0.94665461207560686</v>
      </c>
      <c r="Z138" s="16">
        <f t="shared" si="50"/>
        <v>0.32539427113686581</v>
      </c>
      <c r="AA138" s="16">
        <f t="shared" si="51"/>
        <v>3.9851215446511049E-3</v>
      </c>
      <c r="AB138" s="14">
        <f t="shared" si="69"/>
        <v>83.729388663430697</v>
      </c>
      <c r="AC138" s="16">
        <f t="shared" si="52"/>
        <v>0.32283313649047712</v>
      </c>
      <c r="AD138" s="16">
        <f t="shared" si="53"/>
        <v>2.4800971477569569E-2</v>
      </c>
      <c r="AE138" s="23" t="str">
        <f t="shared" si="70"/>
        <v/>
      </c>
      <c r="AF138" s="23" t="str">
        <f t="shared" si="54"/>
        <v/>
      </c>
      <c r="AG138" s="23" t="str">
        <f t="shared" si="55"/>
        <v/>
      </c>
      <c r="AH138" s="23" t="str">
        <f t="shared" si="71"/>
        <v/>
      </c>
      <c r="AI138" s="23" t="str">
        <f t="shared" si="56"/>
        <v/>
      </c>
      <c r="AJ138" s="23" t="str">
        <f t="shared" si="57"/>
        <v/>
      </c>
      <c r="AK138" s="23" t="str">
        <f t="shared" si="58"/>
        <v/>
      </c>
      <c r="AL138" s="23" t="str">
        <f t="shared" si="59"/>
        <v/>
      </c>
      <c r="AM138" s="52">
        <f t="shared" si="60"/>
        <v>0</v>
      </c>
      <c r="AN138" s="26">
        <f t="shared" si="61"/>
        <v>1099.3546668668528</v>
      </c>
    </row>
    <row r="139" spans="1:40" x14ac:dyDescent="0.2">
      <c r="A139" s="12">
        <v>44693</v>
      </c>
      <c r="B139" s="6">
        <v>12</v>
      </c>
      <c r="C139" s="6">
        <v>132</v>
      </c>
      <c r="D139" s="6">
        <v>5</v>
      </c>
      <c r="E139" s="6" t="s">
        <v>16</v>
      </c>
      <c r="F139" s="6">
        <v>19</v>
      </c>
      <c r="G139" s="6">
        <v>5</v>
      </c>
      <c r="H139" s="6" t="s">
        <v>21</v>
      </c>
      <c r="I139" s="6">
        <v>2</v>
      </c>
      <c r="J139" s="14">
        <v>21.592205735795115</v>
      </c>
      <c r="K139" s="14">
        <v>48.304963744574778</v>
      </c>
      <c r="L139" s="14">
        <f t="shared" si="62"/>
        <v>1043.0107152329826</v>
      </c>
      <c r="M139" s="16">
        <v>0.92782142298073089</v>
      </c>
      <c r="N139" s="14">
        <f t="shared" si="63"/>
        <v>967.72768599161589</v>
      </c>
      <c r="O139" s="14">
        <f t="shared" si="64"/>
        <v>75.283029241366762</v>
      </c>
      <c r="P139" s="14">
        <v>78.311345944263024</v>
      </c>
      <c r="Q139" s="14">
        <v>19.74339844881343</v>
      </c>
      <c r="R139" s="14">
        <f t="shared" si="48"/>
        <v>12.987012987012987</v>
      </c>
      <c r="S139" s="14">
        <v>84.278205140686893</v>
      </c>
      <c r="T139" s="14">
        <f t="shared" si="65"/>
        <v>730.10750066308776</v>
      </c>
      <c r="U139" s="14">
        <f t="shared" si="49"/>
        <v>33.813474621202339</v>
      </c>
      <c r="V139" s="14">
        <v>102.78108609286895</v>
      </c>
      <c r="W139" s="16">
        <f t="shared" si="66"/>
        <v>2.3159804433454712</v>
      </c>
      <c r="X139" s="16">
        <f t="shared" si="67"/>
        <v>0.2100795638244691</v>
      </c>
      <c r="Y139" s="16">
        <f t="shared" si="68"/>
        <v>1.3254591756867586</v>
      </c>
      <c r="Z139" s="16">
        <f t="shared" si="50"/>
        <v>0.63856808499224682</v>
      </c>
      <c r="AA139" s="16">
        <f t="shared" si="51"/>
        <v>1.2451466506853682E-2</v>
      </c>
      <c r="AB139" s="14">
        <f t="shared" si="69"/>
        <v>33.813474621202339</v>
      </c>
      <c r="AC139" s="16">
        <f t="shared" si="52"/>
        <v>0.40872400925941793</v>
      </c>
      <c r="AD139" s="16">
        <f t="shared" si="53"/>
        <v>7.5082014787134971E-2</v>
      </c>
      <c r="AE139" s="23" t="str">
        <f t="shared" si="70"/>
        <v/>
      </c>
      <c r="AF139" s="23" t="str">
        <f t="shared" si="54"/>
        <v/>
      </c>
      <c r="AG139" s="23" t="str">
        <f t="shared" si="55"/>
        <v/>
      </c>
      <c r="AH139" s="23" t="str">
        <f t="shared" si="71"/>
        <v/>
      </c>
      <c r="AI139" s="23" t="str">
        <f t="shared" si="56"/>
        <v/>
      </c>
      <c r="AJ139" s="23">
        <f t="shared" si="57"/>
        <v>480</v>
      </c>
      <c r="AK139" s="23" t="str">
        <f t="shared" si="58"/>
        <v/>
      </c>
      <c r="AL139" s="23" t="str">
        <f t="shared" si="59"/>
        <v/>
      </c>
      <c r="AM139" s="52">
        <f t="shared" si="60"/>
        <v>480</v>
      </c>
      <c r="AN139" s="26">
        <f t="shared" si="61"/>
        <v>-404.71697075863324</v>
      </c>
    </row>
    <row r="140" spans="1:40" x14ac:dyDescent="0.2">
      <c r="A140" s="12">
        <v>44694</v>
      </c>
      <c r="B140" s="6">
        <v>13</v>
      </c>
      <c r="C140" s="6">
        <v>133</v>
      </c>
      <c r="D140" s="6">
        <v>6</v>
      </c>
      <c r="E140" s="6" t="s">
        <v>17</v>
      </c>
      <c r="F140" s="6">
        <v>19</v>
      </c>
      <c r="G140" s="6">
        <v>5</v>
      </c>
      <c r="H140" s="6" t="s">
        <v>21</v>
      </c>
      <c r="I140" s="6">
        <v>2</v>
      </c>
      <c r="J140" s="14">
        <v>23.581037448966612</v>
      </c>
      <c r="K140" s="14">
        <v>64.736157190307438</v>
      </c>
      <c r="L140" s="14">
        <f t="shared" si="62"/>
        <v>1526.5457470068288</v>
      </c>
      <c r="M140" s="16">
        <v>0.97446478356269461</v>
      </c>
      <c r="N140" s="14">
        <f t="shared" si="63"/>
        <v>1487.5650709555614</v>
      </c>
      <c r="O140" s="14">
        <f t="shared" si="64"/>
        <v>38.980676051267437</v>
      </c>
      <c r="P140" s="14">
        <v>96.44109209176402</v>
      </c>
      <c r="Q140" s="14">
        <v>24.219618748071582</v>
      </c>
      <c r="R140" s="14">
        <f t="shared" si="48"/>
        <v>12.987012987012987</v>
      </c>
      <c r="S140" s="14">
        <v>75.842949057215222</v>
      </c>
      <c r="T140" s="14">
        <f t="shared" si="65"/>
        <v>1068.5820229047802</v>
      </c>
      <c r="U140" s="14">
        <f t="shared" si="49"/>
        <v>45.315310033215205</v>
      </c>
      <c r="V140" s="14">
        <v>66.863620141234748</v>
      </c>
      <c r="W140" s="16">
        <f t="shared" si="66"/>
        <v>2.1282231550677828</v>
      </c>
      <c r="X140" s="16">
        <f t="shared" si="67"/>
        <v>0.35267365720188104</v>
      </c>
      <c r="Y140" s="16">
        <f t="shared" si="68"/>
        <v>1.3920925479467066</v>
      </c>
      <c r="Z140" s="16">
        <f t="shared" si="50"/>
        <v>0.52037683139941415</v>
      </c>
      <c r="AA140" s="16">
        <f t="shared" si="51"/>
        <v>8.5074508985251464E-3</v>
      </c>
      <c r="AB140" s="14">
        <f t="shared" si="69"/>
        <v>45.315310033215205</v>
      </c>
      <c r="AC140" s="16">
        <f t="shared" si="52"/>
        <v>0.37412815031439406</v>
      </c>
      <c r="AD140" s="16">
        <f t="shared" si="53"/>
        <v>6.3176024878953463E-2</v>
      </c>
      <c r="AE140" s="23" t="str">
        <f t="shared" si="70"/>
        <v/>
      </c>
      <c r="AF140" s="23" t="str">
        <f t="shared" si="54"/>
        <v/>
      </c>
      <c r="AG140" s="23" t="str">
        <f t="shared" si="55"/>
        <v/>
      </c>
      <c r="AH140" s="23" t="str">
        <f t="shared" si="71"/>
        <v/>
      </c>
      <c r="AI140" s="23" t="str">
        <f t="shared" si="56"/>
        <v/>
      </c>
      <c r="AJ140" s="23" t="str">
        <f t="shared" si="57"/>
        <v/>
      </c>
      <c r="AK140" s="23" t="str">
        <f t="shared" si="58"/>
        <v/>
      </c>
      <c r="AL140" s="23" t="str">
        <f t="shared" si="59"/>
        <v/>
      </c>
      <c r="AM140" s="52">
        <f t="shared" si="60"/>
        <v>0</v>
      </c>
      <c r="AN140" s="26">
        <f t="shared" si="61"/>
        <v>38.980676051267437</v>
      </c>
    </row>
    <row r="141" spans="1:40" x14ac:dyDescent="0.2">
      <c r="A141" s="12">
        <v>44695</v>
      </c>
      <c r="B141" s="6">
        <v>14</v>
      </c>
      <c r="C141" s="6">
        <v>134</v>
      </c>
      <c r="D141" s="6">
        <v>7</v>
      </c>
      <c r="E141" s="6" t="s">
        <v>10</v>
      </c>
      <c r="F141" s="6">
        <v>19</v>
      </c>
      <c r="G141" s="6">
        <v>5</v>
      </c>
      <c r="H141" s="6" t="s">
        <v>21</v>
      </c>
      <c r="I141" s="6">
        <v>2</v>
      </c>
      <c r="J141" s="14">
        <v>33.845362802089774</v>
      </c>
      <c r="K141" s="14">
        <v>108.35492916755783</v>
      </c>
      <c r="L141" s="14">
        <f t="shared" si="62"/>
        <v>3667.3118890707337</v>
      </c>
      <c r="M141" s="16">
        <v>0.52438846176846154</v>
      </c>
      <c r="N141" s="14">
        <f t="shared" si="63"/>
        <v>1923.0960403349929</v>
      </c>
      <c r="O141" s="14">
        <f t="shared" si="64"/>
        <v>1744.2158487357408</v>
      </c>
      <c r="P141" s="14">
        <v>108.5191198720246</v>
      </c>
      <c r="Q141" s="14">
        <v>13.74610537077727</v>
      </c>
      <c r="R141" s="14">
        <f t="shared" si="48"/>
        <v>12.987012987012987</v>
      </c>
      <c r="S141" s="14">
        <v>93.73822671892907</v>
      </c>
      <c r="T141" s="14">
        <f t="shared" si="65"/>
        <v>2567.1183223495136</v>
      </c>
      <c r="U141" s="14">
        <f t="shared" si="49"/>
        <v>75.848450417290479</v>
      </c>
      <c r="V141" s="14">
        <v>67.887381147897955</v>
      </c>
      <c r="W141" s="16">
        <f t="shared" si="66"/>
        <v>1.4307361491894961</v>
      </c>
      <c r="X141" s="16">
        <f t="shared" si="67"/>
        <v>0.49855160458104891</v>
      </c>
      <c r="Y141" s="16">
        <f t="shared" si="68"/>
        <v>0.74912637395494508</v>
      </c>
      <c r="Z141" s="16">
        <f t="shared" si="50"/>
        <v>0.44622352356422507</v>
      </c>
      <c r="AA141" s="16">
        <f t="shared" si="51"/>
        <v>3.5412894730106493E-3</v>
      </c>
      <c r="AB141" s="14">
        <f t="shared" si="69"/>
        <v>75.848450417290479</v>
      </c>
      <c r="AC141" s="16">
        <f t="shared" si="52"/>
        <v>0.12686183707914733</v>
      </c>
      <c r="AD141" s="16">
        <f t="shared" si="53"/>
        <v>2.9590916495384974E-2</v>
      </c>
      <c r="AE141" s="23" t="str">
        <f t="shared" si="70"/>
        <v/>
      </c>
      <c r="AF141" s="23" t="str">
        <f t="shared" si="54"/>
        <v/>
      </c>
      <c r="AG141" s="23" t="str">
        <f t="shared" si="55"/>
        <v/>
      </c>
      <c r="AH141" s="23" t="str">
        <f t="shared" si="71"/>
        <v/>
      </c>
      <c r="AI141" s="23" t="str">
        <f t="shared" si="56"/>
        <v/>
      </c>
      <c r="AJ141" s="23" t="str">
        <f t="shared" si="57"/>
        <v/>
      </c>
      <c r="AK141" s="23" t="str">
        <f t="shared" si="58"/>
        <v/>
      </c>
      <c r="AL141" s="23" t="str">
        <f t="shared" si="59"/>
        <v/>
      </c>
      <c r="AM141" s="52">
        <f t="shared" si="60"/>
        <v>0</v>
      </c>
      <c r="AN141" s="26">
        <f t="shared" si="61"/>
        <v>1744.2158487357408</v>
      </c>
    </row>
    <row r="142" spans="1:40" x14ac:dyDescent="0.2">
      <c r="A142" s="12">
        <v>44696</v>
      </c>
      <c r="B142" s="6">
        <v>15</v>
      </c>
      <c r="C142" s="6">
        <v>135</v>
      </c>
      <c r="D142" s="6">
        <v>1</v>
      </c>
      <c r="E142" s="6" t="s">
        <v>12</v>
      </c>
      <c r="F142" s="6">
        <v>20</v>
      </c>
      <c r="G142" s="6">
        <v>5</v>
      </c>
      <c r="H142" s="6" t="s">
        <v>21</v>
      </c>
      <c r="I142" s="6">
        <v>2</v>
      </c>
      <c r="J142" s="14">
        <v>10.363570292957419</v>
      </c>
      <c r="K142" s="14">
        <v>12.842329503286829</v>
      </c>
      <c r="L142" s="14">
        <f t="shared" si="62"/>
        <v>133.09238453263399</v>
      </c>
      <c r="M142" s="16">
        <v>0.43889054074786127</v>
      </c>
      <c r="N142" s="14">
        <f t="shared" si="63"/>
        <v>58.412988616950017</v>
      </c>
      <c r="O142" s="14">
        <f t="shared" si="64"/>
        <v>74.679395915683969</v>
      </c>
      <c r="P142" s="14">
        <v>56.515010946084338</v>
      </c>
      <c r="Q142" s="14">
        <v>14.815388229544702</v>
      </c>
      <c r="R142" s="14">
        <f t="shared" si="48"/>
        <v>28.571428571428573</v>
      </c>
      <c r="S142" s="14">
        <v>38.20066862687149</v>
      </c>
      <c r="T142" s="14">
        <f t="shared" si="65"/>
        <v>93.164669172843787</v>
      </c>
      <c r="U142" s="14">
        <f t="shared" si="49"/>
        <v>8.9896306523007787</v>
      </c>
      <c r="V142" s="14">
        <v>39.128981497815445</v>
      </c>
      <c r="W142" s="16">
        <f t="shared" si="66"/>
        <v>6.2866888676477561</v>
      </c>
      <c r="X142" s="16">
        <f t="shared" si="67"/>
        <v>0.26485663301857254</v>
      </c>
      <c r="Y142" s="16">
        <f t="shared" si="68"/>
        <v>0.626986486782659</v>
      </c>
      <c r="Z142" s="16">
        <f t="shared" si="50"/>
        <v>1.1528360500889987</v>
      </c>
      <c r="AA142" s="16">
        <f t="shared" si="51"/>
        <v>0.21467365448263431</v>
      </c>
      <c r="AB142" s="14">
        <f t="shared" si="69"/>
        <v>8.9896306523007787</v>
      </c>
      <c r="AC142" s="16">
        <f t="shared" si="52"/>
        <v>1.1536371361405182</v>
      </c>
      <c r="AD142" s="16">
        <f t="shared" si="53"/>
        <v>0.4246299376522702</v>
      </c>
      <c r="AE142" s="23" t="str">
        <f t="shared" si="70"/>
        <v/>
      </c>
      <c r="AF142" s="23">
        <f t="shared" si="54"/>
        <v>1000</v>
      </c>
      <c r="AG142" s="23">
        <f t="shared" si="55"/>
        <v>300</v>
      </c>
      <c r="AH142" s="23" t="str">
        <f t="shared" si="71"/>
        <v/>
      </c>
      <c r="AI142" s="23" t="str">
        <f t="shared" si="56"/>
        <v/>
      </c>
      <c r="AJ142" s="23" t="str">
        <f t="shared" si="57"/>
        <v/>
      </c>
      <c r="AK142" s="23" t="str">
        <f t="shared" si="58"/>
        <v/>
      </c>
      <c r="AL142" s="23" t="str">
        <f t="shared" si="59"/>
        <v/>
      </c>
      <c r="AM142" s="52">
        <f t="shared" si="60"/>
        <v>1300</v>
      </c>
      <c r="AN142" s="26">
        <f t="shared" si="61"/>
        <v>-1225.3206040843161</v>
      </c>
    </row>
    <row r="143" spans="1:40" x14ac:dyDescent="0.2">
      <c r="A143" s="12">
        <v>44697</v>
      </c>
      <c r="B143" s="6">
        <v>16</v>
      </c>
      <c r="C143" s="6">
        <v>136</v>
      </c>
      <c r="D143" s="6">
        <v>2</v>
      </c>
      <c r="E143" s="6" t="s">
        <v>13</v>
      </c>
      <c r="F143" s="6">
        <v>20</v>
      </c>
      <c r="G143" s="6">
        <v>5</v>
      </c>
      <c r="H143" s="6" t="s">
        <v>21</v>
      </c>
      <c r="I143" s="6">
        <v>2</v>
      </c>
      <c r="J143" s="14">
        <v>22.977190451702679</v>
      </c>
      <c r="K143" s="14">
        <v>63.093065563304464</v>
      </c>
      <c r="L143" s="14">
        <f t="shared" si="62"/>
        <v>1449.7013836298104</v>
      </c>
      <c r="M143" s="16">
        <v>0.59352155782844329</v>
      </c>
      <c r="N143" s="14">
        <f t="shared" si="63"/>
        <v>860.42902359801474</v>
      </c>
      <c r="O143" s="14">
        <f t="shared" si="64"/>
        <v>589.27236003179564</v>
      </c>
      <c r="P143" s="14">
        <v>102.90388699331075</v>
      </c>
      <c r="Q143" s="14">
        <v>19.364258230515272</v>
      </c>
      <c r="R143" s="14">
        <f t="shared" si="48"/>
        <v>12.987012987012987</v>
      </c>
      <c r="S143" s="14">
        <v>98.025905354615929</v>
      </c>
      <c r="T143" s="14">
        <f t="shared" si="65"/>
        <v>1014.7909685408672</v>
      </c>
      <c r="U143" s="14">
        <f t="shared" si="49"/>
        <v>44.16514589431312</v>
      </c>
      <c r="V143" s="14">
        <v>87.665417380820642</v>
      </c>
      <c r="W143" s="16">
        <f t="shared" si="66"/>
        <v>2.3299795553615743</v>
      </c>
      <c r="X143" s="16">
        <f t="shared" si="67"/>
        <v>0.26210096453301784</v>
      </c>
      <c r="Y143" s="16">
        <f t="shared" si="68"/>
        <v>0.84788793975491905</v>
      </c>
      <c r="Z143" s="16">
        <f t="shared" si="50"/>
        <v>0.52025618814181962</v>
      </c>
      <c r="AA143" s="16">
        <f t="shared" si="51"/>
        <v>8.9584055955687046E-3</v>
      </c>
      <c r="AB143" s="14">
        <f t="shared" si="69"/>
        <v>44.16514589431312</v>
      </c>
      <c r="AC143" s="16">
        <f t="shared" si="52"/>
        <v>0.30691579268859798</v>
      </c>
      <c r="AD143" s="16">
        <f t="shared" si="53"/>
        <v>7.0982816292591636E-2</v>
      </c>
      <c r="AE143" s="23" t="str">
        <f t="shared" si="70"/>
        <v/>
      </c>
      <c r="AF143" s="23" t="str">
        <f t="shared" si="54"/>
        <v/>
      </c>
      <c r="AG143" s="23" t="str">
        <f t="shared" si="55"/>
        <v/>
      </c>
      <c r="AH143" s="23" t="str">
        <f t="shared" si="71"/>
        <v/>
      </c>
      <c r="AI143" s="23" t="str">
        <f t="shared" si="56"/>
        <v/>
      </c>
      <c r="AJ143" s="23" t="str">
        <f t="shared" si="57"/>
        <v/>
      </c>
      <c r="AK143" s="23" t="str">
        <f t="shared" si="58"/>
        <v/>
      </c>
      <c r="AL143" s="23" t="str">
        <f t="shared" si="59"/>
        <v/>
      </c>
      <c r="AM143" s="52">
        <f t="shared" si="60"/>
        <v>0</v>
      </c>
      <c r="AN143" s="26">
        <f t="shared" si="61"/>
        <v>589.27236003179564</v>
      </c>
    </row>
    <row r="144" spans="1:40" x14ac:dyDescent="0.2">
      <c r="A144" s="12">
        <v>44698</v>
      </c>
      <c r="B144" s="6">
        <v>17</v>
      </c>
      <c r="C144" s="6">
        <v>137</v>
      </c>
      <c r="D144" s="6">
        <v>3</v>
      </c>
      <c r="E144" s="6" t="s">
        <v>14</v>
      </c>
      <c r="F144" s="6">
        <v>20</v>
      </c>
      <c r="G144" s="6">
        <v>5</v>
      </c>
      <c r="H144" s="6" t="s">
        <v>21</v>
      </c>
      <c r="I144" s="6">
        <v>2</v>
      </c>
      <c r="J144" s="14">
        <v>32.767007968238886</v>
      </c>
      <c r="K144" s="14">
        <v>95.420067408027606</v>
      </c>
      <c r="L144" s="14">
        <f t="shared" si="62"/>
        <v>3126.6301090887323</v>
      </c>
      <c r="M144" s="16">
        <v>1.0185455120524578</v>
      </c>
      <c r="N144" s="14">
        <f t="shared" si="63"/>
        <v>3184.6150654604148</v>
      </c>
      <c r="O144" s="14">
        <f t="shared" si="64"/>
        <v>-57.984956371682529</v>
      </c>
      <c r="P144" s="14">
        <v>57.885704767713889</v>
      </c>
      <c r="Q144" s="14">
        <v>28.968774393336368</v>
      </c>
      <c r="R144" s="14">
        <f t="shared" si="48"/>
        <v>12.987012987012987</v>
      </c>
      <c r="S144" s="14">
        <v>99.174874106520477</v>
      </c>
      <c r="T144" s="14">
        <f t="shared" si="65"/>
        <v>2188.6410763621125</v>
      </c>
      <c r="U144" s="14">
        <f t="shared" si="49"/>
        <v>66.79404718561932</v>
      </c>
      <c r="V144" s="14">
        <v>85.707723311394915</v>
      </c>
      <c r="W144" s="16">
        <f t="shared" si="66"/>
        <v>0.86662969541059065</v>
      </c>
      <c r="X144" s="16">
        <f t="shared" si="67"/>
        <v>0.38231102988454346</v>
      </c>
      <c r="Y144" s="16">
        <f t="shared" si="68"/>
        <v>1.455065017217797</v>
      </c>
      <c r="Z144" s="16">
        <f t="shared" si="50"/>
        <v>0.49056778783264959</v>
      </c>
      <c r="AA144" s="16">
        <f t="shared" si="51"/>
        <v>4.153677452686624E-3</v>
      </c>
      <c r="AB144" s="14">
        <f t="shared" si="69"/>
        <v>66.79404718561932</v>
      </c>
      <c r="AC144" s="16">
        <f t="shared" si="52"/>
        <v>0.30359205542647993</v>
      </c>
      <c r="AD144" s="16">
        <f t="shared" si="53"/>
        <v>1.851376809794264E-2</v>
      </c>
      <c r="AE144" s="23" t="str">
        <f t="shared" si="70"/>
        <v/>
      </c>
      <c r="AF144" s="23" t="str">
        <f t="shared" si="54"/>
        <v/>
      </c>
      <c r="AG144" s="23" t="str">
        <f t="shared" si="55"/>
        <v/>
      </c>
      <c r="AH144" s="23" t="str">
        <f t="shared" si="71"/>
        <v/>
      </c>
      <c r="AI144" s="23" t="str">
        <f t="shared" si="56"/>
        <v/>
      </c>
      <c r="AJ144" s="23" t="str">
        <f t="shared" si="57"/>
        <v/>
      </c>
      <c r="AK144" s="23" t="str">
        <f t="shared" si="58"/>
        <v/>
      </c>
      <c r="AL144" s="23" t="str">
        <f t="shared" si="59"/>
        <v/>
      </c>
      <c r="AM144" s="52">
        <f t="shared" si="60"/>
        <v>0</v>
      </c>
      <c r="AN144" s="26">
        <f t="shared" si="61"/>
        <v>-57.984956371682529</v>
      </c>
    </row>
    <row r="145" spans="1:40" x14ac:dyDescent="0.2">
      <c r="A145" s="12">
        <v>44699</v>
      </c>
      <c r="B145" s="6">
        <v>18</v>
      </c>
      <c r="C145" s="6">
        <v>138</v>
      </c>
      <c r="D145" s="6">
        <v>4</v>
      </c>
      <c r="E145" s="6" t="s">
        <v>15</v>
      </c>
      <c r="F145" s="6">
        <v>20</v>
      </c>
      <c r="G145" s="6">
        <v>5</v>
      </c>
      <c r="H145" s="6" t="s">
        <v>21</v>
      </c>
      <c r="I145" s="6">
        <v>2</v>
      </c>
      <c r="J145" s="14">
        <v>28.794465290977715</v>
      </c>
      <c r="K145" s="14">
        <v>89.09244078527864</v>
      </c>
      <c r="L145" s="14">
        <f t="shared" si="62"/>
        <v>2565.3691938801931</v>
      </c>
      <c r="M145" s="16">
        <v>0.64736433672609572</v>
      </c>
      <c r="N145" s="14">
        <f t="shared" si="63"/>
        <v>1660.7285266538101</v>
      </c>
      <c r="O145" s="14">
        <f t="shared" si="64"/>
        <v>904.6406672263829</v>
      </c>
      <c r="P145" s="14">
        <v>105.7799972459039</v>
      </c>
      <c r="Q145" s="14">
        <v>21.927290362733306</v>
      </c>
      <c r="R145" s="14">
        <f t="shared" si="48"/>
        <v>12.987012987012987</v>
      </c>
      <c r="S145" s="14">
        <v>68.431407825595912</v>
      </c>
      <c r="T145" s="14">
        <f t="shared" si="65"/>
        <v>1795.758435716135</v>
      </c>
      <c r="U145" s="14">
        <f t="shared" si="49"/>
        <v>62.364708549695038</v>
      </c>
      <c r="V145" s="14">
        <v>85.332939908194604</v>
      </c>
      <c r="W145" s="16">
        <f t="shared" si="66"/>
        <v>1.6961515527906874</v>
      </c>
      <c r="X145" s="16">
        <f t="shared" si="67"/>
        <v>0.33743669586394454</v>
      </c>
      <c r="Y145" s="16">
        <f t="shared" si="68"/>
        <v>0.92480619532299402</v>
      </c>
      <c r="Z145" s="16">
        <f t="shared" si="50"/>
        <v>0.46171089323752673</v>
      </c>
      <c r="AA145" s="16">
        <f t="shared" si="51"/>
        <v>5.062434295225072E-3</v>
      </c>
      <c r="AB145" s="14">
        <f t="shared" si="69"/>
        <v>62.364708549695038</v>
      </c>
      <c r="AC145" s="16">
        <f t="shared" si="52"/>
        <v>0.24611841554077732</v>
      </c>
      <c r="AD145" s="16">
        <f t="shared" si="53"/>
        <v>4.1233830007098772E-2</v>
      </c>
      <c r="AE145" s="23" t="str">
        <f t="shared" si="70"/>
        <v/>
      </c>
      <c r="AF145" s="23" t="str">
        <f t="shared" si="54"/>
        <v/>
      </c>
      <c r="AG145" s="23" t="str">
        <f t="shared" si="55"/>
        <v/>
      </c>
      <c r="AH145" s="23" t="str">
        <f t="shared" si="71"/>
        <v/>
      </c>
      <c r="AI145" s="23" t="str">
        <f t="shared" si="56"/>
        <v/>
      </c>
      <c r="AJ145" s="23" t="str">
        <f t="shared" si="57"/>
        <v/>
      </c>
      <c r="AK145" s="23" t="str">
        <f t="shared" si="58"/>
        <v/>
      </c>
      <c r="AL145" s="23" t="str">
        <f t="shared" si="59"/>
        <v/>
      </c>
      <c r="AM145" s="52">
        <f t="shared" si="60"/>
        <v>0</v>
      </c>
      <c r="AN145" s="26">
        <f t="shared" si="61"/>
        <v>904.6406672263829</v>
      </c>
    </row>
    <row r="146" spans="1:40" x14ac:dyDescent="0.2">
      <c r="A146" s="12">
        <v>44700</v>
      </c>
      <c r="B146" s="6">
        <v>19</v>
      </c>
      <c r="C146" s="6">
        <v>139</v>
      </c>
      <c r="D146" s="6">
        <v>5</v>
      </c>
      <c r="E146" s="6" t="s">
        <v>16</v>
      </c>
      <c r="F146" s="6">
        <v>20</v>
      </c>
      <c r="G146" s="6">
        <v>5</v>
      </c>
      <c r="H146" s="6" t="s">
        <v>21</v>
      </c>
      <c r="I146" s="6">
        <v>2</v>
      </c>
      <c r="J146" s="14">
        <v>21.362874565447314</v>
      </c>
      <c r="K146" s="14">
        <v>142.48256603420486</v>
      </c>
      <c r="L146" s="14">
        <f t="shared" si="62"/>
        <v>3043.8371859517824</v>
      </c>
      <c r="M146" s="16">
        <v>0.65690840638738868</v>
      </c>
      <c r="N146" s="14">
        <f t="shared" si="63"/>
        <v>1999.5222351262591</v>
      </c>
      <c r="O146" s="14">
        <f t="shared" si="64"/>
        <v>1044.3149508255233</v>
      </c>
      <c r="P146" s="14">
        <v>120.06265659567867</v>
      </c>
      <c r="Q146" s="14">
        <v>55.139460139137896</v>
      </c>
      <c r="R146" s="14">
        <f t="shared" si="48"/>
        <v>12.987012987012987</v>
      </c>
      <c r="S146" s="14">
        <v>88.719645004446704</v>
      </c>
      <c r="T146" s="14">
        <f t="shared" si="65"/>
        <v>2130.6860301662477</v>
      </c>
      <c r="U146" s="14">
        <f t="shared" si="49"/>
        <v>99.737796223943405</v>
      </c>
      <c r="V146" s="14">
        <v>86.394319464561022</v>
      </c>
      <c r="W146" s="16">
        <f t="shared" si="66"/>
        <v>1.2037829302554413</v>
      </c>
      <c r="X146" s="16">
        <f t="shared" si="67"/>
        <v>0.24727175001604557</v>
      </c>
      <c r="Y146" s="16">
        <f t="shared" si="68"/>
        <v>0.9384405805534124</v>
      </c>
      <c r="Z146" s="16">
        <f t="shared" si="50"/>
        <v>0.21419036086861989</v>
      </c>
      <c r="AA146" s="16">
        <f t="shared" si="51"/>
        <v>4.2666582322313197E-3</v>
      </c>
      <c r="AB146" s="14">
        <f t="shared" si="69"/>
        <v>99.737796223943405</v>
      </c>
      <c r="AC146" s="16">
        <f t="shared" si="52"/>
        <v>0.38699092579439454</v>
      </c>
      <c r="AD146" s="16">
        <f t="shared" si="53"/>
        <v>3.944450680535861E-2</v>
      </c>
      <c r="AE146" s="23" t="str">
        <f t="shared" si="70"/>
        <v/>
      </c>
      <c r="AF146" s="23" t="str">
        <f t="shared" si="54"/>
        <v/>
      </c>
      <c r="AG146" s="23" t="str">
        <f t="shared" si="55"/>
        <v/>
      </c>
      <c r="AH146" s="23" t="str">
        <f t="shared" si="71"/>
        <v/>
      </c>
      <c r="AI146" s="23" t="str">
        <f t="shared" si="56"/>
        <v/>
      </c>
      <c r="AJ146" s="23" t="str">
        <f t="shared" si="57"/>
        <v/>
      </c>
      <c r="AK146" s="23" t="str">
        <f t="shared" si="58"/>
        <v/>
      </c>
      <c r="AL146" s="23" t="str">
        <f t="shared" si="59"/>
        <v/>
      </c>
      <c r="AM146" s="52">
        <f t="shared" si="60"/>
        <v>0</v>
      </c>
      <c r="AN146" s="26">
        <f t="shared" si="61"/>
        <v>1044.3149508255233</v>
      </c>
    </row>
    <row r="147" spans="1:40" x14ac:dyDescent="0.2">
      <c r="A147" s="12">
        <v>44701</v>
      </c>
      <c r="B147" s="6">
        <v>20</v>
      </c>
      <c r="C147" s="6">
        <v>140</v>
      </c>
      <c r="D147" s="6">
        <v>6</v>
      </c>
      <c r="E147" s="6" t="s">
        <v>17</v>
      </c>
      <c r="F147" s="6">
        <v>20</v>
      </c>
      <c r="G147" s="6">
        <v>5</v>
      </c>
      <c r="H147" s="6" t="s">
        <v>21</v>
      </c>
      <c r="I147" s="6">
        <v>2</v>
      </c>
      <c r="J147" s="14">
        <v>28.577428694273912</v>
      </c>
      <c r="K147" s="14">
        <v>47.658573611430029</v>
      </c>
      <c r="L147" s="14">
        <f t="shared" si="62"/>
        <v>1361.9594890514461</v>
      </c>
      <c r="M147" s="16">
        <v>0.93978080993970359</v>
      </c>
      <c r="N147" s="14">
        <f t="shared" si="63"/>
        <v>1279.943391725833</v>
      </c>
      <c r="O147" s="14">
        <f t="shared" si="64"/>
        <v>82.016097325613146</v>
      </c>
      <c r="P147" s="14">
        <v>62.46301536907589</v>
      </c>
      <c r="Q147" s="14">
        <v>27.592188965309187</v>
      </c>
      <c r="R147" s="14">
        <f t="shared" si="48"/>
        <v>12.987012987012987</v>
      </c>
      <c r="S147" s="14">
        <v>86.555487702965792</v>
      </c>
      <c r="T147" s="14">
        <f t="shared" si="65"/>
        <v>953.3716423360122</v>
      </c>
      <c r="U147" s="14">
        <f t="shared" si="49"/>
        <v>33.361001528001019</v>
      </c>
      <c r="V147" s="14">
        <v>86.913733009071365</v>
      </c>
      <c r="W147" s="16">
        <f t="shared" si="66"/>
        <v>1.8723363360853709</v>
      </c>
      <c r="X147" s="16">
        <f t="shared" si="67"/>
        <v>0.32880222382452756</v>
      </c>
      <c r="Y147" s="16">
        <f t="shared" si="68"/>
        <v>1.3425440141995768</v>
      </c>
      <c r="Z147" s="16">
        <f t="shared" si="50"/>
        <v>0.85661183373910132</v>
      </c>
      <c r="AA147" s="16">
        <f t="shared" si="51"/>
        <v>9.5355354483105479E-3</v>
      </c>
      <c r="AB147" s="14">
        <f t="shared" si="69"/>
        <v>33.361001528001019</v>
      </c>
      <c r="AC147" s="16">
        <f t="shared" si="52"/>
        <v>0.57895540874290263</v>
      </c>
      <c r="AD147" s="16">
        <f t="shared" si="53"/>
        <v>4.5862608889034609E-2</v>
      </c>
      <c r="AE147" s="23" t="str">
        <f t="shared" si="70"/>
        <v/>
      </c>
      <c r="AF147" s="23" t="str">
        <f t="shared" si="54"/>
        <v/>
      </c>
      <c r="AG147" s="23" t="str">
        <f t="shared" si="55"/>
        <v/>
      </c>
      <c r="AH147" s="23" t="str">
        <f t="shared" si="71"/>
        <v/>
      </c>
      <c r="AI147" s="23">
        <f t="shared" si="56"/>
        <v>100</v>
      </c>
      <c r="AJ147" s="23" t="str">
        <f t="shared" si="57"/>
        <v/>
      </c>
      <c r="AK147" s="23" t="str">
        <f t="shared" si="58"/>
        <v/>
      </c>
      <c r="AL147" s="23" t="str">
        <f t="shared" si="59"/>
        <v/>
      </c>
      <c r="AM147" s="52">
        <f t="shared" si="60"/>
        <v>100</v>
      </c>
      <c r="AN147" s="26">
        <f t="shared" si="61"/>
        <v>-17.983902674386854</v>
      </c>
    </row>
    <row r="148" spans="1:40" x14ac:dyDescent="0.2">
      <c r="A148" s="12">
        <v>44702</v>
      </c>
      <c r="B148" s="6">
        <v>21</v>
      </c>
      <c r="C148" s="6">
        <v>141</v>
      </c>
      <c r="D148" s="6">
        <v>7</v>
      </c>
      <c r="E148" s="6" t="s">
        <v>10</v>
      </c>
      <c r="F148" s="6">
        <v>20</v>
      </c>
      <c r="G148" s="6">
        <v>5</v>
      </c>
      <c r="H148" s="6" t="s">
        <v>21</v>
      </c>
      <c r="I148" s="6">
        <v>2</v>
      </c>
      <c r="J148" s="14">
        <v>26.465993863857058</v>
      </c>
      <c r="K148" s="14">
        <v>76.210791025576043</v>
      </c>
      <c r="L148" s="14">
        <f t="shared" si="62"/>
        <v>2016.9943276425881</v>
      </c>
      <c r="M148" s="16">
        <v>0.83069725005272332</v>
      </c>
      <c r="N148" s="14">
        <f t="shared" si="63"/>
        <v>1675.5116413446397</v>
      </c>
      <c r="O148" s="14">
        <f t="shared" si="64"/>
        <v>341.48268629794848</v>
      </c>
      <c r="P148" s="14">
        <v>78.172595222205516</v>
      </c>
      <c r="Q148" s="14">
        <v>16.798010124089949</v>
      </c>
      <c r="R148" s="14">
        <f t="shared" si="48"/>
        <v>12.987012987012987</v>
      </c>
      <c r="S148" s="14">
        <v>101.17630685040331</v>
      </c>
      <c r="T148" s="14">
        <f t="shared" si="65"/>
        <v>1411.8960293498117</v>
      </c>
      <c r="U148" s="14">
        <f t="shared" si="49"/>
        <v>53.347553717903232</v>
      </c>
      <c r="V148" s="14">
        <v>80.275561046365411</v>
      </c>
      <c r="W148" s="16">
        <f t="shared" si="66"/>
        <v>1.4653454521190368</v>
      </c>
      <c r="X148" s="16">
        <f t="shared" si="67"/>
        <v>0.32968930417777931</v>
      </c>
      <c r="Y148" s="16">
        <f t="shared" si="68"/>
        <v>1.1867103572181763</v>
      </c>
      <c r="Z148" s="16">
        <f t="shared" si="50"/>
        <v>0.49610510734581581</v>
      </c>
      <c r="AA148" s="16">
        <f t="shared" si="51"/>
        <v>6.4387949976001564E-3</v>
      </c>
      <c r="AB148" s="14">
        <f t="shared" si="69"/>
        <v>53.347553717903232</v>
      </c>
      <c r="AC148" s="16">
        <f t="shared" si="52"/>
        <v>0.22041511310980361</v>
      </c>
      <c r="AD148" s="16">
        <f t="shared" si="53"/>
        <v>3.8756973260094224E-2</v>
      </c>
      <c r="AE148" s="23" t="str">
        <f t="shared" si="70"/>
        <v/>
      </c>
      <c r="AF148" s="23" t="str">
        <f t="shared" si="54"/>
        <v/>
      </c>
      <c r="AG148" s="23" t="str">
        <f t="shared" si="55"/>
        <v/>
      </c>
      <c r="AH148" s="23" t="str">
        <f t="shared" si="71"/>
        <v/>
      </c>
      <c r="AI148" s="23" t="str">
        <f t="shared" si="56"/>
        <v/>
      </c>
      <c r="AJ148" s="23" t="str">
        <f t="shared" si="57"/>
        <v/>
      </c>
      <c r="AK148" s="23" t="str">
        <f t="shared" si="58"/>
        <v/>
      </c>
      <c r="AL148" s="23" t="str">
        <f t="shared" si="59"/>
        <v/>
      </c>
      <c r="AM148" s="52">
        <f t="shared" si="60"/>
        <v>0</v>
      </c>
      <c r="AN148" s="26">
        <f t="shared" si="61"/>
        <v>341.48268629794848</v>
      </c>
    </row>
    <row r="149" spans="1:40" x14ac:dyDescent="0.2">
      <c r="A149" s="12">
        <v>44703</v>
      </c>
      <c r="B149" s="6">
        <v>22</v>
      </c>
      <c r="C149" s="6">
        <v>142</v>
      </c>
      <c r="D149" s="6">
        <v>1</v>
      </c>
      <c r="E149" s="6" t="s">
        <v>12</v>
      </c>
      <c r="F149" s="6">
        <v>21</v>
      </c>
      <c r="G149" s="6">
        <v>5</v>
      </c>
      <c r="H149" s="6" t="s">
        <v>21</v>
      </c>
      <c r="I149" s="6">
        <v>2</v>
      </c>
      <c r="J149" s="14">
        <v>1.8251984161089996</v>
      </c>
      <c r="K149" s="14">
        <v>36.536318144010671</v>
      </c>
      <c r="L149" s="14">
        <f t="shared" si="62"/>
        <v>66.686030006902783</v>
      </c>
      <c r="M149" s="16">
        <v>0.25738135846017152</v>
      </c>
      <c r="N149" s="14">
        <f t="shared" si="63"/>
        <v>17.1637409934924</v>
      </c>
      <c r="O149" s="14">
        <f t="shared" si="64"/>
        <v>49.522289013410386</v>
      </c>
      <c r="P149" s="14">
        <v>21.118001571789009</v>
      </c>
      <c r="Q149" s="14">
        <v>3.2889020644864524</v>
      </c>
      <c r="R149" s="14">
        <f t="shared" si="48"/>
        <v>28.571428571428573</v>
      </c>
      <c r="S149" s="14">
        <v>14.891186442817315</v>
      </c>
      <c r="T149" s="14">
        <f t="shared" si="65"/>
        <v>46.680221004831942</v>
      </c>
      <c r="U149" s="14">
        <f t="shared" si="49"/>
        <v>25.575422700807469</v>
      </c>
      <c r="V149" s="14">
        <v>14.787218929439765</v>
      </c>
      <c r="W149" s="16">
        <f t="shared" si="66"/>
        <v>0.82571466438059182</v>
      </c>
      <c r="X149" s="16">
        <f t="shared" si="67"/>
        <v>0.12343081040581778</v>
      </c>
      <c r="Y149" s="16">
        <f t="shared" si="68"/>
        <v>0.36768765494310224</v>
      </c>
      <c r="Z149" s="16">
        <f t="shared" si="50"/>
        <v>7.1365327465394118E-2</v>
      </c>
      <c r="AA149" s="16">
        <f t="shared" si="51"/>
        <v>0.42844698609995374</v>
      </c>
      <c r="AB149" s="14">
        <f t="shared" si="69"/>
        <v>25.575422700807469</v>
      </c>
      <c r="AC149" s="16">
        <f t="shared" si="52"/>
        <v>9.0017337037711226E-2</v>
      </c>
      <c r="AD149" s="16">
        <f t="shared" si="53"/>
        <v>0.31667804440604802</v>
      </c>
      <c r="AE149" s="23" t="str">
        <f t="shared" si="70"/>
        <v/>
      </c>
      <c r="AF149" s="23">
        <f t="shared" si="54"/>
        <v>1000</v>
      </c>
      <c r="AG149" s="23" t="str">
        <f t="shared" si="55"/>
        <v/>
      </c>
      <c r="AH149" s="23" t="str">
        <f t="shared" si="71"/>
        <v/>
      </c>
      <c r="AI149" s="23" t="str">
        <f t="shared" si="56"/>
        <v/>
      </c>
      <c r="AJ149" s="23" t="str">
        <f t="shared" si="57"/>
        <v/>
      </c>
      <c r="AK149" s="23" t="str">
        <f t="shared" si="58"/>
        <v/>
      </c>
      <c r="AL149" s="23" t="str">
        <f t="shared" si="59"/>
        <v/>
      </c>
      <c r="AM149" s="52">
        <f t="shared" si="60"/>
        <v>1000</v>
      </c>
      <c r="AN149" s="26">
        <f t="shared" si="61"/>
        <v>-950.47771098658961</v>
      </c>
    </row>
    <row r="150" spans="1:40" x14ac:dyDescent="0.2">
      <c r="A150" s="12">
        <v>44704</v>
      </c>
      <c r="B150" s="6">
        <v>23</v>
      </c>
      <c r="C150" s="6">
        <v>143</v>
      </c>
      <c r="D150" s="6">
        <v>2</v>
      </c>
      <c r="E150" s="6" t="s">
        <v>13</v>
      </c>
      <c r="F150" s="6">
        <v>21</v>
      </c>
      <c r="G150" s="6">
        <v>5</v>
      </c>
      <c r="H150" s="6" t="s">
        <v>21</v>
      </c>
      <c r="I150" s="6">
        <v>2</v>
      </c>
      <c r="J150" s="14">
        <v>12.06922685290035</v>
      </c>
      <c r="K150" s="14">
        <v>85.738204206743831</v>
      </c>
      <c r="L150" s="14">
        <f t="shared" si="62"/>
        <v>1034.7938365314865</v>
      </c>
      <c r="M150" s="16">
        <v>0.64929630523267456</v>
      </c>
      <c r="N150" s="14">
        <f t="shared" si="63"/>
        <v>671.88781473743836</v>
      </c>
      <c r="O150" s="14">
        <f t="shared" si="64"/>
        <v>362.90602179404812</v>
      </c>
      <c r="P150" s="14">
        <v>37.749711590782354</v>
      </c>
      <c r="Q150" s="14">
        <v>12.535134402420974</v>
      </c>
      <c r="R150" s="14">
        <f t="shared" si="48"/>
        <v>12.987012987012987</v>
      </c>
      <c r="S150" s="14">
        <v>36.343111673363417</v>
      </c>
      <c r="T150" s="14">
        <f t="shared" si="65"/>
        <v>724.35568557204044</v>
      </c>
      <c r="U150" s="14">
        <f t="shared" si="49"/>
        <v>60.016742944720676</v>
      </c>
      <c r="V150" s="14">
        <v>32.439430196634454</v>
      </c>
      <c r="W150" s="16">
        <f t="shared" si="66"/>
        <v>0.62898634178719581</v>
      </c>
      <c r="X150" s="16">
        <f t="shared" si="67"/>
        <v>0.37205421857725834</v>
      </c>
      <c r="Y150" s="16">
        <f t="shared" si="68"/>
        <v>0.92756615033239231</v>
      </c>
      <c r="Z150" s="16">
        <f t="shared" si="50"/>
        <v>0.20109766476359595</v>
      </c>
      <c r="AA150" s="16">
        <f t="shared" si="51"/>
        <v>1.255033855878385E-2</v>
      </c>
      <c r="AB150" s="14">
        <f t="shared" si="69"/>
        <v>60.016742944720676</v>
      </c>
      <c r="AC150" s="16">
        <f t="shared" si="52"/>
        <v>0.14620243703955499</v>
      </c>
      <c r="AD150" s="16">
        <f t="shared" si="53"/>
        <v>3.6480417893978934E-2</v>
      </c>
      <c r="AE150" s="23" t="str">
        <f t="shared" si="70"/>
        <v/>
      </c>
      <c r="AF150" s="23" t="str">
        <f t="shared" si="54"/>
        <v/>
      </c>
      <c r="AG150" s="23" t="str">
        <f t="shared" si="55"/>
        <v/>
      </c>
      <c r="AH150" s="23" t="str">
        <f t="shared" si="71"/>
        <v/>
      </c>
      <c r="AI150" s="23" t="str">
        <f t="shared" si="56"/>
        <v/>
      </c>
      <c r="AJ150" s="23" t="str">
        <f t="shared" si="57"/>
        <v/>
      </c>
      <c r="AK150" s="23" t="str">
        <f t="shared" si="58"/>
        <v/>
      </c>
      <c r="AL150" s="23" t="str">
        <f t="shared" si="59"/>
        <v/>
      </c>
      <c r="AM150" s="52">
        <f t="shared" si="60"/>
        <v>0</v>
      </c>
      <c r="AN150" s="26">
        <f t="shared" si="61"/>
        <v>362.90602179404812</v>
      </c>
    </row>
    <row r="151" spans="1:40" x14ac:dyDescent="0.2">
      <c r="A151" s="12">
        <v>44705</v>
      </c>
      <c r="B151" s="6">
        <v>24</v>
      </c>
      <c r="C151" s="6">
        <v>144</v>
      </c>
      <c r="D151" s="6">
        <v>3</v>
      </c>
      <c r="E151" s="6" t="s">
        <v>14</v>
      </c>
      <c r="F151" s="6">
        <v>21</v>
      </c>
      <c r="G151" s="6">
        <v>5</v>
      </c>
      <c r="H151" s="6" t="s">
        <v>21</v>
      </c>
      <c r="I151" s="6">
        <v>2</v>
      </c>
      <c r="J151" s="14">
        <v>17.069432763926145</v>
      </c>
      <c r="K151" s="14">
        <v>61.152444086414562</v>
      </c>
      <c r="L151" s="14">
        <f t="shared" si="62"/>
        <v>1043.8375326828063</v>
      </c>
      <c r="M151" s="16">
        <v>0.67874543382736652</v>
      </c>
      <c r="N151" s="14">
        <f t="shared" si="63"/>
        <v>708.49995896607925</v>
      </c>
      <c r="O151" s="14">
        <f t="shared" si="64"/>
        <v>335.33757371672709</v>
      </c>
      <c r="P151" s="14">
        <v>25.288391299843052</v>
      </c>
      <c r="Q151" s="14">
        <v>10.416792171554009</v>
      </c>
      <c r="R151" s="14">
        <f t="shared" si="48"/>
        <v>12.987012987012987</v>
      </c>
      <c r="S151" s="14">
        <v>38.996651274440637</v>
      </c>
      <c r="T151" s="14">
        <f t="shared" si="65"/>
        <v>730.68627287796437</v>
      </c>
      <c r="U151" s="14">
        <f t="shared" si="49"/>
        <v>42.806710860490192</v>
      </c>
      <c r="V151" s="14">
        <v>39.277951508599699</v>
      </c>
      <c r="W151" s="16">
        <f t="shared" si="66"/>
        <v>0.59075763569547624</v>
      </c>
      <c r="X151" s="16">
        <f t="shared" si="67"/>
        <v>0.43458052439901002</v>
      </c>
      <c r="Y151" s="16">
        <f t="shared" si="68"/>
        <v>0.9696363340390951</v>
      </c>
      <c r="Z151" s="16">
        <f t="shared" si="50"/>
        <v>0.39875599925340016</v>
      </c>
      <c r="AA151" s="16">
        <f t="shared" si="51"/>
        <v>1.2441603774904102E-2</v>
      </c>
      <c r="AB151" s="14">
        <f t="shared" si="69"/>
        <v>42.806710860490192</v>
      </c>
      <c r="AC151" s="16">
        <f t="shared" si="52"/>
        <v>0.17034138744861993</v>
      </c>
      <c r="AD151" s="16">
        <f t="shared" si="53"/>
        <v>2.4226367138618213E-2</v>
      </c>
      <c r="AE151" s="23" t="str">
        <f t="shared" si="70"/>
        <v/>
      </c>
      <c r="AF151" s="23" t="str">
        <f t="shared" si="54"/>
        <v/>
      </c>
      <c r="AG151" s="23" t="str">
        <f t="shared" si="55"/>
        <v/>
      </c>
      <c r="AH151" s="23" t="str">
        <f t="shared" si="71"/>
        <v/>
      </c>
      <c r="AI151" s="23" t="str">
        <f t="shared" si="56"/>
        <v/>
      </c>
      <c r="AJ151" s="23" t="str">
        <f t="shared" si="57"/>
        <v/>
      </c>
      <c r="AK151" s="23" t="str">
        <f t="shared" si="58"/>
        <v/>
      </c>
      <c r="AL151" s="23" t="str">
        <f t="shared" si="59"/>
        <v/>
      </c>
      <c r="AM151" s="52">
        <f t="shared" si="60"/>
        <v>0</v>
      </c>
      <c r="AN151" s="26">
        <f t="shared" si="61"/>
        <v>335.33757371672709</v>
      </c>
    </row>
    <row r="152" spans="1:40" x14ac:dyDescent="0.2">
      <c r="A152" s="12">
        <v>44706</v>
      </c>
      <c r="B152" s="6">
        <v>25</v>
      </c>
      <c r="C152" s="6">
        <v>145</v>
      </c>
      <c r="D152" s="6">
        <v>4</v>
      </c>
      <c r="E152" s="6" t="s">
        <v>15</v>
      </c>
      <c r="F152" s="6">
        <v>21</v>
      </c>
      <c r="G152" s="6">
        <v>5</v>
      </c>
      <c r="H152" s="6" t="s">
        <v>21</v>
      </c>
      <c r="I152" s="6">
        <v>2</v>
      </c>
      <c r="J152" s="14">
        <v>15.496590194069347</v>
      </c>
      <c r="K152" s="14">
        <v>105.04750670339368</v>
      </c>
      <c r="L152" s="14">
        <f t="shared" si="62"/>
        <v>1627.8781622912445</v>
      </c>
      <c r="M152" s="16">
        <v>0.69071059731445439</v>
      </c>
      <c r="N152" s="14">
        <f t="shared" si="63"/>
        <v>1124.3926978313418</v>
      </c>
      <c r="O152" s="14">
        <f t="shared" si="64"/>
        <v>503.48546445990269</v>
      </c>
      <c r="P152" s="14">
        <v>33.471300144941623</v>
      </c>
      <c r="Q152" s="14">
        <v>12.105697522281766</v>
      </c>
      <c r="R152" s="14">
        <f t="shared" si="48"/>
        <v>12.987012987012987</v>
      </c>
      <c r="S152" s="14">
        <v>36.198651207525344</v>
      </c>
      <c r="T152" s="14">
        <f t="shared" si="65"/>
        <v>1139.5147136038711</v>
      </c>
      <c r="U152" s="14">
        <f t="shared" si="49"/>
        <v>73.533254692375579</v>
      </c>
      <c r="V152" s="14">
        <v>39.263153250326432</v>
      </c>
      <c r="W152" s="16">
        <f t="shared" si="66"/>
        <v>0.45518589221934919</v>
      </c>
      <c r="X152" s="16">
        <f t="shared" si="67"/>
        <v>0.3946853197263393</v>
      </c>
      <c r="Y152" s="16">
        <f t="shared" si="68"/>
        <v>0.98672942473493486</v>
      </c>
      <c r="Z152" s="16">
        <f t="shared" si="50"/>
        <v>0.21074261242615902</v>
      </c>
      <c r="AA152" s="16">
        <f t="shared" si="51"/>
        <v>7.9778777600491412E-3</v>
      </c>
      <c r="AB152" s="14">
        <f t="shared" si="69"/>
        <v>73.533254692375579</v>
      </c>
      <c r="AC152" s="16">
        <f t="shared" si="52"/>
        <v>0.11524021751856274</v>
      </c>
      <c r="AD152" s="16">
        <f t="shared" si="53"/>
        <v>2.0561305459021972E-2</v>
      </c>
      <c r="AE152" s="23" t="str">
        <f t="shared" si="70"/>
        <v/>
      </c>
      <c r="AF152" s="23" t="str">
        <f t="shared" si="54"/>
        <v/>
      </c>
      <c r="AG152" s="23" t="str">
        <f t="shared" si="55"/>
        <v/>
      </c>
      <c r="AH152" s="23" t="str">
        <f t="shared" si="71"/>
        <v/>
      </c>
      <c r="AI152" s="23" t="str">
        <f t="shared" si="56"/>
        <v/>
      </c>
      <c r="AJ152" s="23" t="str">
        <f t="shared" si="57"/>
        <v/>
      </c>
      <c r="AK152" s="23">
        <f t="shared" si="58"/>
        <v>83</v>
      </c>
      <c r="AL152" s="23" t="str">
        <f t="shared" si="59"/>
        <v/>
      </c>
      <c r="AM152" s="52">
        <f t="shared" si="60"/>
        <v>83</v>
      </c>
      <c r="AN152" s="26">
        <f t="shared" si="61"/>
        <v>420.48546445990269</v>
      </c>
    </row>
    <row r="153" spans="1:40" x14ac:dyDescent="0.2">
      <c r="A153" s="12">
        <v>44707</v>
      </c>
      <c r="B153" s="6">
        <v>26</v>
      </c>
      <c r="C153" s="6">
        <v>146</v>
      </c>
      <c r="D153" s="6">
        <v>5</v>
      </c>
      <c r="E153" s="6" t="s">
        <v>16</v>
      </c>
      <c r="F153" s="6">
        <v>21</v>
      </c>
      <c r="G153" s="6">
        <v>5</v>
      </c>
      <c r="H153" s="6" t="s">
        <v>21</v>
      </c>
      <c r="I153" s="6">
        <v>2</v>
      </c>
      <c r="J153" s="14">
        <v>14.224237581204981</v>
      </c>
      <c r="K153" s="14">
        <v>31.747258588180909</v>
      </c>
      <c r="L153" s="14">
        <f t="shared" si="62"/>
        <v>451.58054871023546</v>
      </c>
      <c r="M153" s="16">
        <v>0.84574236138597758</v>
      </c>
      <c r="N153" s="14">
        <f t="shared" si="63"/>
        <v>381.92079962217002</v>
      </c>
      <c r="O153" s="14">
        <f t="shared" si="64"/>
        <v>69.659749088065439</v>
      </c>
      <c r="P153" s="14">
        <v>38.105401327596688</v>
      </c>
      <c r="Q153" s="14">
        <v>9.4701557301889636</v>
      </c>
      <c r="R153" s="14">
        <f t="shared" si="48"/>
        <v>12.987012987012987</v>
      </c>
      <c r="S153" s="14">
        <v>30.544581178789887</v>
      </c>
      <c r="T153" s="14">
        <f t="shared" si="65"/>
        <v>316.10638409716478</v>
      </c>
      <c r="U153" s="14">
        <f t="shared" si="49"/>
        <v>22.223081011726631</v>
      </c>
      <c r="V153" s="14">
        <v>44.080393248913012</v>
      </c>
      <c r="W153" s="16">
        <f t="shared" si="66"/>
        <v>1.7146767951522701</v>
      </c>
      <c r="X153" s="16">
        <f t="shared" si="67"/>
        <v>0.32268853639493655</v>
      </c>
      <c r="Y153" s="16">
        <f t="shared" si="68"/>
        <v>1.2082033734085396</v>
      </c>
      <c r="Z153" s="16">
        <f t="shared" si="50"/>
        <v>0.64006595546761336</v>
      </c>
      <c r="AA153" s="16">
        <f t="shared" si="51"/>
        <v>2.8759017686003856E-2</v>
      </c>
      <c r="AB153" s="14">
        <f t="shared" si="69"/>
        <v>22.223081011726631</v>
      </c>
      <c r="AC153" s="16">
        <f t="shared" si="52"/>
        <v>0.29829837760273825</v>
      </c>
      <c r="AD153" s="16">
        <f t="shared" si="53"/>
        <v>8.4382291124872347E-2</v>
      </c>
      <c r="AE153" s="23" t="str">
        <f t="shared" si="70"/>
        <v/>
      </c>
      <c r="AF153" s="23" t="str">
        <f t="shared" si="54"/>
        <v/>
      </c>
      <c r="AG153" s="23" t="str">
        <f t="shared" si="55"/>
        <v/>
      </c>
      <c r="AH153" s="23" t="str">
        <f t="shared" si="71"/>
        <v/>
      </c>
      <c r="AI153" s="23" t="str">
        <f t="shared" si="56"/>
        <v/>
      </c>
      <c r="AJ153" s="23" t="str">
        <f t="shared" si="57"/>
        <v/>
      </c>
      <c r="AK153" s="23" t="str">
        <f t="shared" si="58"/>
        <v/>
      </c>
      <c r="AL153" s="23" t="str">
        <f t="shared" si="59"/>
        <v/>
      </c>
      <c r="AM153" s="52">
        <f t="shared" si="60"/>
        <v>0</v>
      </c>
      <c r="AN153" s="26">
        <f t="shared" si="61"/>
        <v>69.659749088065439</v>
      </c>
    </row>
    <row r="154" spans="1:40" x14ac:dyDescent="0.2">
      <c r="A154" s="12">
        <v>44708</v>
      </c>
      <c r="B154" s="6">
        <v>27</v>
      </c>
      <c r="C154" s="6">
        <v>147</v>
      </c>
      <c r="D154" s="6">
        <v>6</v>
      </c>
      <c r="E154" s="6" t="s">
        <v>17</v>
      </c>
      <c r="F154" s="6">
        <v>21</v>
      </c>
      <c r="G154" s="6">
        <v>5</v>
      </c>
      <c r="H154" s="6" t="s">
        <v>21</v>
      </c>
      <c r="I154" s="6">
        <v>2</v>
      </c>
      <c r="J154" s="14">
        <v>22.557331144244657</v>
      </c>
      <c r="K154" s="14">
        <v>68.948860926134486</v>
      </c>
      <c r="L154" s="14">
        <f t="shared" si="62"/>
        <v>1555.3022879292869</v>
      </c>
      <c r="M154" s="16">
        <v>0.57814682194672429</v>
      </c>
      <c r="N154" s="14">
        <f t="shared" si="63"/>
        <v>899.19307493278632</v>
      </c>
      <c r="O154" s="14">
        <f t="shared" si="64"/>
        <v>656.10921299650056</v>
      </c>
      <c r="P154" s="14">
        <v>27.773565197857877</v>
      </c>
      <c r="Q154" s="14">
        <v>13.633103151136879</v>
      </c>
      <c r="R154" s="14">
        <f t="shared" si="48"/>
        <v>12.987012987012987</v>
      </c>
      <c r="S154" s="14">
        <v>32.661458380223031</v>
      </c>
      <c r="T154" s="14">
        <f t="shared" si="65"/>
        <v>1088.7116015505007</v>
      </c>
      <c r="U154" s="14">
        <f t="shared" si="49"/>
        <v>48.264202648294138</v>
      </c>
      <c r="V154" s="14">
        <v>32.134227987293812</v>
      </c>
      <c r="W154" s="16">
        <f t="shared" si="66"/>
        <v>0.575448545172216</v>
      </c>
      <c r="X154" s="16">
        <f t="shared" si="67"/>
        <v>0.7019720888631289</v>
      </c>
      <c r="Y154" s="16">
        <f t="shared" si="68"/>
        <v>0.82592403135246328</v>
      </c>
      <c r="Z154" s="16">
        <f t="shared" si="50"/>
        <v>0.4673718803275812</v>
      </c>
      <c r="AA154" s="16">
        <f t="shared" si="51"/>
        <v>8.3501535925236507E-3</v>
      </c>
      <c r="AB154" s="14">
        <f t="shared" si="69"/>
        <v>48.264202648294138</v>
      </c>
      <c r="AC154" s="16">
        <f t="shared" si="52"/>
        <v>0.19772775021971922</v>
      </c>
      <c r="AD154" s="16">
        <f t="shared" si="53"/>
        <v>1.7857342211484373E-2</v>
      </c>
      <c r="AE154" s="23" t="str">
        <f t="shared" si="70"/>
        <v/>
      </c>
      <c r="AF154" s="23" t="str">
        <f t="shared" si="54"/>
        <v/>
      </c>
      <c r="AG154" s="23" t="str">
        <f t="shared" si="55"/>
        <v/>
      </c>
      <c r="AH154" s="23" t="str">
        <f t="shared" si="71"/>
        <v/>
      </c>
      <c r="AI154" s="23" t="str">
        <f t="shared" si="56"/>
        <v/>
      </c>
      <c r="AJ154" s="23" t="str">
        <f t="shared" si="57"/>
        <v/>
      </c>
      <c r="AK154" s="23" t="str">
        <f t="shared" si="58"/>
        <v/>
      </c>
      <c r="AL154" s="23" t="str">
        <f t="shared" si="59"/>
        <v/>
      </c>
      <c r="AM154" s="52">
        <f t="shared" si="60"/>
        <v>0</v>
      </c>
      <c r="AN154" s="26">
        <f t="shared" si="61"/>
        <v>656.10921299650056</v>
      </c>
    </row>
    <row r="155" spans="1:40" x14ac:dyDescent="0.2">
      <c r="A155" s="12">
        <v>44709</v>
      </c>
      <c r="B155" s="6">
        <v>28</v>
      </c>
      <c r="C155" s="6">
        <v>148</v>
      </c>
      <c r="D155" s="6">
        <v>7</v>
      </c>
      <c r="E155" s="6" t="s">
        <v>10</v>
      </c>
      <c r="F155" s="6">
        <v>21</v>
      </c>
      <c r="G155" s="6">
        <v>5</v>
      </c>
      <c r="H155" s="6" t="s">
        <v>21</v>
      </c>
      <c r="I155" s="6">
        <v>2</v>
      </c>
      <c r="J155" s="14">
        <v>10.646968644951567</v>
      </c>
      <c r="K155" s="14">
        <v>73.195445138778794</v>
      </c>
      <c r="L155" s="14">
        <f t="shared" si="62"/>
        <v>779.30960934585039</v>
      </c>
      <c r="M155" s="16">
        <v>0.4798044680213463</v>
      </c>
      <c r="N155" s="14">
        <f t="shared" si="63"/>
        <v>373.91623253610896</v>
      </c>
      <c r="O155" s="14">
        <f t="shared" si="64"/>
        <v>405.39337680974143</v>
      </c>
      <c r="P155" s="14">
        <v>48.370842053648929</v>
      </c>
      <c r="Q155" s="14">
        <v>9.1261629749296578</v>
      </c>
      <c r="R155" s="14">
        <f t="shared" si="48"/>
        <v>12.987012987012987</v>
      </c>
      <c r="S155" s="14">
        <v>29.637328526599628</v>
      </c>
      <c r="T155" s="14">
        <f t="shared" si="65"/>
        <v>545.51672654209528</v>
      </c>
      <c r="U155" s="14">
        <f t="shared" si="49"/>
        <v>51.236811597145156</v>
      </c>
      <c r="V155" s="14">
        <v>33.093277313920453</v>
      </c>
      <c r="W155" s="16">
        <f t="shared" si="66"/>
        <v>0.94406424884455697</v>
      </c>
      <c r="X155" s="16">
        <f t="shared" si="67"/>
        <v>0.3217260274331607</v>
      </c>
      <c r="Y155" s="16">
        <f t="shared" si="68"/>
        <v>0.68543495431620904</v>
      </c>
      <c r="Z155" s="16">
        <f t="shared" si="50"/>
        <v>0.20779920360120147</v>
      </c>
      <c r="AA155" s="16">
        <f t="shared" si="51"/>
        <v>1.6664766905561755E-2</v>
      </c>
      <c r="AB155" s="14">
        <f t="shared" si="69"/>
        <v>51.236811597145156</v>
      </c>
      <c r="AC155" s="16">
        <f t="shared" si="52"/>
        <v>0.12468211591071582</v>
      </c>
      <c r="AD155" s="16">
        <f t="shared" si="53"/>
        <v>6.2068838204434866E-2</v>
      </c>
      <c r="AE155" s="23" t="str">
        <f t="shared" si="70"/>
        <v/>
      </c>
      <c r="AF155" s="23" t="str">
        <f t="shared" si="54"/>
        <v/>
      </c>
      <c r="AG155" s="23" t="str">
        <f t="shared" si="55"/>
        <v/>
      </c>
      <c r="AH155" s="23" t="str">
        <f t="shared" si="71"/>
        <v/>
      </c>
      <c r="AI155" s="23" t="str">
        <f t="shared" si="56"/>
        <v/>
      </c>
      <c r="AJ155" s="23" t="str">
        <f t="shared" si="57"/>
        <v/>
      </c>
      <c r="AK155" s="23" t="str">
        <f t="shared" si="58"/>
        <v/>
      </c>
      <c r="AL155" s="23" t="str">
        <f t="shared" si="59"/>
        <v/>
      </c>
      <c r="AM155" s="52">
        <f t="shared" si="60"/>
        <v>0</v>
      </c>
      <c r="AN155" s="26">
        <f t="shared" si="61"/>
        <v>405.39337680974143</v>
      </c>
    </row>
    <row r="156" spans="1:40" x14ac:dyDescent="0.2">
      <c r="A156" s="12">
        <v>44710</v>
      </c>
      <c r="B156" s="6">
        <v>29</v>
      </c>
      <c r="C156" s="6">
        <v>149</v>
      </c>
      <c r="D156" s="6">
        <v>1</v>
      </c>
      <c r="E156" s="6" t="s">
        <v>12</v>
      </c>
      <c r="F156" s="6">
        <v>22</v>
      </c>
      <c r="G156" s="6">
        <v>5</v>
      </c>
      <c r="H156" s="6" t="s">
        <v>21</v>
      </c>
      <c r="I156" s="6">
        <v>2</v>
      </c>
      <c r="J156" s="14">
        <v>4.604121162290256</v>
      </c>
      <c r="K156" s="14">
        <v>21.424735042321554</v>
      </c>
      <c r="L156" s="14">
        <f t="shared" si="62"/>
        <v>98.642076004814299</v>
      </c>
      <c r="M156" s="16">
        <v>0.34684108650359041</v>
      </c>
      <c r="N156" s="14">
        <f t="shared" si="63"/>
        <v>34.213124816479535</v>
      </c>
      <c r="O156" s="14">
        <f t="shared" si="64"/>
        <v>64.428951188334764</v>
      </c>
      <c r="P156" s="14">
        <v>13.809109556851825</v>
      </c>
      <c r="Q156" s="14">
        <v>4.3992901605484018</v>
      </c>
      <c r="R156" s="14">
        <f t="shared" si="48"/>
        <v>28.571428571428573</v>
      </c>
      <c r="S156" s="14">
        <v>13.157621929565764</v>
      </c>
      <c r="T156" s="14">
        <f t="shared" si="65"/>
        <v>69.049453203370007</v>
      </c>
      <c r="U156" s="14">
        <f t="shared" si="49"/>
        <v>14.997314529625088</v>
      </c>
      <c r="V156" s="14">
        <v>14.081516028001603</v>
      </c>
      <c r="W156" s="16">
        <f t="shared" si="66"/>
        <v>0.92077215087900355</v>
      </c>
      <c r="X156" s="16">
        <f t="shared" si="67"/>
        <v>0.32696203683856162</v>
      </c>
      <c r="Y156" s="16">
        <f t="shared" si="68"/>
        <v>0.49548726643370061</v>
      </c>
      <c r="Z156" s="16">
        <f t="shared" si="50"/>
        <v>0.30699637279697384</v>
      </c>
      <c r="AA156" s="16">
        <f t="shared" si="51"/>
        <v>0.2896474783238962</v>
      </c>
      <c r="AB156" s="14">
        <f t="shared" si="69"/>
        <v>14.997314529625088</v>
      </c>
      <c r="AC156" s="16">
        <f t="shared" si="52"/>
        <v>0.2053369692487782</v>
      </c>
      <c r="AD156" s="16">
        <f t="shared" si="53"/>
        <v>0.13999208163641913</v>
      </c>
      <c r="AE156" s="23" t="str">
        <f t="shared" si="70"/>
        <v/>
      </c>
      <c r="AF156" s="23">
        <f t="shared" si="54"/>
        <v>1000</v>
      </c>
      <c r="AG156" s="23" t="str">
        <f t="shared" si="55"/>
        <v/>
      </c>
      <c r="AH156" s="23" t="str">
        <f t="shared" si="71"/>
        <v/>
      </c>
      <c r="AI156" s="23" t="str">
        <f t="shared" si="56"/>
        <v/>
      </c>
      <c r="AJ156" s="23" t="str">
        <f t="shared" si="57"/>
        <v/>
      </c>
      <c r="AK156" s="23" t="str">
        <f t="shared" si="58"/>
        <v/>
      </c>
      <c r="AL156" s="23" t="str">
        <f t="shared" si="59"/>
        <v/>
      </c>
      <c r="AM156" s="52">
        <f t="shared" si="60"/>
        <v>1000</v>
      </c>
      <c r="AN156" s="26">
        <f t="shared" si="61"/>
        <v>-935.57104881166526</v>
      </c>
    </row>
    <row r="157" spans="1:40" x14ac:dyDescent="0.2">
      <c r="A157" s="12">
        <v>44711</v>
      </c>
      <c r="B157" s="6">
        <v>30</v>
      </c>
      <c r="C157" s="6">
        <v>150</v>
      </c>
      <c r="D157" s="6">
        <v>2</v>
      </c>
      <c r="E157" s="6" t="s">
        <v>13</v>
      </c>
      <c r="F157" s="6">
        <v>22</v>
      </c>
      <c r="G157" s="6">
        <v>5</v>
      </c>
      <c r="H157" s="6" t="s">
        <v>21</v>
      </c>
      <c r="I157" s="6">
        <v>2</v>
      </c>
      <c r="J157" s="14">
        <v>0.22517789344591144</v>
      </c>
      <c r="K157" s="14">
        <v>68.730564136702824</v>
      </c>
      <c r="L157" s="14">
        <f t="shared" si="62"/>
        <v>15.476603647651851</v>
      </c>
      <c r="M157" s="16">
        <v>0.7493857262964958</v>
      </c>
      <c r="N157" s="14">
        <f t="shared" si="63"/>
        <v>11.597945865098579</v>
      </c>
      <c r="O157" s="14">
        <f t="shared" si="64"/>
        <v>3.8786577825532724</v>
      </c>
      <c r="P157" s="14">
        <v>28.028463407390234</v>
      </c>
      <c r="Q157" s="14">
        <v>17.222061191874072</v>
      </c>
      <c r="R157" s="14">
        <f t="shared" si="48"/>
        <v>12.987012987012987</v>
      </c>
      <c r="S157" s="14">
        <v>29.353507563718953</v>
      </c>
      <c r="T157" s="14">
        <f t="shared" si="65"/>
        <v>10.833622553356296</v>
      </c>
      <c r="U157" s="14">
        <f t="shared" si="49"/>
        <v>48.11139489569198</v>
      </c>
      <c r="V157" s="14">
        <v>37.831510696896871</v>
      </c>
      <c r="W157" s="16">
        <f t="shared" si="66"/>
        <v>0.5825743250254416</v>
      </c>
      <c r="X157" s="16">
        <f t="shared" si="67"/>
        <v>5.9521253393769883E-3</v>
      </c>
      <c r="Y157" s="16">
        <f t="shared" si="68"/>
        <v>1.0705510375664227</v>
      </c>
      <c r="Z157" s="16">
        <f t="shared" si="50"/>
        <v>4.6803443120722E-3</v>
      </c>
      <c r="AA157" s="16">
        <f t="shared" si="51"/>
        <v>0.83913843648657427</v>
      </c>
      <c r="AB157" s="14">
        <f t="shared" si="69"/>
        <v>48.11139489569198</v>
      </c>
      <c r="AC157" s="16">
        <f t="shared" si="52"/>
        <v>0.25057354625549066</v>
      </c>
      <c r="AD157" s="16">
        <f t="shared" si="53"/>
        <v>1.8110215939814924</v>
      </c>
      <c r="AE157" s="23" t="str">
        <f t="shared" si="70"/>
        <v/>
      </c>
      <c r="AF157" s="23" t="str">
        <f t="shared" si="54"/>
        <v/>
      </c>
      <c r="AG157" s="23" t="str">
        <f t="shared" si="55"/>
        <v/>
      </c>
      <c r="AH157" s="23" t="str">
        <f t="shared" si="71"/>
        <v/>
      </c>
      <c r="AI157" s="23" t="str">
        <f t="shared" si="56"/>
        <v/>
      </c>
      <c r="AJ157" s="23" t="str">
        <f t="shared" si="57"/>
        <v/>
      </c>
      <c r="AK157" s="23" t="str">
        <f t="shared" si="58"/>
        <v/>
      </c>
      <c r="AL157" s="23" t="str">
        <f t="shared" si="59"/>
        <v/>
      </c>
      <c r="AM157" s="52">
        <f t="shared" si="60"/>
        <v>0</v>
      </c>
      <c r="AN157" s="26">
        <f t="shared" si="61"/>
        <v>3.8786577825532724</v>
      </c>
    </row>
    <row r="158" spans="1:40" x14ac:dyDescent="0.2">
      <c r="A158" s="12">
        <v>44712</v>
      </c>
      <c r="B158" s="6">
        <v>31</v>
      </c>
      <c r="C158" s="6">
        <v>151</v>
      </c>
      <c r="D158" s="6">
        <v>3</v>
      </c>
      <c r="E158" s="6" t="s">
        <v>14</v>
      </c>
      <c r="F158" s="6">
        <v>22</v>
      </c>
      <c r="G158" s="6">
        <v>5</v>
      </c>
      <c r="H158" s="6" t="s">
        <v>21</v>
      </c>
      <c r="I158" s="6">
        <v>2</v>
      </c>
      <c r="J158" s="14">
        <v>20.795194832562931</v>
      </c>
      <c r="K158" s="14">
        <v>50.069764007138652</v>
      </c>
      <c r="L158" s="14">
        <f t="shared" si="62"/>
        <v>1041.210497748895</v>
      </c>
      <c r="M158" s="16">
        <v>0.59724612248341113</v>
      </c>
      <c r="N158" s="14">
        <f t="shared" si="63"/>
        <v>621.85893246955004</v>
      </c>
      <c r="O158" s="14">
        <f t="shared" si="64"/>
        <v>419.35156527934498</v>
      </c>
      <c r="P158" s="14">
        <v>37.221494601070169</v>
      </c>
      <c r="Q158" s="14">
        <v>19.242968484119729</v>
      </c>
      <c r="R158" s="14">
        <f t="shared" si="48"/>
        <v>12.987012987012987</v>
      </c>
      <c r="S158" s="14">
        <v>33.191381982825519</v>
      </c>
      <c r="T158" s="14">
        <f t="shared" si="65"/>
        <v>728.84734842422642</v>
      </c>
      <c r="U158" s="14">
        <f t="shared" si="49"/>
        <v>35.04883480499705</v>
      </c>
      <c r="V158" s="14">
        <v>27.48355207386221</v>
      </c>
      <c r="W158" s="16">
        <f t="shared" si="66"/>
        <v>1.0619895014530798</v>
      </c>
      <c r="X158" s="16">
        <f t="shared" si="67"/>
        <v>0.75664145510288194</v>
      </c>
      <c r="Y158" s="16">
        <f t="shared" si="68"/>
        <v>0.85320874640487321</v>
      </c>
      <c r="Z158" s="16">
        <f t="shared" si="50"/>
        <v>0.59332057537039939</v>
      </c>
      <c r="AA158" s="16">
        <f t="shared" si="51"/>
        <v>1.2472994668312514E-2</v>
      </c>
      <c r="AB158" s="14">
        <f t="shared" si="69"/>
        <v>35.04883480499705</v>
      </c>
      <c r="AC158" s="16">
        <f t="shared" si="52"/>
        <v>0.38432313124895456</v>
      </c>
      <c r="AD158" s="16">
        <f t="shared" si="53"/>
        <v>3.5748289785344389E-2</v>
      </c>
      <c r="AE158" s="23" t="str">
        <f t="shared" si="70"/>
        <v/>
      </c>
      <c r="AF158" s="23" t="str">
        <f t="shared" si="54"/>
        <v/>
      </c>
      <c r="AG158" s="23" t="str">
        <f t="shared" si="55"/>
        <v/>
      </c>
      <c r="AH158" s="23" t="str">
        <f t="shared" si="71"/>
        <v/>
      </c>
      <c r="AI158" s="23" t="str">
        <f t="shared" si="56"/>
        <v/>
      </c>
      <c r="AJ158" s="23" t="str">
        <f t="shared" si="57"/>
        <v/>
      </c>
      <c r="AK158" s="23" t="str">
        <f t="shared" si="58"/>
        <v/>
      </c>
      <c r="AL158" s="23" t="str">
        <f t="shared" si="59"/>
        <v/>
      </c>
      <c r="AM158" s="52">
        <f t="shared" si="60"/>
        <v>0</v>
      </c>
      <c r="AN158" s="26">
        <f t="shared" si="61"/>
        <v>419.35156527934498</v>
      </c>
    </row>
    <row r="159" spans="1:40" x14ac:dyDescent="0.2">
      <c r="A159" s="12">
        <v>44713</v>
      </c>
      <c r="B159" s="6">
        <v>1</v>
      </c>
      <c r="C159" s="6">
        <v>152</v>
      </c>
      <c r="D159" s="6">
        <v>4</v>
      </c>
      <c r="E159" s="6" t="s">
        <v>15</v>
      </c>
      <c r="F159" s="6">
        <v>22</v>
      </c>
      <c r="G159" s="6">
        <v>6</v>
      </c>
      <c r="H159" s="6" t="s">
        <v>22</v>
      </c>
      <c r="I159" s="6">
        <v>2</v>
      </c>
      <c r="J159" s="14">
        <v>22.258233724957506</v>
      </c>
      <c r="K159" s="14">
        <v>55.473741056595898</v>
      </c>
      <c r="L159" s="14">
        <f t="shared" si="62"/>
        <v>1234.7474940354828</v>
      </c>
      <c r="M159" s="16">
        <v>0.57808223774902356</v>
      </c>
      <c r="N159" s="14">
        <f t="shared" si="63"/>
        <v>713.785594407031</v>
      </c>
      <c r="O159" s="14">
        <f t="shared" si="64"/>
        <v>520.96189962845176</v>
      </c>
      <c r="P159" s="14">
        <v>33.627981290428174</v>
      </c>
      <c r="Q159" s="14">
        <v>13.128175207296925</v>
      </c>
      <c r="R159" s="14">
        <f t="shared" si="48"/>
        <v>12.987012987012987</v>
      </c>
      <c r="S159" s="14">
        <v>32.84401840226375</v>
      </c>
      <c r="T159" s="14">
        <f t="shared" si="65"/>
        <v>864.32324582483784</v>
      </c>
      <c r="U159" s="14">
        <f t="shared" si="49"/>
        <v>38.831618739617127</v>
      </c>
      <c r="V159" s="14">
        <v>33.598388850234755</v>
      </c>
      <c r="W159" s="16">
        <f t="shared" si="66"/>
        <v>0.86599483570124636</v>
      </c>
      <c r="X159" s="16">
        <f t="shared" si="67"/>
        <v>0.66247919875485295</v>
      </c>
      <c r="Y159" s="16">
        <f t="shared" si="68"/>
        <v>0.82583176821289084</v>
      </c>
      <c r="Z159" s="16">
        <f t="shared" si="50"/>
        <v>0.57319870887197966</v>
      </c>
      <c r="AA159" s="16">
        <f t="shared" si="51"/>
        <v>1.0517950471450628E-2</v>
      </c>
      <c r="AB159" s="14">
        <f t="shared" si="69"/>
        <v>38.831618739617127</v>
      </c>
      <c r="AC159" s="16">
        <f t="shared" si="52"/>
        <v>0.23665566729857257</v>
      </c>
      <c r="AD159" s="16">
        <f t="shared" si="53"/>
        <v>2.7234703008404578E-2</v>
      </c>
      <c r="AE159" s="23">
        <f t="shared" si="70"/>
        <v>3000</v>
      </c>
      <c r="AF159" s="23" t="str">
        <f t="shared" si="54"/>
        <v/>
      </c>
      <c r="AG159" s="23" t="str">
        <f t="shared" si="55"/>
        <v/>
      </c>
      <c r="AH159" s="23" t="str">
        <f t="shared" si="71"/>
        <v/>
      </c>
      <c r="AI159" s="23" t="str">
        <f t="shared" si="56"/>
        <v/>
      </c>
      <c r="AJ159" s="23" t="str">
        <f t="shared" si="57"/>
        <v/>
      </c>
      <c r="AK159" s="23" t="str">
        <f t="shared" si="58"/>
        <v/>
      </c>
      <c r="AL159" s="23" t="str">
        <f t="shared" si="59"/>
        <v/>
      </c>
      <c r="AM159" s="52">
        <f t="shared" si="60"/>
        <v>3000</v>
      </c>
      <c r="AN159" s="26">
        <f t="shared" si="61"/>
        <v>-2479.0381003715484</v>
      </c>
    </row>
    <row r="160" spans="1:40" x14ac:dyDescent="0.2">
      <c r="A160" s="12">
        <v>44714</v>
      </c>
      <c r="B160" s="6">
        <v>2</v>
      </c>
      <c r="C160" s="6">
        <v>153</v>
      </c>
      <c r="D160" s="6">
        <v>5</v>
      </c>
      <c r="E160" s="6" t="s">
        <v>16</v>
      </c>
      <c r="F160" s="6">
        <v>22</v>
      </c>
      <c r="G160" s="6">
        <v>6</v>
      </c>
      <c r="H160" s="6" t="s">
        <v>22</v>
      </c>
      <c r="I160" s="6">
        <v>2</v>
      </c>
      <c r="J160" s="14">
        <v>22.161915908735256</v>
      </c>
      <c r="K160" s="14">
        <v>66.787419247105476</v>
      </c>
      <c r="L160" s="14">
        <f t="shared" si="62"/>
        <v>1480.1371691157981</v>
      </c>
      <c r="M160" s="16">
        <v>0.84668547431343699</v>
      </c>
      <c r="N160" s="14">
        <f t="shared" si="63"/>
        <v>1253.2106410817573</v>
      </c>
      <c r="O160" s="14">
        <f t="shared" si="64"/>
        <v>226.92652803404076</v>
      </c>
      <c r="P160" s="14">
        <v>44.396813344584558</v>
      </c>
      <c r="Q160" s="14">
        <v>15.089843780674785</v>
      </c>
      <c r="R160" s="14">
        <f t="shared" si="48"/>
        <v>12.987012987012987</v>
      </c>
      <c r="S160" s="14">
        <v>31.311694838539889</v>
      </c>
      <c r="T160" s="14">
        <f t="shared" si="65"/>
        <v>1036.0960183810587</v>
      </c>
      <c r="U160" s="14">
        <f t="shared" si="49"/>
        <v>46.751193472973831</v>
      </c>
      <c r="V160" s="14">
        <v>30.573037968838232</v>
      </c>
      <c r="W160" s="16">
        <f t="shared" si="66"/>
        <v>0.94964021336160531</v>
      </c>
      <c r="X160" s="16">
        <f t="shared" si="67"/>
        <v>0.72488432230136679</v>
      </c>
      <c r="Y160" s="16">
        <f t="shared" si="68"/>
        <v>1.2095506775906242</v>
      </c>
      <c r="Z160" s="16">
        <f t="shared" si="50"/>
        <v>0.47403957551472414</v>
      </c>
      <c r="AA160" s="16">
        <f t="shared" si="51"/>
        <v>8.7741955664630382E-3</v>
      </c>
      <c r="AB160" s="14">
        <f t="shared" si="69"/>
        <v>46.751193472973831</v>
      </c>
      <c r="AC160" s="16">
        <f t="shared" si="52"/>
        <v>0.22593841700701392</v>
      </c>
      <c r="AD160" s="16">
        <f t="shared" si="53"/>
        <v>2.9995066856611845E-2</v>
      </c>
      <c r="AE160" s="23" t="str">
        <f t="shared" si="70"/>
        <v/>
      </c>
      <c r="AF160" s="23" t="str">
        <f t="shared" si="54"/>
        <v/>
      </c>
      <c r="AG160" s="23" t="str">
        <f t="shared" si="55"/>
        <v/>
      </c>
      <c r="AH160" s="23" t="str">
        <f t="shared" si="71"/>
        <v/>
      </c>
      <c r="AI160" s="23" t="str">
        <f t="shared" si="56"/>
        <v/>
      </c>
      <c r="AJ160" s="23" t="str">
        <f t="shared" si="57"/>
        <v/>
      </c>
      <c r="AK160" s="23" t="str">
        <f t="shared" si="58"/>
        <v/>
      </c>
      <c r="AL160" s="23" t="str">
        <f t="shared" si="59"/>
        <v/>
      </c>
      <c r="AM160" s="52">
        <f t="shared" si="60"/>
        <v>0</v>
      </c>
      <c r="AN160" s="26">
        <f t="shared" si="61"/>
        <v>226.92652803404076</v>
      </c>
    </row>
    <row r="161" spans="1:40" x14ac:dyDescent="0.2">
      <c r="A161" s="12">
        <v>44715</v>
      </c>
      <c r="B161" s="6">
        <v>3</v>
      </c>
      <c r="C161" s="6">
        <v>154</v>
      </c>
      <c r="D161" s="6">
        <v>6</v>
      </c>
      <c r="E161" s="6" t="s">
        <v>17</v>
      </c>
      <c r="F161" s="6">
        <v>22</v>
      </c>
      <c r="G161" s="6">
        <v>6</v>
      </c>
      <c r="H161" s="6" t="s">
        <v>22</v>
      </c>
      <c r="I161" s="6">
        <v>2</v>
      </c>
      <c r="J161" s="14">
        <v>19.023258958159893</v>
      </c>
      <c r="K161" s="14">
        <v>96.551591998201005</v>
      </c>
      <c r="L161" s="14">
        <f t="shared" si="62"/>
        <v>1836.7259374043763</v>
      </c>
      <c r="M161" s="16">
        <v>0.42692664839509648</v>
      </c>
      <c r="N161" s="14">
        <f t="shared" si="63"/>
        <v>784.14724847639218</v>
      </c>
      <c r="O161" s="14">
        <f t="shared" si="64"/>
        <v>1052.5786889279841</v>
      </c>
      <c r="P161" s="14">
        <v>36.121210592276327</v>
      </c>
      <c r="Q161" s="14">
        <v>19.0169046792792</v>
      </c>
      <c r="R161" s="14">
        <f t="shared" si="48"/>
        <v>12.987012987012987</v>
      </c>
      <c r="S161" s="14">
        <v>33.646797966819335</v>
      </c>
      <c r="T161" s="14">
        <f t="shared" si="65"/>
        <v>1285.7081561830632</v>
      </c>
      <c r="U161" s="14">
        <f t="shared" si="49"/>
        <v>67.58611439874069</v>
      </c>
      <c r="V161" s="14">
        <v>30.300445804174309</v>
      </c>
      <c r="W161" s="16">
        <f t="shared" si="66"/>
        <v>0.53444721469221435</v>
      </c>
      <c r="X161" s="16">
        <f t="shared" si="67"/>
        <v>0.62782109151473853</v>
      </c>
      <c r="Y161" s="16">
        <f t="shared" si="68"/>
        <v>0.60989521199299512</v>
      </c>
      <c r="Z161" s="16">
        <f t="shared" si="50"/>
        <v>0.28146697183873537</v>
      </c>
      <c r="AA161" s="16">
        <f t="shared" si="51"/>
        <v>7.070740779849807E-3</v>
      </c>
      <c r="AB161" s="14">
        <f t="shared" si="69"/>
        <v>67.58611439874069</v>
      </c>
      <c r="AC161" s="16">
        <f t="shared" si="52"/>
        <v>0.19696106802292326</v>
      </c>
      <c r="AD161" s="16">
        <f t="shared" si="53"/>
        <v>1.9666086189931029E-2</v>
      </c>
      <c r="AE161" s="23" t="str">
        <f t="shared" si="70"/>
        <v/>
      </c>
      <c r="AF161" s="23" t="str">
        <f t="shared" si="54"/>
        <v/>
      </c>
      <c r="AG161" s="23" t="str">
        <f t="shared" si="55"/>
        <v/>
      </c>
      <c r="AH161" s="23" t="str">
        <f t="shared" si="71"/>
        <v/>
      </c>
      <c r="AI161" s="23" t="str">
        <f t="shared" si="56"/>
        <v/>
      </c>
      <c r="AJ161" s="23" t="str">
        <f t="shared" si="57"/>
        <v/>
      </c>
      <c r="AK161" s="23" t="str">
        <f t="shared" si="58"/>
        <v/>
      </c>
      <c r="AL161" s="23" t="str">
        <f t="shared" si="59"/>
        <v/>
      </c>
      <c r="AM161" s="52">
        <f t="shared" si="60"/>
        <v>0</v>
      </c>
      <c r="AN161" s="26">
        <f t="shared" si="61"/>
        <v>1052.5786889279841</v>
      </c>
    </row>
    <row r="162" spans="1:40" x14ac:dyDescent="0.2">
      <c r="A162" s="12">
        <v>44716</v>
      </c>
      <c r="B162" s="6">
        <v>4</v>
      </c>
      <c r="C162" s="6">
        <v>155</v>
      </c>
      <c r="D162" s="6">
        <v>7</v>
      </c>
      <c r="E162" s="6" t="s">
        <v>10</v>
      </c>
      <c r="F162" s="6">
        <v>22</v>
      </c>
      <c r="G162" s="6">
        <v>6</v>
      </c>
      <c r="H162" s="6" t="s">
        <v>22</v>
      </c>
      <c r="I162" s="6">
        <v>2</v>
      </c>
      <c r="J162" s="14">
        <v>23.54270740956094</v>
      </c>
      <c r="K162" s="14">
        <v>41.734344608179939</v>
      </c>
      <c r="L162" s="14">
        <f t="shared" si="62"/>
        <v>982.53946404016745</v>
      </c>
      <c r="M162" s="16">
        <v>0.99785529665192774</v>
      </c>
      <c r="N162" s="14">
        <f t="shared" si="63"/>
        <v>980.43220836202738</v>
      </c>
      <c r="O162" s="14">
        <f t="shared" si="64"/>
        <v>2.1072556781400635</v>
      </c>
      <c r="P162" s="14">
        <v>28.185747356201528</v>
      </c>
      <c r="Q162" s="14">
        <v>17.361124582002461</v>
      </c>
      <c r="R162" s="14">
        <f t="shared" si="48"/>
        <v>12.987012987012987</v>
      </c>
      <c r="S162" s="14">
        <v>33.054955780703523</v>
      </c>
      <c r="T162" s="14">
        <f t="shared" si="65"/>
        <v>687.77762482811715</v>
      </c>
      <c r="U162" s="14">
        <f t="shared" si="49"/>
        <v>29.214041225725953</v>
      </c>
      <c r="V162" s="14">
        <v>35.749084068175044</v>
      </c>
      <c r="W162" s="16">
        <f t="shared" si="66"/>
        <v>0.96480138226754786</v>
      </c>
      <c r="X162" s="16">
        <f t="shared" si="67"/>
        <v>0.65855414266457801</v>
      </c>
      <c r="Y162" s="16">
        <f t="shared" si="68"/>
        <v>1.4255075666456112</v>
      </c>
      <c r="Z162" s="16">
        <f t="shared" si="50"/>
        <v>0.80586958947771925</v>
      </c>
      <c r="AA162" s="16">
        <f t="shared" si="51"/>
        <v>1.3217802910033608E-2</v>
      </c>
      <c r="AB162" s="14">
        <f t="shared" si="69"/>
        <v>29.214041225725953</v>
      </c>
      <c r="AC162" s="16">
        <f t="shared" si="52"/>
        <v>0.41599130751893199</v>
      </c>
      <c r="AD162" s="16">
        <f t="shared" si="53"/>
        <v>2.8686631313822993E-2</v>
      </c>
      <c r="AE162" s="23" t="str">
        <f t="shared" si="70"/>
        <v/>
      </c>
      <c r="AF162" s="23" t="str">
        <f t="shared" si="54"/>
        <v/>
      </c>
      <c r="AG162" s="23" t="str">
        <f t="shared" si="55"/>
        <v/>
      </c>
      <c r="AH162" s="23" t="str">
        <f t="shared" si="71"/>
        <v/>
      </c>
      <c r="AI162" s="23" t="str">
        <f t="shared" si="56"/>
        <v/>
      </c>
      <c r="AJ162" s="23" t="str">
        <f t="shared" si="57"/>
        <v/>
      </c>
      <c r="AK162" s="23" t="str">
        <f t="shared" si="58"/>
        <v/>
      </c>
      <c r="AL162" s="23" t="str">
        <f t="shared" si="59"/>
        <v/>
      </c>
      <c r="AM162" s="52">
        <f t="shared" si="60"/>
        <v>0</v>
      </c>
      <c r="AN162" s="26">
        <f t="shared" si="61"/>
        <v>2.1072556781400635</v>
      </c>
    </row>
    <row r="163" spans="1:40" x14ac:dyDescent="0.2">
      <c r="A163" s="12">
        <v>44717</v>
      </c>
      <c r="B163" s="6">
        <v>5</v>
      </c>
      <c r="C163" s="6">
        <v>156</v>
      </c>
      <c r="D163" s="6">
        <v>1</v>
      </c>
      <c r="E163" s="6" t="s">
        <v>12</v>
      </c>
      <c r="F163" s="6">
        <v>23</v>
      </c>
      <c r="G163" s="6">
        <v>6</v>
      </c>
      <c r="H163" s="6" t="s">
        <v>22</v>
      </c>
      <c r="I163" s="6">
        <v>2</v>
      </c>
      <c r="J163" s="14">
        <v>5.4900949341694902</v>
      </c>
      <c r="K163" s="14">
        <v>27.937863784371928</v>
      </c>
      <c r="L163" s="14">
        <f t="shared" si="62"/>
        <v>153.38152443409757</v>
      </c>
      <c r="M163" s="16">
        <v>0.28738916006920756</v>
      </c>
      <c r="N163" s="14">
        <f t="shared" si="63"/>
        <v>44.080187477249936</v>
      </c>
      <c r="O163" s="14">
        <f t="shared" si="64"/>
        <v>109.30133695684763</v>
      </c>
      <c r="P163" s="14">
        <v>20.072206615182942</v>
      </c>
      <c r="Q163" s="14">
        <v>5.6317005701084577</v>
      </c>
      <c r="R163" s="14">
        <f t="shared" si="48"/>
        <v>28.571428571428573</v>
      </c>
      <c r="S163" s="14">
        <v>16.703821917190357</v>
      </c>
      <c r="T163" s="14">
        <f t="shared" si="65"/>
        <v>107.36706710386829</v>
      </c>
      <c r="U163" s="14">
        <f t="shared" si="49"/>
        <v>19.556504649060347</v>
      </c>
      <c r="V163" s="14">
        <v>11.569493560461435</v>
      </c>
      <c r="W163" s="16">
        <f t="shared" si="66"/>
        <v>1.0263698434549946</v>
      </c>
      <c r="X163" s="16">
        <f t="shared" si="67"/>
        <v>0.47453200137746776</v>
      </c>
      <c r="Y163" s="16">
        <f t="shared" si="68"/>
        <v>0.41055594295601083</v>
      </c>
      <c r="Z163" s="16">
        <f t="shared" si="50"/>
        <v>0.28072986623574775</v>
      </c>
      <c r="AA163" s="16">
        <f t="shared" si="51"/>
        <v>0.18627685881231851</v>
      </c>
      <c r="AB163" s="14">
        <f t="shared" si="69"/>
        <v>19.556504649060347</v>
      </c>
      <c r="AC163" s="16">
        <f t="shared" si="52"/>
        <v>0.20157949847471004</v>
      </c>
      <c r="AD163" s="16">
        <f t="shared" si="53"/>
        <v>0.13086456591978413</v>
      </c>
      <c r="AE163" s="23" t="str">
        <f t="shared" si="70"/>
        <v/>
      </c>
      <c r="AF163" s="23">
        <f t="shared" si="54"/>
        <v>1000</v>
      </c>
      <c r="AG163" s="23" t="str">
        <f t="shared" si="55"/>
        <v/>
      </c>
      <c r="AH163" s="23" t="str">
        <f t="shared" si="71"/>
        <v/>
      </c>
      <c r="AI163" s="23" t="str">
        <f t="shared" si="56"/>
        <v/>
      </c>
      <c r="AJ163" s="23" t="str">
        <f t="shared" si="57"/>
        <v/>
      </c>
      <c r="AK163" s="23" t="str">
        <f t="shared" si="58"/>
        <v/>
      </c>
      <c r="AL163" s="23">
        <f t="shared" si="59"/>
        <v>1000</v>
      </c>
      <c r="AM163" s="52">
        <f t="shared" si="60"/>
        <v>2000</v>
      </c>
      <c r="AN163" s="26">
        <f t="shared" si="61"/>
        <v>-1890.6986630431525</v>
      </c>
    </row>
    <row r="164" spans="1:40" x14ac:dyDescent="0.2">
      <c r="A164" s="12">
        <v>44718</v>
      </c>
      <c r="B164" s="6">
        <v>6</v>
      </c>
      <c r="C164" s="6">
        <v>157</v>
      </c>
      <c r="D164" s="6">
        <v>2</v>
      </c>
      <c r="E164" s="6" t="s">
        <v>13</v>
      </c>
      <c r="F164" s="6">
        <v>23</v>
      </c>
      <c r="G164" s="6">
        <v>6</v>
      </c>
      <c r="H164" s="6" t="s">
        <v>22</v>
      </c>
      <c r="I164" s="6">
        <v>2</v>
      </c>
      <c r="J164" s="14">
        <v>17.585405193459174</v>
      </c>
      <c r="K164" s="14">
        <v>17.563178849845986</v>
      </c>
      <c r="L164" s="14">
        <f t="shared" si="62"/>
        <v>308.8556165597339</v>
      </c>
      <c r="M164" s="16">
        <v>0.654953240489901</v>
      </c>
      <c r="N164" s="14">
        <f t="shared" si="63"/>
        <v>202.28598690930406</v>
      </c>
      <c r="O164" s="14">
        <f t="shared" si="64"/>
        <v>106.56962965042985</v>
      </c>
      <c r="P164" s="14">
        <v>33.968910719959609</v>
      </c>
      <c r="Q164" s="14">
        <v>10.4981936866907</v>
      </c>
      <c r="R164" s="14">
        <f t="shared" si="48"/>
        <v>12.987012987012987</v>
      </c>
      <c r="S164" s="14">
        <v>35.340357050490738</v>
      </c>
      <c r="T164" s="14">
        <f t="shared" si="65"/>
        <v>216.19893159181373</v>
      </c>
      <c r="U164" s="14">
        <f t="shared" si="49"/>
        <v>12.29422519489219</v>
      </c>
      <c r="V164" s="14">
        <v>28.410418427175081</v>
      </c>
      <c r="W164" s="16">
        <f t="shared" si="66"/>
        <v>2.7629972756699197</v>
      </c>
      <c r="X164" s="16">
        <f t="shared" si="67"/>
        <v>0.61897733884265549</v>
      </c>
      <c r="Y164" s="16">
        <f t="shared" si="68"/>
        <v>0.9356474864141443</v>
      </c>
      <c r="Z164" s="16">
        <f t="shared" si="50"/>
        <v>1.4303792971650853</v>
      </c>
      <c r="AA164" s="16">
        <f t="shared" si="51"/>
        <v>4.2048815986162412E-2</v>
      </c>
      <c r="AB164" s="14">
        <f t="shared" si="69"/>
        <v>12.29422519489219</v>
      </c>
      <c r="AC164" s="16">
        <f t="shared" si="52"/>
        <v>0.59773881348266056</v>
      </c>
      <c r="AD164" s="16">
        <f t="shared" si="53"/>
        <v>0.10998314066077503</v>
      </c>
      <c r="AE164" s="23" t="str">
        <f t="shared" si="70"/>
        <v/>
      </c>
      <c r="AF164" s="23" t="str">
        <f t="shared" si="54"/>
        <v/>
      </c>
      <c r="AG164" s="23" t="str">
        <f t="shared" si="55"/>
        <v/>
      </c>
      <c r="AH164" s="23" t="str">
        <f t="shared" si="71"/>
        <v/>
      </c>
      <c r="AI164" s="23" t="str">
        <f t="shared" si="56"/>
        <v/>
      </c>
      <c r="AJ164" s="23" t="str">
        <f t="shared" si="57"/>
        <v/>
      </c>
      <c r="AK164" s="23" t="str">
        <f t="shared" si="58"/>
        <v/>
      </c>
      <c r="AL164" s="23" t="str">
        <f t="shared" si="59"/>
        <v/>
      </c>
      <c r="AM164" s="52">
        <f t="shared" si="60"/>
        <v>0</v>
      </c>
      <c r="AN164" s="26">
        <f t="shared" si="61"/>
        <v>106.56962965042985</v>
      </c>
    </row>
    <row r="165" spans="1:40" x14ac:dyDescent="0.2">
      <c r="A165" s="12">
        <v>44719</v>
      </c>
      <c r="B165" s="6">
        <v>7</v>
      </c>
      <c r="C165" s="6">
        <v>158</v>
      </c>
      <c r="D165" s="6">
        <v>3</v>
      </c>
      <c r="E165" s="6" t="s">
        <v>14</v>
      </c>
      <c r="F165" s="6">
        <v>23</v>
      </c>
      <c r="G165" s="6">
        <v>6</v>
      </c>
      <c r="H165" s="6" t="s">
        <v>22</v>
      </c>
      <c r="I165" s="6">
        <v>2</v>
      </c>
      <c r="J165" s="14">
        <v>11.414878927872348</v>
      </c>
      <c r="K165" s="14">
        <v>86.089874486203797</v>
      </c>
      <c r="L165" s="14">
        <f t="shared" si="62"/>
        <v>982.70549417574296</v>
      </c>
      <c r="M165" s="16">
        <v>0.51405349067958961</v>
      </c>
      <c r="N165" s="14">
        <f t="shared" si="63"/>
        <v>505.16318959105178</v>
      </c>
      <c r="O165" s="14">
        <f t="shared" si="64"/>
        <v>477.54230458469118</v>
      </c>
      <c r="P165" s="14">
        <v>30.461870243102712</v>
      </c>
      <c r="Q165" s="14">
        <v>18.091353632222564</v>
      </c>
      <c r="R165" s="14">
        <f t="shared" si="48"/>
        <v>12.987012987012987</v>
      </c>
      <c r="S165" s="14">
        <v>37.238083079661628</v>
      </c>
      <c r="T165" s="14">
        <f t="shared" si="65"/>
        <v>687.89384592302008</v>
      </c>
      <c r="U165" s="14">
        <f t="shared" si="49"/>
        <v>60.262912140342657</v>
      </c>
      <c r="V165" s="14">
        <v>30.871470506295381</v>
      </c>
      <c r="W165" s="16">
        <f t="shared" si="66"/>
        <v>0.50548287763063793</v>
      </c>
      <c r="X165" s="16">
        <f t="shared" si="67"/>
        <v>0.36975494657906233</v>
      </c>
      <c r="Y165" s="16">
        <f t="shared" si="68"/>
        <v>0.73436212954227087</v>
      </c>
      <c r="Z165" s="16">
        <f t="shared" si="50"/>
        <v>0.18941797736705662</v>
      </c>
      <c r="AA165" s="16">
        <f t="shared" si="51"/>
        <v>1.3215569734761698E-2</v>
      </c>
      <c r="AB165" s="14">
        <f t="shared" si="69"/>
        <v>60.262912140342657</v>
      </c>
      <c r="AC165" s="16">
        <f t="shared" si="52"/>
        <v>0.2101449646685426</v>
      </c>
      <c r="AD165" s="16">
        <f t="shared" si="53"/>
        <v>3.0997964724571937E-2</v>
      </c>
      <c r="AE165" s="23" t="str">
        <f t="shared" si="70"/>
        <v/>
      </c>
      <c r="AF165" s="23" t="str">
        <f t="shared" si="54"/>
        <v/>
      </c>
      <c r="AG165" s="23" t="str">
        <f t="shared" si="55"/>
        <v/>
      </c>
      <c r="AH165" s="23" t="str">
        <f t="shared" si="71"/>
        <v/>
      </c>
      <c r="AI165" s="23" t="str">
        <f t="shared" si="56"/>
        <v/>
      </c>
      <c r="AJ165" s="23" t="str">
        <f t="shared" si="57"/>
        <v/>
      </c>
      <c r="AK165" s="23" t="str">
        <f t="shared" si="58"/>
        <v/>
      </c>
      <c r="AL165" s="23" t="str">
        <f t="shared" si="59"/>
        <v/>
      </c>
      <c r="AM165" s="52">
        <f t="shared" si="60"/>
        <v>0</v>
      </c>
      <c r="AN165" s="26">
        <f t="shared" si="61"/>
        <v>477.54230458469118</v>
      </c>
    </row>
    <row r="166" spans="1:40" x14ac:dyDescent="0.2">
      <c r="A166" s="12">
        <v>44720</v>
      </c>
      <c r="B166" s="6">
        <v>8</v>
      </c>
      <c r="C166" s="6">
        <v>159</v>
      </c>
      <c r="D166" s="6">
        <v>4</v>
      </c>
      <c r="E166" s="6" t="s">
        <v>15</v>
      </c>
      <c r="F166" s="6">
        <v>23</v>
      </c>
      <c r="G166" s="6">
        <v>6</v>
      </c>
      <c r="H166" s="6" t="s">
        <v>22</v>
      </c>
      <c r="I166" s="6">
        <v>2</v>
      </c>
      <c r="J166" s="14">
        <v>1.0264280451801078</v>
      </c>
      <c r="K166" s="14">
        <v>72.306975463709961</v>
      </c>
      <c r="L166" s="14">
        <f t="shared" si="62"/>
        <v>74.217907478101836</v>
      </c>
      <c r="M166" s="16">
        <v>0.72383221414356691</v>
      </c>
      <c r="N166" s="14">
        <f t="shared" si="63"/>
        <v>53.721312298976841</v>
      </c>
      <c r="O166" s="14">
        <f t="shared" si="64"/>
        <v>20.496595179124995</v>
      </c>
      <c r="P166" s="14">
        <v>35.573138134394995</v>
      </c>
      <c r="Q166" s="14">
        <v>15.829234091245063</v>
      </c>
      <c r="R166" s="14">
        <f t="shared" si="48"/>
        <v>12.987012987012987</v>
      </c>
      <c r="S166" s="14">
        <v>36.630290503376735</v>
      </c>
      <c r="T166" s="14">
        <f t="shared" si="65"/>
        <v>51.952535234671281</v>
      </c>
      <c r="U166" s="14">
        <f t="shared" si="49"/>
        <v>50.614882824596968</v>
      </c>
      <c r="V166" s="14">
        <v>35.809610852245875</v>
      </c>
      <c r="W166" s="16">
        <f t="shared" si="66"/>
        <v>0.70281972710816509</v>
      </c>
      <c r="X166" s="16">
        <f t="shared" si="67"/>
        <v>2.8663479461289179E-2</v>
      </c>
      <c r="Y166" s="16">
        <f t="shared" si="68"/>
        <v>1.0340460202050956</v>
      </c>
      <c r="Z166" s="16">
        <f t="shared" si="50"/>
        <v>2.027917458066902E-2</v>
      </c>
      <c r="AA166" s="16">
        <f t="shared" si="51"/>
        <v>0.17498489823153307</v>
      </c>
      <c r="AB166" s="14">
        <f t="shared" si="69"/>
        <v>50.614882824596968</v>
      </c>
      <c r="AC166" s="16">
        <f t="shared" si="52"/>
        <v>0.21891710986016244</v>
      </c>
      <c r="AD166" s="16">
        <f t="shared" si="53"/>
        <v>0.47930667062919996</v>
      </c>
      <c r="AE166" s="23" t="str">
        <f t="shared" si="70"/>
        <v/>
      </c>
      <c r="AF166" s="23" t="str">
        <f t="shared" si="54"/>
        <v/>
      </c>
      <c r="AG166" s="23" t="str">
        <f t="shared" si="55"/>
        <v/>
      </c>
      <c r="AH166" s="23" t="str">
        <f t="shared" si="71"/>
        <v/>
      </c>
      <c r="AI166" s="23" t="str">
        <f t="shared" si="56"/>
        <v/>
      </c>
      <c r="AJ166" s="23" t="str">
        <f t="shared" si="57"/>
        <v/>
      </c>
      <c r="AK166" s="23" t="str">
        <f t="shared" si="58"/>
        <v/>
      </c>
      <c r="AL166" s="23" t="str">
        <f t="shared" si="59"/>
        <v/>
      </c>
      <c r="AM166" s="52">
        <f t="shared" si="60"/>
        <v>0</v>
      </c>
      <c r="AN166" s="26">
        <f t="shared" si="61"/>
        <v>20.496595179124995</v>
      </c>
    </row>
    <row r="167" spans="1:40" x14ac:dyDescent="0.2">
      <c r="A167" s="12">
        <v>44721</v>
      </c>
      <c r="B167" s="6">
        <v>9</v>
      </c>
      <c r="C167" s="6">
        <v>160</v>
      </c>
      <c r="D167" s="6">
        <v>5</v>
      </c>
      <c r="E167" s="6" t="s">
        <v>16</v>
      </c>
      <c r="F167" s="6">
        <v>23</v>
      </c>
      <c r="G167" s="6">
        <v>6</v>
      </c>
      <c r="H167" s="6" t="s">
        <v>22</v>
      </c>
      <c r="I167" s="6">
        <v>2</v>
      </c>
      <c r="J167" s="14">
        <v>19.638634765652974</v>
      </c>
      <c r="K167" s="14">
        <v>47.278170190138553</v>
      </c>
      <c r="L167" s="14">
        <f t="shared" si="62"/>
        <v>928.47871675251304</v>
      </c>
      <c r="M167" s="16">
        <v>0.54379122912294164</v>
      </c>
      <c r="N167" s="14">
        <f t="shared" si="63"/>
        <v>504.89858259734063</v>
      </c>
      <c r="O167" s="14">
        <f t="shared" si="64"/>
        <v>423.5801341551724</v>
      </c>
      <c r="P167" s="14">
        <v>22.071897898186485</v>
      </c>
      <c r="Q167" s="14">
        <v>11.697890725525651</v>
      </c>
      <c r="R167" s="14">
        <f t="shared" si="48"/>
        <v>12.987012987012987</v>
      </c>
      <c r="S167" s="14">
        <v>42.397041957742488</v>
      </c>
      <c r="T167" s="14">
        <f t="shared" si="65"/>
        <v>649.93510172675906</v>
      </c>
      <c r="U167" s="14">
        <f t="shared" si="49"/>
        <v>33.09471913309698</v>
      </c>
      <c r="V167" s="14">
        <v>26.96787268005766</v>
      </c>
      <c r="W167" s="16">
        <f t="shared" si="66"/>
        <v>0.66693111397682414</v>
      </c>
      <c r="X167" s="16">
        <f t="shared" si="67"/>
        <v>0.72822335668231819</v>
      </c>
      <c r="Y167" s="16">
        <f t="shared" si="68"/>
        <v>0.77684461303277386</v>
      </c>
      <c r="Z167" s="16">
        <f t="shared" si="50"/>
        <v>0.5934069023723183</v>
      </c>
      <c r="AA167" s="16">
        <f t="shared" si="51"/>
        <v>1.3987410538000181E-2</v>
      </c>
      <c r="AB167" s="14">
        <f t="shared" si="69"/>
        <v>33.09471913309698</v>
      </c>
      <c r="AC167" s="16">
        <f t="shared" si="52"/>
        <v>0.24742689233699738</v>
      </c>
      <c r="AD167" s="16">
        <f t="shared" si="53"/>
        <v>2.3772109688616344E-2</v>
      </c>
      <c r="AE167" s="23" t="str">
        <f t="shared" si="70"/>
        <v/>
      </c>
      <c r="AF167" s="23" t="str">
        <f t="shared" si="54"/>
        <v/>
      </c>
      <c r="AG167" s="23" t="str">
        <f t="shared" si="55"/>
        <v/>
      </c>
      <c r="AH167" s="23" t="str">
        <f t="shared" si="71"/>
        <v/>
      </c>
      <c r="AI167" s="23" t="str">
        <f t="shared" si="56"/>
        <v/>
      </c>
      <c r="AJ167" s="23" t="str">
        <f t="shared" si="57"/>
        <v/>
      </c>
      <c r="AK167" s="23" t="str">
        <f t="shared" si="58"/>
        <v/>
      </c>
      <c r="AL167" s="23" t="str">
        <f t="shared" si="59"/>
        <v/>
      </c>
      <c r="AM167" s="52">
        <f t="shared" si="60"/>
        <v>0</v>
      </c>
      <c r="AN167" s="26">
        <f t="shared" si="61"/>
        <v>423.5801341551724</v>
      </c>
    </row>
    <row r="168" spans="1:40" x14ac:dyDescent="0.2">
      <c r="A168" s="12">
        <v>44722</v>
      </c>
      <c r="B168" s="6">
        <v>10</v>
      </c>
      <c r="C168" s="6">
        <v>161</v>
      </c>
      <c r="D168" s="6">
        <v>6</v>
      </c>
      <c r="E168" s="6" t="s">
        <v>17</v>
      </c>
      <c r="F168" s="6">
        <v>23</v>
      </c>
      <c r="G168" s="6">
        <v>6</v>
      </c>
      <c r="H168" s="6" t="s">
        <v>22</v>
      </c>
      <c r="I168" s="6">
        <v>2</v>
      </c>
      <c r="J168" s="14">
        <v>17.494948976511047</v>
      </c>
      <c r="K168" s="14">
        <v>31.965401092721656</v>
      </c>
      <c r="L168" s="14">
        <f t="shared" si="62"/>
        <v>559.23306113087585</v>
      </c>
      <c r="M168" s="16">
        <v>0.59368238788279737</v>
      </c>
      <c r="N168" s="14">
        <f t="shared" si="63"/>
        <v>332.00681911518478</v>
      </c>
      <c r="O168" s="14">
        <f t="shared" si="64"/>
        <v>227.22624201569107</v>
      </c>
      <c r="P168" s="14">
        <v>34.062919848313335</v>
      </c>
      <c r="Q168" s="14">
        <v>8.3071706926944273</v>
      </c>
      <c r="R168" s="14">
        <f t="shared" si="48"/>
        <v>12.987012987012987</v>
      </c>
      <c r="S168" s="14">
        <v>35.504254928994406</v>
      </c>
      <c r="T168" s="14">
        <f t="shared" si="65"/>
        <v>391.46314279161305</v>
      </c>
      <c r="U168" s="14">
        <f t="shared" si="49"/>
        <v>22.375780764905159</v>
      </c>
      <c r="V168" s="14">
        <v>30.864879312308759</v>
      </c>
      <c r="W168" s="16">
        <f t="shared" si="66"/>
        <v>1.522312012537173</v>
      </c>
      <c r="X168" s="16">
        <f t="shared" si="67"/>
        <v>0.56682382586003344</v>
      </c>
      <c r="Y168" s="16">
        <f t="shared" si="68"/>
        <v>0.84811769697542494</v>
      </c>
      <c r="Z168" s="16">
        <f t="shared" si="50"/>
        <v>0.78186987798658836</v>
      </c>
      <c r="AA168" s="16">
        <f t="shared" si="51"/>
        <v>2.3222899162561619E-2</v>
      </c>
      <c r="AB168" s="14">
        <f t="shared" si="69"/>
        <v>22.375780764905159</v>
      </c>
      <c r="AC168" s="16">
        <f t="shared" si="52"/>
        <v>0.25988007059876761</v>
      </c>
      <c r="AD168" s="16">
        <f t="shared" si="53"/>
        <v>6.0910060967124542E-2</v>
      </c>
      <c r="AE168" s="23" t="str">
        <f t="shared" si="70"/>
        <v/>
      </c>
      <c r="AF168" s="23" t="str">
        <f t="shared" si="54"/>
        <v/>
      </c>
      <c r="AG168" s="23" t="str">
        <f t="shared" si="55"/>
        <v/>
      </c>
      <c r="AH168" s="23">
        <f t="shared" si="71"/>
        <v>300</v>
      </c>
      <c r="AI168" s="23" t="str">
        <f t="shared" si="56"/>
        <v/>
      </c>
      <c r="AJ168" s="23" t="str">
        <f t="shared" si="57"/>
        <v/>
      </c>
      <c r="AK168" s="23" t="str">
        <f t="shared" si="58"/>
        <v/>
      </c>
      <c r="AL168" s="23" t="str">
        <f t="shared" si="59"/>
        <v/>
      </c>
      <c r="AM168" s="52">
        <f t="shared" si="60"/>
        <v>300</v>
      </c>
      <c r="AN168" s="26">
        <f t="shared" si="61"/>
        <v>-72.773757984308929</v>
      </c>
    </row>
    <row r="169" spans="1:40" x14ac:dyDescent="0.2">
      <c r="A169" s="12">
        <v>44723</v>
      </c>
      <c r="B169" s="6">
        <v>11</v>
      </c>
      <c r="C169" s="6">
        <v>162</v>
      </c>
      <c r="D169" s="6">
        <v>7</v>
      </c>
      <c r="E169" s="6" t="s">
        <v>10</v>
      </c>
      <c r="F169" s="6">
        <v>23</v>
      </c>
      <c r="G169" s="6">
        <v>6</v>
      </c>
      <c r="H169" s="6" t="s">
        <v>22</v>
      </c>
      <c r="I169" s="6">
        <v>2</v>
      </c>
      <c r="J169" s="14">
        <v>8.2969607473509193</v>
      </c>
      <c r="K169" s="14">
        <v>74.152230963815242</v>
      </c>
      <c r="L169" s="14">
        <f t="shared" si="62"/>
        <v>615.23814963527445</v>
      </c>
      <c r="M169" s="16">
        <v>0.5401957544799868</v>
      </c>
      <c r="N169" s="14">
        <f t="shared" si="63"/>
        <v>332.3490364270981</v>
      </c>
      <c r="O169" s="14">
        <f t="shared" si="64"/>
        <v>282.88911320817635</v>
      </c>
      <c r="P169" s="14">
        <v>35.451414842516201</v>
      </c>
      <c r="Q169" s="14">
        <v>7.6260933590724731</v>
      </c>
      <c r="R169" s="14">
        <f t="shared" si="48"/>
        <v>12.987012987012987</v>
      </c>
      <c r="S169" s="14">
        <v>31.379332431012461</v>
      </c>
      <c r="T169" s="14">
        <f t="shared" si="65"/>
        <v>430.66670474469208</v>
      </c>
      <c r="U169" s="14">
        <f t="shared" si="49"/>
        <v>51.906561674670662</v>
      </c>
      <c r="V169" s="14">
        <v>31.897439359814321</v>
      </c>
      <c r="W169" s="16">
        <f t="shared" si="66"/>
        <v>0.68298522766179992</v>
      </c>
      <c r="X169" s="16">
        <f t="shared" si="67"/>
        <v>0.26011369294438613</v>
      </c>
      <c r="Y169" s="16">
        <f t="shared" si="68"/>
        <v>0.77170822068569545</v>
      </c>
      <c r="Z169" s="16">
        <f t="shared" si="50"/>
        <v>0.15984415996098747</v>
      </c>
      <c r="AA169" s="16">
        <f t="shared" si="51"/>
        <v>2.1108920171338447E-2</v>
      </c>
      <c r="AB169" s="14">
        <f t="shared" si="69"/>
        <v>51.906561674670662</v>
      </c>
      <c r="AC169" s="16">
        <f t="shared" si="52"/>
        <v>0.10284374805653318</v>
      </c>
      <c r="AD169" s="16">
        <f t="shared" si="53"/>
        <v>5.7622263612119161E-2</v>
      </c>
      <c r="AE169" s="23" t="str">
        <f t="shared" si="70"/>
        <v/>
      </c>
      <c r="AF169" s="23" t="str">
        <f t="shared" si="54"/>
        <v/>
      </c>
      <c r="AG169" s="23" t="str">
        <f t="shared" si="55"/>
        <v/>
      </c>
      <c r="AH169" s="23" t="str">
        <f t="shared" si="71"/>
        <v/>
      </c>
      <c r="AI169" s="23" t="str">
        <f t="shared" si="56"/>
        <v/>
      </c>
      <c r="AJ169" s="23" t="str">
        <f t="shared" si="57"/>
        <v/>
      </c>
      <c r="AK169" s="23" t="str">
        <f t="shared" si="58"/>
        <v/>
      </c>
      <c r="AL169" s="23" t="str">
        <f t="shared" si="59"/>
        <v/>
      </c>
      <c r="AM169" s="52">
        <f t="shared" si="60"/>
        <v>0</v>
      </c>
      <c r="AN169" s="26">
        <f t="shared" si="61"/>
        <v>282.88911320817635</v>
      </c>
    </row>
    <row r="170" spans="1:40" x14ac:dyDescent="0.2">
      <c r="A170" s="12">
        <v>44724</v>
      </c>
      <c r="B170" s="6">
        <v>12</v>
      </c>
      <c r="C170" s="6">
        <v>163</v>
      </c>
      <c r="D170" s="6">
        <v>1</v>
      </c>
      <c r="E170" s="6" t="s">
        <v>12</v>
      </c>
      <c r="F170" s="6">
        <v>24</v>
      </c>
      <c r="G170" s="6">
        <v>6</v>
      </c>
      <c r="H170" s="6" t="s">
        <v>22</v>
      </c>
      <c r="I170" s="6">
        <v>2</v>
      </c>
      <c r="J170" s="14">
        <v>5.6218363696986344</v>
      </c>
      <c r="K170" s="14">
        <v>2.7298506017636228</v>
      </c>
      <c r="L170" s="14">
        <f t="shared" si="62"/>
        <v>15.346773396838438</v>
      </c>
      <c r="M170" s="16">
        <v>0.39479483765752699</v>
      </c>
      <c r="N170" s="14">
        <f t="shared" si="63"/>
        <v>6.0588269117716855</v>
      </c>
      <c r="O170" s="14">
        <f t="shared" si="64"/>
        <v>9.2879464850667528</v>
      </c>
      <c r="P170" s="14">
        <v>20.35586443794115</v>
      </c>
      <c r="Q170" s="14">
        <v>5.7786035689627733</v>
      </c>
      <c r="R170" s="14">
        <f t="shared" si="48"/>
        <v>28.571428571428573</v>
      </c>
      <c r="S170" s="14">
        <v>15.759535751738481</v>
      </c>
      <c r="T170" s="14">
        <f t="shared" si="65"/>
        <v>10.742741377786906</v>
      </c>
      <c r="U170" s="14">
        <f t="shared" si="49"/>
        <v>1.9108954212345359</v>
      </c>
      <c r="V170" s="14">
        <v>13.437885144890402</v>
      </c>
      <c r="W170" s="16">
        <f t="shared" si="66"/>
        <v>10.652526669821745</v>
      </c>
      <c r="X170" s="16">
        <f t="shared" si="67"/>
        <v>0.41835722727815333</v>
      </c>
      <c r="Y170" s="16">
        <f t="shared" si="68"/>
        <v>0.56399262522503857</v>
      </c>
      <c r="Z170" s="16">
        <f t="shared" si="50"/>
        <v>2.9419906014880928</v>
      </c>
      <c r="AA170" s="16">
        <f t="shared" si="51"/>
        <v>1.8617221895851099</v>
      </c>
      <c r="AB170" s="14">
        <f t="shared" si="69"/>
        <v>1.9108954212345359</v>
      </c>
      <c r="AC170" s="16">
        <f t="shared" si="52"/>
        <v>2.1168204462286324</v>
      </c>
      <c r="AD170" s="16">
        <f t="shared" si="53"/>
        <v>1.3263937579305514</v>
      </c>
      <c r="AE170" s="23" t="str">
        <f t="shared" si="70"/>
        <v/>
      </c>
      <c r="AF170" s="23">
        <f t="shared" si="54"/>
        <v>1000</v>
      </c>
      <c r="AG170" s="23" t="str">
        <f t="shared" si="55"/>
        <v/>
      </c>
      <c r="AH170" s="23" t="str">
        <f t="shared" si="71"/>
        <v/>
      </c>
      <c r="AI170" s="23" t="str">
        <f t="shared" si="56"/>
        <v/>
      </c>
      <c r="AJ170" s="23">
        <f t="shared" si="57"/>
        <v>480</v>
      </c>
      <c r="AK170" s="23" t="str">
        <f t="shared" si="58"/>
        <v/>
      </c>
      <c r="AL170" s="23" t="str">
        <f t="shared" si="59"/>
        <v/>
      </c>
      <c r="AM170" s="52">
        <f t="shared" si="60"/>
        <v>1480</v>
      </c>
      <c r="AN170" s="26">
        <f t="shared" si="61"/>
        <v>-1470.7120535149334</v>
      </c>
    </row>
    <row r="171" spans="1:40" x14ac:dyDescent="0.2">
      <c r="A171" s="12">
        <v>44725</v>
      </c>
      <c r="B171" s="6">
        <v>13</v>
      </c>
      <c r="C171" s="6">
        <v>164</v>
      </c>
      <c r="D171" s="6">
        <v>2</v>
      </c>
      <c r="E171" s="6" t="s">
        <v>13</v>
      </c>
      <c r="F171" s="6">
        <v>24</v>
      </c>
      <c r="G171" s="6">
        <v>6</v>
      </c>
      <c r="H171" s="6" t="s">
        <v>22</v>
      </c>
      <c r="I171" s="6">
        <v>2</v>
      </c>
      <c r="J171" s="14">
        <v>16.395358015497205</v>
      </c>
      <c r="K171" s="14">
        <v>110.28230441546563</v>
      </c>
      <c r="L171" s="14">
        <f t="shared" si="62"/>
        <v>1808.1178636656073</v>
      </c>
      <c r="M171" s="16">
        <v>0.59101057086691733</v>
      </c>
      <c r="N171" s="14">
        <f t="shared" si="63"/>
        <v>1068.6167707996815</v>
      </c>
      <c r="O171" s="14">
        <f t="shared" si="64"/>
        <v>739.50109286592578</v>
      </c>
      <c r="P171" s="14">
        <v>59.092759024949757</v>
      </c>
      <c r="Q171" s="14">
        <v>12.157790084569291</v>
      </c>
      <c r="R171" s="14">
        <f t="shared" si="48"/>
        <v>12.987012987012987</v>
      </c>
      <c r="S171" s="14">
        <v>41.631030258934054</v>
      </c>
      <c r="T171" s="14">
        <f t="shared" si="65"/>
        <v>1265.682504565925</v>
      </c>
      <c r="U171" s="14">
        <f t="shared" si="49"/>
        <v>77.197613090825939</v>
      </c>
      <c r="V171" s="14">
        <v>38.778941700901342</v>
      </c>
      <c r="W171" s="16">
        <f t="shared" si="66"/>
        <v>0.76547391375203366</v>
      </c>
      <c r="X171" s="16">
        <f t="shared" si="67"/>
        <v>0.4227902386288207</v>
      </c>
      <c r="Y171" s="16">
        <f t="shared" si="68"/>
        <v>0.84430081552416758</v>
      </c>
      <c r="Z171" s="16">
        <f t="shared" si="50"/>
        <v>0.21238167035303851</v>
      </c>
      <c r="AA171" s="16">
        <f t="shared" si="51"/>
        <v>7.1826141691252055E-3</v>
      </c>
      <c r="AB171" s="14">
        <f t="shared" si="69"/>
        <v>77.197613090825939</v>
      </c>
      <c r="AC171" s="16">
        <f t="shared" si="52"/>
        <v>0.11024243779643329</v>
      </c>
      <c r="AD171" s="16">
        <f t="shared" si="53"/>
        <v>3.2681917596428522E-2</v>
      </c>
      <c r="AE171" s="23" t="str">
        <f t="shared" si="70"/>
        <v/>
      </c>
      <c r="AF171" s="23" t="str">
        <f t="shared" si="54"/>
        <v/>
      </c>
      <c r="AG171" s="23" t="str">
        <f t="shared" si="55"/>
        <v/>
      </c>
      <c r="AH171" s="23" t="str">
        <f t="shared" si="71"/>
        <v/>
      </c>
      <c r="AI171" s="23" t="str">
        <f t="shared" si="56"/>
        <v/>
      </c>
      <c r="AJ171" s="23" t="str">
        <f t="shared" si="57"/>
        <v/>
      </c>
      <c r="AK171" s="23" t="str">
        <f t="shared" si="58"/>
        <v/>
      </c>
      <c r="AL171" s="23" t="str">
        <f t="shared" si="59"/>
        <v/>
      </c>
      <c r="AM171" s="52">
        <f t="shared" si="60"/>
        <v>0</v>
      </c>
      <c r="AN171" s="26">
        <f t="shared" si="61"/>
        <v>739.50109286592578</v>
      </c>
    </row>
    <row r="172" spans="1:40" x14ac:dyDescent="0.2">
      <c r="A172" s="12">
        <v>44726</v>
      </c>
      <c r="B172" s="6">
        <v>14</v>
      </c>
      <c r="C172" s="6">
        <v>165</v>
      </c>
      <c r="D172" s="6">
        <v>3</v>
      </c>
      <c r="E172" s="6" t="s">
        <v>14</v>
      </c>
      <c r="F172" s="6">
        <v>24</v>
      </c>
      <c r="G172" s="6">
        <v>6</v>
      </c>
      <c r="H172" s="6" t="s">
        <v>22</v>
      </c>
      <c r="I172" s="6">
        <v>2</v>
      </c>
      <c r="J172" s="14">
        <v>13.174823805906421</v>
      </c>
      <c r="K172" s="14">
        <v>69.206325099748184</v>
      </c>
      <c r="L172" s="14">
        <f t="shared" si="62"/>
        <v>911.78113944346137</v>
      </c>
      <c r="M172" s="16">
        <v>0.72260135557277971</v>
      </c>
      <c r="N172" s="14">
        <f t="shared" si="63"/>
        <v>658.85428734753884</v>
      </c>
      <c r="O172" s="14">
        <f t="shared" si="64"/>
        <v>252.92685209592253</v>
      </c>
      <c r="P172" s="14">
        <v>31.931657283130018</v>
      </c>
      <c r="Q172" s="14">
        <v>17.197903382174527</v>
      </c>
      <c r="R172" s="14">
        <f t="shared" si="48"/>
        <v>12.987012987012987</v>
      </c>
      <c r="S172" s="14">
        <v>34.366042463828663</v>
      </c>
      <c r="T172" s="14">
        <f t="shared" si="65"/>
        <v>638.24679761042296</v>
      </c>
      <c r="U172" s="14">
        <f t="shared" si="49"/>
        <v>48.444427569823723</v>
      </c>
      <c r="V172" s="14">
        <v>28.694837486593809</v>
      </c>
      <c r="W172" s="16">
        <f t="shared" si="66"/>
        <v>0.65913994415779631</v>
      </c>
      <c r="X172" s="16">
        <f t="shared" si="67"/>
        <v>0.45913568292769324</v>
      </c>
      <c r="Y172" s="16">
        <f t="shared" si="68"/>
        <v>1.0322876508182568</v>
      </c>
      <c r="Z172" s="16">
        <f t="shared" si="50"/>
        <v>0.27195746687103151</v>
      </c>
      <c r="AA172" s="16">
        <f t="shared" si="51"/>
        <v>1.4243563970779303E-2</v>
      </c>
      <c r="AB172" s="14">
        <f t="shared" si="69"/>
        <v>48.444427569823723</v>
      </c>
      <c r="AC172" s="16">
        <f t="shared" si="52"/>
        <v>0.24850190148641635</v>
      </c>
      <c r="AD172" s="16">
        <f t="shared" si="53"/>
        <v>3.5021186446805276E-2</v>
      </c>
      <c r="AE172" s="23" t="str">
        <f t="shared" si="70"/>
        <v/>
      </c>
      <c r="AF172" s="23" t="str">
        <f t="shared" si="54"/>
        <v/>
      </c>
      <c r="AG172" s="23" t="str">
        <f t="shared" si="55"/>
        <v/>
      </c>
      <c r="AH172" s="23" t="str">
        <f t="shared" si="71"/>
        <v/>
      </c>
      <c r="AI172" s="23" t="str">
        <f t="shared" si="56"/>
        <v/>
      </c>
      <c r="AJ172" s="23" t="str">
        <f t="shared" si="57"/>
        <v/>
      </c>
      <c r="AK172" s="23" t="str">
        <f t="shared" si="58"/>
        <v/>
      </c>
      <c r="AL172" s="23" t="str">
        <f t="shared" si="59"/>
        <v/>
      </c>
      <c r="AM172" s="52">
        <f t="shared" si="60"/>
        <v>0</v>
      </c>
      <c r="AN172" s="26">
        <f t="shared" si="61"/>
        <v>252.92685209592253</v>
      </c>
    </row>
    <row r="173" spans="1:40" x14ac:dyDescent="0.2">
      <c r="A173" s="12">
        <v>44727</v>
      </c>
      <c r="B173" s="6">
        <v>15</v>
      </c>
      <c r="C173" s="6">
        <v>166</v>
      </c>
      <c r="D173" s="6">
        <v>4</v>
      </c>
      <c r="E173" s="6" t="s">
        <v>15</v>
      </c>
      <c r="F173" s="6">
        <v>24</v>
      </c>
      <c r="G173" s="6">
        <v>6</v>
      </c>
      <c r="H173" s="6" t="s">
        <v>22</v>
      </c>
      <c r="I173" s="6">
        <v>2</v>
      </c>
      <c r="J173" s="14">
        <v>19.020745866827141</v>
      </c>
      <c r="K173" s="14">
        <v>6.0215591377441724</v>
      </c>
      <c r="L173" s="14">
        <f t="shared" si="62"/>
        <v>114.53454608110268</v>
      </c>
      <c r="M173" s="16">
        <v>0.60092655976290843</v>
      </c>
      <c r="N173" s="14">
        <f t="shared" si="63"/>
        <v>68.826850750523334</v>
      </c>
      <c r="O173" s="14">
        <f t="shared" si="64"/>
        <v>45.707695330579341</v>
      </c>
      <c r="P173" s="14">
        <v>34.937398332223992</v>
      </c>
      <c r="Q173" s="14">
        <v>13.282956093636541</v>
      </c>
      <c r="R173" s="14">
        <f t="shared" si="48"/>
        <v>12.987012987012987</v>
      </c>
      <c r="S173" s="14">
        <v>37.33935766728348</v>
      </c>
      <c r="T173" s="14">
        <f t="shared" si="65"/>
        <v>80.174182256771871</v>
      </c>
      <c r="U173" s="14">
        <f t="shared" si="49"/>
        <v>4.2150913964209211</v>
      </c>
      <c r="V173" s="14">
        <v>41.923408208064629</v>
      </c>
      <c r="W173" s="16">
        <f t="shared" si="66"/>
        <v>8.2886454993335867</v>
      </c>
      <c r="X173" s="16">
        <f t="shared" si="67"/>
        <v>0.45370227946229336</v>
      </c>
      <c r="Y173" s="16">
        <f t="shared" si="68"/>
        <v>0.85846651394701201</v>
      </c>
      <c r="Z173" s="16">
        <f t="shared" si="50"/>
        <v>4.5125346233246235</v>
      </c>
      <c r="AA173" s="16">
        <f t="shared" si="51"/>
        <v>0.11338948318542072</v>
      </c>
      <c r="AB173" s="14">
        <f t="shared" si="69"/>
        <v>4.2150913964209211</v>
      </c>
      <c r="AC173" s="16">
        <f t="shared" si="52"/>
        <v>2.2058997993354708</v>
      </c>
      <c r="AD173" s="16">
        <f t="shared" si="53"/>
        <v>0.30503808263652249</v>
      </c>
      <c r="AE173" s="23" t="str">
        <f t="shared" si="70"/>
        <v/>
      </c>
      <c r="AF173" s="23" t="str">
        <f t="shared" si="54"/>
        <v/>
      </c>
      <c r="AG173" s="23">
        <f t="shared" si="55"/>
        <v>300</v>
      </c>
      <c r="AH173" s="23" t="str">
        <f t="shared" si="71"/>
        <v/>
      </c>
      <c r="AI173" s="23" t="str">
        <f t="shared" si="56"/>
        <v/>
      </c>
      <c r="AJ173" s="23" t="str">
        <f t="shared" si="57"/>
        <v/>
      </c>
      <c r="AK173" s="23" t="str">
        <f t="shared" si="58"/>
        <v/>
      </c>
      <c r="AL173" s="23" t="str">
        <f t="shared" si="59"/>
        <v/>
      </c>
      <c r="AM173" s="52">
        <f t="shared" si="60"/>
        <v>300</v>
      </c>
      <c r="AN173" s="26">
        <f t="shared" si="61"/>
        <v>-254.29230466942067</v>
      </c>
    </row>
    <row r="174" spans="1:40" x14ac:dyDescent="0.2">
      <c r="A174" s="12">
        <v>44728</v>
      </c>
      <c r="B174" s="6">
        <v>16</v>
      </c>
      <c r="C174" s="6">
        <v>167</v>
      </c>
      <c r="D174" s="6">
        <v>5</v>
      </c>
      <c r="E174" s="6" t="s">
        <v>16</v>
      </c>
      <c r="F174" s="6">
        <v>24</v>
      </c>
      <c r="G174" s="6">
        <v>6</v>
      </c>
      <c r="H174" s="6" t="s">
        <v>22</v>
      </c>
      <c r="I174" s="6">
        <v>2</v>
      </c>
      <c r="J174" s="14">
        <v>1.6945514025259625</v>
      </c>
      <c r="K174" s="14">
        <v>45.722301807264188</v>
      </c>
      <c r="L174" s="14">
        <f t="shared" si="62"/>
        <v>77.478790654214876</v>
      </c>
      <c r="M174" s="16">
        <v>0.52164097361563277</v>
      </c>
      <c r="N174" s="14">
        <f t="shared" si="63"/>
        <v>40.416111791426438</v>
      </c>
      <c r="O174" s="14">
        <f t="shared" si="64"/>
        <v>37.062678862788438</v>
      </c>
      <c r="P174" s="14">
        <v>54.434277418717748</v>
      </c>
      <c r="Q174" s="14">
        <v>10.457302203497964</v>
      </c>
      <c r="R174" s="14">
        <f t="shared" si="48"/>
        <v>12.987012987012987</v>
      </c>
      <c r="S174" s="14">
        <v>30.701330400036387</v>
      </c>
      <c r="T174" s="14">
        <f t="shared" si="65"/>
        <v>54.23515345795041</v>
      </c>
      <c r="U174" s="14">
        <f t="shared" si="49"/>
        <v>32.00561126508493</v>
      </c>
      <c r="V174" s="14">
        <v>34.441081794657691</v>
      </c>
      <c r="W174" s="16">
        <f t="shared" si="66"/>
        <v>1.7007729353415084</v>
      </c>
      <c r="X174" s="16">
        <f t="shared" si="67"/>
        <v>4.9201456929521069E-2</v>
      </c>
      <c r="Y174" s="16">
        <f t="shared" si="68"/>
        <v>0.74520139087947546</v>
      </c>
      <c r="Z174" s="16">
        <f t="shared" si="50"/>
        <v>5.2945447237077344E-2</v>
      </c>
      <c r="AA174" s="16">
        <f t="shared" si="51"/>
        <v>0.16762023358074302</v>
      </c>
      <c r="AB174" s="14">
        <f t="shared" si="69"/>
        <v>32.00561126508493</v>
      </c>
      <c r="AC174" s="16">
        <f t="shared" si="52"/>
        <v>0.22871338034509336</v>
      </c>
      <c r="AD174" s="16">
        <f t="shared" si="53"/>
        <v>0.70257004477078144</v>
      </c>
      <c r="AE174" s="23" t="str">
        <f t="shared" si="70"/>
        <v/>
      </c>
      <c r="AF174" s="23" t="str">
        <f t="shared" si="54"/>
        <v/>
      </c>
      <c r="AG174" s="23" t="str">
        <f t="shared" si="55"/>
        <v/>
      </c>
      <c r="AH174" s="23" t="str">
        <f t="shared" si="71"/>
        <v/>
      </c>
      <c r="AI174" s="23" t="str">
        <f t="shared" si="56"/>
        <v/>
      </c>
      <c r="AJ174" s="23" t="str">
        <f t="shared" si="57"/>
        <v/>
      </c>
      <c r="AK174" s="23" t="str">
        <f t="shared" si="58"/>
        <v/>
      </c>
      <c r="AL174" s="23" t="str">
        <f t="shared" si="59"/>
        <v/>
      </c>
      <c r="AM174" s="52">
        <f t="shared" si="60"/>
        <v>0</v>
      </c>
      <c r="AN174" s="26">
        <f t="shared" si="61"/>
        <v>37.062678862788438</v>
      </c>
    </row>
    <row r="175" spans="1:40" x14ac:dyDescent="0.2">
      <c r="A175" s="12">
        <v>44729</v>
      </c>
      <c r="B175" s="6">
        <v>17</v>
      </c>
      <c r="C175" s="6">
        <v>168</v>
      </c>
      <c r="D175" s="6">
        <v>6</v>
      </c>
      <c r="E175" s="6" t="s">
        <v>17</v>
      </c>
      <c r="F175" s="6">
        <v>24</v>
      </c>
      <c r="G175" s="6">
        <v>6</v>
      </c>
      <c r="H175" s="6" t="s">
        <v>22</v>
      </c>
      <c r="I175" s="6">
        <v>2</v>
      </c>
      <c r="J175" s="14">
        <v>18.454457018110041</v>
      </c>
      <c r="K175" s="14">
        <v>64.991103866891677</v>
      </c>
      <c r="L175" s="14">
        <f t="shared" si="62"/>
        <v>1199.3755328710777</v>
      </c>
      <c r="M175" s="16">
        <v>0.9976542648709531</v>
      </c>
      <c r="N175" s="14">
        <f t="shared" si="63"/>
        <v>1196.5621155507026</v>
      </c>
      <c r="O175" s="14">
        <f t="shared" si="64"/>
        <v>2.8134173203750379</v>
      </c>
      <c r="P175" s="14">
        <v>40.125937643801521</v>
      </c>
      <c r="Q175" s="14">
        <v>5.8391978830482643</v>
      </c>
      <c r="R175" s="14">
        <f t="shared" si="48"/>
        <v>12.987012987012987</v>
      </c>
      <c r="S175" s="14">
        <v>33.865748978233377</v>
      </c>
      <c r="T175" s="14">
        <f t="shared" si="65"/>
        <v>839.5628730097543</v>
      </c>
      <c r="U175" s="14">
        <f t="shared" si="49"/>
        <v>45.493772706824167</v>
      </c>
      <c r="V175" s="14">
        <v>25.283247805015488</v>
      </c>
      <c r="W175" s="16">
        <f t="shared" si="66"/>
        <v>0.88200945440127332</v>
      </c>
      <c r="X175" s="16">
        <f t="shared" si="67"/>
        <v>0.72990848171211586</v>
      </c>
      <c r="Y175" s="16">
        <f t="shared" si="68"/>
        <v>1.425220378387076</v>
      </c>
      <c r="Z175" s="16">
        <f t="shared" si="50"/>
        <v>0.40564798037384647</v>
      </c>
      <c r="AA175" s="16">
        <f t="shared" si="51"/>
        <v>1.0828145673377662E-2</v>
      </c>
      <c r="AB175" s="14">
        <f t="shared" si="69"/>
        <v>45.493772706824167</v>
      </c>
      <c r="AC175" s="16">
        <f t="shared" si="52"/>
        <v>8.984611024621969E-2</v>
      </c>
      <c r="AD175" s="16">
        <f t="shared" si="53"/>
        <v>3.3455691352772252E-2</v>
      </c>
      <c r="AE175" s="23" t="str">
        <f t="shared" si="70"/>
        <v/>
      </c>
      <c r="AF175" s="23" t="str">
        <f t="shared" si="54"/>
        <v/>
      </c>
      <c r="AG175" s="23" t="str">
        <f t="shared" si="55"/>
        <v/>
      </c>
      <c r="AH175" s="23" t="str">
        <f t="shared" si="71"/>
        <v/>
      </c>
      <c r="AI175" s="23" t="str">
        <f t="shared" si="56"/>
        <v/>
      </c>
      <c r="AJ175" s="23" t="str">
        <f t="shared" si="57"/>
        <v/>
      </c>
      <c r="AK175" s="23" t="str">
        <f t="shared" si="58"/>
        <v/>
      </c>
      <c r="AL175" s="23" t="str">
        <f t="shared" si="59"/>
        <v/>
      </c>
      <c r="AM175" s="52">
        <f t="shared" si="60"/>
        <v>0</v>
      </c>
      <c r="AN175" s="26">
        <f t="shared" si="61"/>
        <v>2.8134173203750379</v>
      </c>
    </row>
    <row r="176" spans="1:40" x14ac:dyDescent="0.2">
      <c r="A176" s="12">
        <v>44730</v>
      </c>
      <c r="B176" s="6">
        <v>18</v>
      </c>
      <c r="C176" s="6">
        <v>169</v>
      </c>
      <c r="D176" s="6">
        <v>7</v>
      </c>
      <c r="E176" s="6" t="s">
        <v>10</v>
      </c>
      <c r="F176" s="6">
        <v>24</v>
      </c>
      <c r="G176" s="6">
        <v>6</v>
      </c>
      <c r="H176" s="6" t="s">
        <v>22</v>
      </c>
      <c r="I176" s="6">
        <v>2</v>
      </c>
      <c r="J176" s="14">
        <v>11.281401382663299</v>
      </c>
      <c r="K176" s="14">
        <v>52.85965512805106</v>
      </c>
      <c r="L176" s="14">
        <f t="shared" si="62"/>
        <v>596.3309864487004</v>
      </c>
      <c r="M176" s="16">
        <v>0.7580011938249569</v>
      </c>
      <c r="N176" s="14">
        <f t="shared" si="63"/>
        <v>452.01959964292911</v>
      </c>
      <c r="O176" s="14">
        <f t="shared" si="64"/>
        <v>144.31138680577129</v>
      </c>
      <c r="P176" s="14">
        <v>25.084677289872943</v>
      </c>
      <c r="Q176" s="14">
        <v>18.287130256735196</v>
      </c>
      <c r="R176" s="14">
        <f t="shared" si="48"/>
        <v>12.987012987012987</v>
      </c>
      <c r="S176" s="14">
        <v>32.855637418724143</v>
      </c>
      <c r="T176" s="14">
        <f t="shared" si="65"/>
        <v>417.43169051409023</v>
      </c>
      <c r="U176" s="14">
        <f t="shared" si="49"/>
        <v>37.001758589635742</v>
      </c>
      <c r="V176" s="14">
        <v>27.516517704593273</v>
      </c>
      <c r="W176" s="16">
        <f t="shared" si="66"/>
        <v>0.67793202934141639</v>
      </c>
      <c r="X176" s="16">
        <f t="shared" si="67"/>
        <v>0.40998652168766686</v>
      </c>
      <c r="Y176" s="16">
        <f t="shared" si="68"/>
        <v>1.0828588483213673</v>
      </c>
      <c r="Z176" s="16">
        <f t="shared" si="50"/>
        <v>0.30488824890131683</v>
      </c>
      <c r="AA176" s="16">
        <f t="shared" si="51"/>
        <v>2.1778195804235973E-2</v>
      </c>
      <c r="AB176" s="14">
        <f t="shared" si="69"/>
        <v>37.001758589635742</v>
      </c>
      <c r="AC176" s="16">
        <f t="shared" si="52"/>
        <v>0.34595629147475759</v>
      </c>
      <c r="AD176" s="16">
        <f t="shared" si="53"/>
        <v>4.2065024055279177E-2</v>
      </c>
      <c r="AE176" s="23" t="str">
        <f t="shared" si="70"/>
        <v/>
      </c>
      <c r="AF176" s="23" t="str">
        <f t="shared" si="54"/>
        <v/>
      </c>
      <c r="AG176" s="23" t="str">
        <f t="shared" si="55"/>
        <v/>
      </c>
      <c r="AH176" s="23" t="str">
        <f t="shared" si="71"/>
        <v/>
      </c>
      <c r="AI176" s="23" t="str">
        <f t="shared" si="56"/>
        <v/>
      </c>
      <c r="AJ176" s="23" t="str">
        <f t="shared" si="57"/>
        <v/>
      </c>
      <c r="AK176" s="23" t="str">
        <f t="shared" si="58"/>
        <v/>
      </c>
      <c r="AL176" s="23" t="str">
        <f t="shared" si="59"/>
        <v/>
      </c>
      <c r="AM176" s="52">
        <f t="shared" si="60"/>
        <v>0</v>
      </c>
      <c r="AN176" s="26">
        <f t="shared" si="61"/>
        <v>144.31138680577129</v>
      </c>
    </row>
    <row r="177" spans="1:40" x14ac:dyDescent="0.2">
      <c r="A177" s="12">
        <v>44731</v>
      </c>
      <c r="B177" s="6">
        <v>19</v>
      </c>
      <c r="C177" s="6">
        <v>170</v>
      </c>
      <c r="D177" s="6">
        <v>1</v>
      </c>
      <c r="E177" s="6" t="s">
        <v>12</v>
      </c>
      <c r="F177" s="6">
        <v>25</v>
      </c>
      <c r="G177" s="6">
        <v>6</v>
      </c>
      <c r="H177" s="6" t="s">
        <v>22</v>
      </c>
      <c r="I177" s="6">
        <v>2</v>
      </c>
      <c r="J177" s="14">
        <v>1.2840917074873324</v>
      </c>
      <c r="K177" s="14">
        <v>32.480933902351509</v>
      </c>
      <c r="L177" s="14">
        <f t="shared" si="62"/>
        <v>41.70849787545373</v>
      </c>
      <c r="M177" s="16">
        <v>0.3203902646039164</v>
      </c>
      <c r="N177" s="14">
        <f t="shared" si="63"/>
        <v>13.362996670548506</v>
      </c>
      <c r="O177" s="14">
        <f t="shared" si="64"/>
        <v>28.345501204905226</v>
      </c>
      <c r="P177" s="14">
        <v>20.681886872313644</v>
      </c>
      <c r="Q177" s="14">
        <v>6.2048241663814308</v>
      </c>
      <c r="R177" s="14">
        <f t="shared" si="48"/>
        <v>28.571428571428573</v>
      </c>
      <c r="S177" s="14">
        <v>16.021962857496234</v>
      </c>
      <c r="T177" s="14">
        <f t="shared" si="65"/>
        <v>29.195948512817608</v>
      </c>
      <c r="U177" s="14">
        <f t="shared" si="49"/>
        <v>22.736653731646054</v>
      </c>
      <c r="V177" s="14">
        <v>16.332713630036167</v>
      </c>
      <c r="W177" s="16">
        <f t="shared" si="66"/>
        <v>0.90962756069630069</v>
      </c>
      <c r="X177" s="16">
        <f t="shared" si="67"/>
        <v>7.8620842596900956E-2</v>
      </c>
      <c r="Y177" s="16">
        <f t="shared" si="68"/>
        <v>0.45770037800559493</v>
      </c>
      <c r="Z177" s="16">
        <f t="shared" si="50"/>
        <v>5.6476723560251386E-2</v>
      </c>
      <c r="AA177" s="16">
        <f t="shared" si="51"/>
        <v>0.68502655398298151</v>
      </c>
      <c r="AB177" s="14">
        <f t="shared" si="69"/>
        <v>22.736653731646054</v>
      </c>
      <c r="AC177" s="16">
        <f t="shared" si="52"/>
        <v>0.19102973409062671</v>
      </c>
      <c r="AD177" s="16">
        <f t="shared" si="53"/>
        <v>0.49586745929024073</v>
      </c>
      <c r="AE177" s="23" t="str">
        <f t="shared" si="70"/>
        <v/>
      </c>
      <c r="AF177" s="23">
        <f t="shared" si="54"/>
        <v>1000</v>
      </c>
      <c r="AG177" s="23" t="str">
        <f t="shared" si="55"/>
        <v/>
      </c>
      <c r="AH177" s="23" t="str">
        <f t="shared" si="71"/>
        <v/>
      </c>
      <c r="AI177" s="23" t="str">
        <f t="shared" si="56"/>
        <v/>
      </c>
      <c r="AJ177" s="23" t="str">
        <f t="shared" si="57"/>
        <v/>
      </c>
      <c r="AK177" s="23" t="str">
        <f t="shared" si="58"/>
        <v/>
      </c>
      <c r="AL177" s="23" t="str">
        <f t="shared" si="59"/>
        <v/>
      </c>
      <c r="AM177" s="52">
        <f t="shared" si="60"/>
        <v>1000</v>
      </c>
      <c r="AN177" s="26">
        <f t="shared" si="61"/>
        <v>-971.65449879509481</v>
      </c>
    </row>
    <row r="178" spans="1:40" x14ac:dyDescent="0.2">
      <c r="A178" s="12">
        <v>44732</v>
      </c>
      <c r="B178" s="6">
        <v>20</v>
      </c>
      <c r="C178" s="6">
        <v>171</v>
      </c>
      <c r="D178" s="6">
        <v>2</v>
      </c>
      <c r="E178" s="6" t="s">
        <v>13</v>
      </c>
      <c r="F178" s="6">
        <v>25</v>
      </c>
      <c r="G178" s="6">
        <v>6</v>
      </c>
      <c r="H178" s="6" t="s">
        <v>22</v>
      </c>
      <c r="I178" s="6">
        <v>2</v>
      </c>
      <c r="J178" s="14">
        <v>17.177849625893334</v>
      </c>
      <c r="K178" s="14">
        <v>68.18308925924633</v>
      </c>
      <c r="L178" s="14">
        <f t="shared" si="62"/>
        <v>1171.2388543241964</v>
      </c>
      <c r="M178" s="16">
        <v>0.33488827067541144</v>
      </c>
      <c r="N178" s="14">
        <f t="shared" si="63"/>
        <v>392.23415447248027</v>
      </c>
      <c r="O178" s="14">
        <f t="shared" si="64"/>
        <v>779.00469985171617</v>
      </c>
      <c r="P178" s="14">
        <v>33.168342483298169</v>
      </c>
      <c r="Q178" s="14">
        <v>13.254510876848977</v>
      </c>
      <c r="R178" s="14">
        <f t="shared" si="48"/>
        <v>12.987012987012987</v>
      </c>
      <c r="S178" s="14">
        <v>25.291334805002258</v>
      </c>
      <c r="T178" s="14">
        <f t="shared" si="65"/>
        <v>819.86719802693744</v>
      </c>
      <c r="U178" s="14">
        <f t="shared" si="49"/>
        <v>47.728162481472431</v>
      </c>
      <c r="V178" s="14">
        <v>27.542864799044821</v>
      </c>
      <c r="W178" s="16">
        <f t="shared" si="66"/>
        <v>0.69494279181968865</v>
      </c>
      <c r="X178" s="16">
        <f t="shared" si="67"/>
        <v>0.62367693960756965</v>
      </c>
      <c r="Y178" s="16">
        <f t="shared" si="68"/>
        <v>0.47841181525058779</v>
      </c>
      <c r="Z178" s="16">
        <f t="shared" si="50"/>
        <v>0.35991013969082913</v>
      </c>
      <c r="AA178" s="16">
        <f t="shared" si="51"/>
        <v>1.1088270286684162E-2</v>
      </c>
      <c r="AB178" s="14">
        <f t="shared" si="69"/>
        <v>47.728162481472431</v>
      </c>
      <c r="AC178" s="16">
        <f t="shared" si="52"/>
        <v>0.19439586884150353</v>
      </c>
      <c r="AD178" s="16">
        <f t="shared" si="53"/>
        <v>2.8319025074041167E-2</v>
      </c>
      <c r="AE178" s="23" t="str">
        <f t="shared" si="70"/>
        <v/>
      </c>
      <c r="AF178" s="23" t="str">
        <f t="shared" si="54"/>
        <v/>
      </c>
      <c r="AG178" s="23" t="str">
        <f t="shared" si="55"/>
        <v/>
      </c>
      <c r="AH178" s="23" t="str">
        <f t="shared" si="71"/>
        <v/>
      </c>
      <c r="AI178" s="23">
        <f t="shared" si="56"/>
        <v>100</v>
      </c>
      <c r="AJ178" s="23" t="str">
        <f t="shared" si="57"/>
        <v/>
      </c>
      <c r="AK178" s="23" t="str">
        <f t="shared" si="58"/>
        <v/>
      </c>
      <c r="AL178" s="23" t="str">
        <f t="shared" si="59"/>
        <v/>
      </c>
      <c r="AM178" s="52">
        <f t="shared" si="60"/>
        <v>100</v>
      </c>
      <c r="AN178" s="26">
        <f t="shared" si="61"/>
        <v>679.00469985171617</v>
      </c>
    </row>
    <row r="179" spans="1:40" x14ac:dyDescent="0.2">
      <c r="A179" s="12">
        <v>44733</v>
      </c>
      <c r="B179" s="6">
        <v>21</v>
      </c>
      <c r="C179" s="6">
        <v>172</v>
      </c>
      <c r="D179" s="6">
        <v>3</v>
      </c>
      <c r="E179" s="6" t="s">
        <v>14</v>
      </c>
      <c r="F179" s="6">
        <v>25</v>
      </c>
      <c r="G179" s="6">
        <v>6</v>
      </c>
      <c r="H179" s="6" t="s">
        <v>22</v>
      </c>
      <c r="I179" s="6">
        <v>2</v>
      </c>
      <c r="J179" s="14">
        <v>3.4024045862282004</v>
      </c>
      <c r="K179" s="14">
        <v>45.50730429187437</v>
      </c>
      <c r="L179" s="14">
        <f t="shared" si="62"/>
        <v>154.83426082955563</v>
      </c>
      <c r="M179" s="16">
        <v>0.53525225013633704</v>
      </c>
      <c r="N179" s="14">
        <f t="shared" si="63"/>
        <v>82.875386507216163</v>
      </c>
      <c r="O179" s="14">
        <f t="shared" si="64"/>
        <v>71.958874322339469</v>
      </c>
      <c r="P179" s="14">
        <v>42.997292059082369</v>
      </c>
      <c r="Q179" s="14">
        <v>14.121441426740901</v>
      </c>
      <c r="R179" s="14">
        <f t="shared" si="48"/>
        <v>12.987012987012987</v>
      </c>
      <c r="S179" s="14">
        <v>29.629248474318814</v>
      </c>
      <c r="T179" s="14">
        <f t="shared" si="65"/>
        <v>108.38398258068894</v>
      </c>
      <c r="U179" s="14">
        <f t="shared" si="49"/>
        <v>31.855113004312059</v>
      </c>
      <c r="V179" s="14">
        <v>28.021768925986557</v>
      </c>
      <c r="W179" s="16">
        <f t="shared" si="66"/>
        <v>1.3497767863282122</v>
      </c>
      <c r="X179" s="16">
        <f t="shared" si="67"/>
        <v>0.12142005007659996</v>
      </c>
      <c r="Y179" s="16">
        <f t="shared" si="68"/>
        <v>0.76464607162333864</v>
      </c>
      <c r="Z179" s="16">
        <f t="shared" si="50"/>
        <v>0.10680874325473699</v>
      </c>
      <c r="AA179" s="16">
        <f t="shared" si="51"/>
        <v>8.3876868836602822E-2</v>
      </c>
      <c r="AB179" s="14">
        <f t="shared" si="69"/>
        <v>31.855113004312059</v>
      </c>
      <c r="AC179" s="16">
        <f t="shared" si="52"/>
        <v>0.3103115345213357</v>
      </c>
      <c r="AD179" s="16">
        <f t="shared" si="53"/>
        <v>0.2776988234303942</v>
      </c>
      <c r="AE179" s="23" t="str">
        <f t="shared" si="70"/>
        <v/>
      </c>
      <c r="AF179" s="23" t="str">
        <f t="shared" si="54"/>
        <v/>
      </c>
      <c r="AG179" s="23" t="str">
        <f t="shared" si="55"/>
        <v/>
      </c>
      <c r="AH179" s="23" t="str">
        <f t="shared" si="71"/>
        <v/>
      </c>
      <c r="AI179" s="23" t="str">
        <f t="shared" si="56"/>
        <v/>
      </c>
      <c r="AJ179" s="23" t="str">
        <f t="shared" si="57"/>
        <v/>
      </c>
      <c r="AK179" s="23" t="str">
        <f t="shared" si="58"/>
        <v/>
      </c>
      <c r="AL179" s="23" t="str">
        <f t="shared" si="59"/>
        <v/>
      </c>
      <c r="AM179" s="52">
        <f t="shared" si="60"/>
        <v>0</v>
      </c>
      <c r="AN179" s="26">
        <f t="shared" si="61"/>
        <v>71.958874322339469</v>
      </c>
    </row>
    <row r="180" spans="1:40" x14ac:dyDescent="0.2">
      <c r="A180" s="12">
        <v>44734</v>
      </c>
      <c r="B180" s="6">
        <v>22</v>
      </c>
      <c r="C180" s="6">
        <v>173</v>
      </c>
      <c r="D180" s="6">
        <v>4</v>
      </c>
      <c r="E180" s="6" t="s">
        <v>15</v>
      </c>
      <c r="F180" s="6">
        <v>25</v>
      </c>
      <c r="G180" s="6">
        <v>6</v>
      </c>
      <c r="H180" s="6" t="s">
        <v>22</v>
      </c>
      <c r="I180" s="6">
        <v>2</v>
      </c>
      <c r="J180" s="14">
        <v>17.526147880955847</v>
      </c>
      <c r="K180" s="14">
        <v>111.01746981532175</v>
      </c>
      <c r="L180" s="14">
        <f t="shared" si="62"/>
        <v>1945.7085933528808</v>
      </c>
      <c r="M180" s="16">
        <v>0.5649157243466858</v>
      </c>
      <c r="N180" s="14">
        <f t="shared" si="63"/>
        <v>1099.1613793815138</v>
      </c>
      <c r="O180" s="14">
        <f t="shared" si="64"/>
        <v>846.547213971367</v>
      </c>
      <c r="P180" s="14">
        <v>48.855352085383586</v>
      </c>
      <c r="Q180" s="14">
        <v>15.106616730116199</v>
      </c>
      <c r="R180" s="14">
        <f t="shared" si="48"/>
        <v>12.987012987012987</v>
      </c>
      <c r="S180" s="14">
        <v>27.14180743379141</v>
      </c>
      <c r="T180" s="14">
        <f t="shared" si="65"/>
        <v>1361.9960153470165</v>
      </c>
      <c r="U180" s="14">
        <f t="shared" si="49"/>
        <v>77.712228870725212</v>
      </c>
      <c r="V180" s="14">
        <v>30.962142791752562</v>
      </c>
      <c r="W180" s="16">
        <f t="shared" si="66"/>
        <v>0.62867006641457646</v>
      </c>
      <c r="X180" s="16">
        <f t="shared" si="67"/>
        <v>0.56605087053678715</v>
      </c>
      <c r="Y180" s="16">
        <f t="shared" si="68"/>
        <v>0.80702246335240835</v>
      </c>
      <c r="Z180" s="16">
        <f t="shared" si="50"/>
        <v>0.22552625417694178</v>
      </c>
      <c r="AA180" s="16">
        <f t="shared" si="51"/>
        <v>6.6746958056208856E-3</v>
      </c>
      <c r="AB180" s="14">
        <f t="shared" si="69"/>
        <v>77.712228870725212</v>
      </c>
      <c r="AC180" s="16">
        <f t="shared" si="52"/>
        <v>0.13607423007609659</v>
      </c>
      <c r="AD180" s="16">
        <f t="shared" si="53"/>
        <v>2.5109285250775989E-2</v>
      </c>
      <c r="AE180" s="23" t="str">
        <f t="shared" si="70"/>
        <v/>
      </c>
      <c r="AF180" s="23" t="str">
        <f t="shared" si="54"/>
        <v/>
      </c>
      <c r="AG180" s="23" t="str">
        <f t="shared" si="55"/>
        <v/>
      </c>
      <c r="AH180" s="23" t="str">
        <f t="shared" si="71"/>
        <v/>
      </c>
      <c r="AI180" s="23" t="str">
        <f t="shared" si="56"/>
        <v/>
      </c>
      <c r="AJ180" s="23" t="str">
        <f t="shared" si="57"/>
        <v/>
      </c>
      <c r="AK180" s="23" t="str">
        <f t="shared" si="58"/>
        <v/>
      </c>
      <c r="AL180" s="23" t="str">
        <f t="shared" si="59"/>
        <v/>
      </c>
      <c r="AM180" s="52">
        <f t="shared" si="60"/>
        <v>0</v>
      </c>
      <c r="AN180" s="26">
        <f t="shared" si="61"/>
        <v>846.547213971367</v>
      </c>
    </row>
    <row r="181" spans="1:40" x14ac:dyDescent="0.2">
      <c r="A181" s="12">
        <v>44735</v>
      </c>
      <c r="B181" s="6">
        <v>23</v>
      </c>
      <c r="C181" s="6">
        <v>174</v>
      </c>
      <c r="D181" s="6">
        <v>5</v>
      </c>
      <c r="E181" s="6" t="s">
        <v>16</v>
      </c>
      <c r="F181" s="6">
        <v>25</v>
      </c>
      <c r="G181" s="6">
        <v>6</v>
      </c>
      <c r="H181" s="6" t="s">
        <v>22</v>
      </c>
      <c r="I181" s="6">
        <v>2</v>
      </c>
      <c r="J181" s="14">
        <v>19.465939508258508</v>
      </c>
      <c r="K181" s="14">
        <v>38.420438911901833</v>
      </c>
      <c r="L181" s="14">
        <f t="shared" si="62"/>
        <v>747.88993973982235</v>
      </c>
      <c r="M181" s="16">
        <v>0.42848510992041206</v>
      </c>
      <c r="N181" s="14">
        <f t="shared" si="63"/>
        <v>320.45970303778813</v>
      </c>
      <c r="O181" s="14">
        <f t="shared" si="64"/>
        <v>427.43023670203422</v>
      </c>
      <c r="P181" s="14">
        <v>41.625724735521636</v>
      </c>
      <c r="Q181" s="14">
        <v>11.538134717578243</v>
      </c>
      <c r="R181" s="14">
        <f t="shared" si="48"/>
        <v>12.987012987012987</v>
      </c>
      <c r="S181" s="14">
        <v>34.052105576715142</v>
      </c>
      <c r="T181" s="14">
        <f t="shared" si="65"/>
        <v>523.52295781787564</v>
      </c>
      <c r="U181" s="14">
        <f t="shared" si="49"/>
        <v>26.89430723833128</v>
      </c>
      <c r="V181" s="14">
        <v>37.314023627287753</v>
      </c>
      <c r="W181" s="16">
        <f t="shared" si="66"/>
        <v>1.5477522572581572</v>
      </c>
      <c r="X181" s="16">
        <f t="shared" si="67"/>
        <v>0.52167891896876706</v>
      </c>
      <c r="Y181" s="16">
        <f t="shared" si="68"/>
        <v>0.61212158560058871</v>
      </c>
      <c r="Z181" s="16">
        <f t="shared" si="50"/>
        <v>0.72379404815137072</v>
      </c>
      <c r="AA181" s="16">
        <f t="shared" si="51"/>
        <v>1.7364871884131692E-2</v>
      </c>
      <c r="AB181" s="14">
        <f t="shared" si="69"/>
        <v>26.89430723833128</v>
      </c>
      <c r="AC181" s="16">
        <f t="shared" si="52"/>
        <v>0.30031241298505768</v>
      </c>
      <c r="AD181" s="16">
        <f t="shared" si="53"/>
        <v>5.5657554037967787E-2</v>
      </c>
      <c r="AE181" s="23" t="str">
        <f t="shared" si="70"/>
        <v/>
      </c>
      <c r="AF181" s="23" t="str">
        <f t="shared" si="54"/>
        <v/>
      </c>
      <c r="AG181" s="23" t="str">
        <f t="shared" si="55"/>
        <v/>
      </c>
      <c r="AH181" s="23" t="str">
        <f t="shared" si="71"/>
        <v/>
      </c>
      <c r="AI181" s="23" t="str">
        <f t="shared" si="56"/>
        <v/>
      </c>
      <c r="AJ181" s="23" t="str">
        <f t="shared" si="57"/>
        <v/>
      </c>
      <c r="AK181" s="23" t="str">
        <f t="shared" si="58"/>
        <v/>
      </c>
      <c r="AL181" s="23" t="str">
        <f t="shared" si="59"/>
        <v/>
      </c>
      <c r="AM181" s="52">
        <f t="shared" si="60"/>
        <v>0</v>
      </c>
      <c r="AN181" s="26">
        <f t="shared" si="61"/>
        <v>427.43023670203422</v>
      </c>
    </row>
    <row r="182" spans="1:40" x14ac:dyDescent="0.2">
      <c r="A182" s="12">
        <v>44736</v>
      </c>
      <c r="B182" s="6">
        <v>24</v>
      </c>
      <c r="C182" s="6">
        <v>175</v>
      </c>
      <c r="D182" s="6">
        <v>6</v>
      </c>
      <c r="E182" s="6" t="s">
        <v>17</v>
      </c>
      <c r="F182" s="6">
        <v>25</v>
      </c>
      <c r="G182" s="6">
        <v>6</v>
      </c>
      <c r="H182" s="6" t="s">
        <v>22</v>
      </c>
      <c r="I182" s="6">
        <v>2</v>
      </c>
      <c r="J182" s="14">
        <v>14.245556735432912</v>
      </c>
      <c r="K182" s="14">
        <v>77.684162473553272</v>
      </c>
      <c r="L182" s="14">
        <f t="shared" si="62"/>
        <v>1106.6541439615914</v>
      </c>
      <c r="M182" s="16">
        <v>0.41020446480104567</v>
      </c>
      <c r="N182" s="14">
        <f t="shared" si="63"/>
        <v>453.95447084362394</v>
      </c>
      <c r="O182" s="14">
        <f t="shared" si="64"/>
        <v>652.69967311796745</v>
      </c>
      <c r="P182" s="14">
        <v>44.787928394912967</v>
      </c>
      <c r="Q182" s="14">
        <v>19.081880584251369</v>
      </c>
      <c r="R182" s="14">
        <f t="shared" si="48"/>
        <v>12.987012987012987</v>
      </c>
      <c r="S182" s="14">
        <v>36.982792409888987</v>
      </c>
      <c r="T182" s="14">
        <f t="shared" si="65"/>
        <v>774.65790077311397</v>
      </c>
      <c r="U182" s="14">
        <f t="shared" si="49"/>
        <v>54.378913731487287</v>
      </c>
      <c r="V182" s="14">
        <v>33.789238969550595</v>
      </c>
      <c r="W182" s="16">
        <f t="shared" si="66"/>
        <v>0.82362675753449621</v>
      </c>
      <c r="X182" s="16">
        <f t="shared" si="67"/>
        <v>0.42160040207683852</v>
      </c>
      <c r="Y182" s="16">
        <f t="shared" si="68"/>
        <v>0.58600637828720814</v>
      </c>
      <c r="Z182" s="16">
        <f t="shared" si="50"/>
        <v>0.26196839469384686</v>
      </c>
      <c r="AA182" s="16">
        <f t="shared" si="51"/>
        <v>1.1735385493178731E-2</v>
      </c>
      <c r="AB182" s="14">
        <f t="shared" si="69"/>
        <v>54.378913731487287</v>
      </c>
      <c r="AC182" s="16">
        <f t="shared" si="52"/>
        <v>0.24563411610117555</v>
      </c>
      <c r="AD182" s="16">
        <f t="shared" si="53"/>
        <v>4.0471477596949586E-2</v>
      </c>
      <c r="AE182" s="23" t="str">
        <f t="shared" si="70"/>
        <v/>
      </c>
      <c r="AF182" s="23" t="str">
        <f t="shared" si="54"/>
        <v/>
      </c>
      <c r="AG182" s="23" t="str">
        <f t="shared" si="55"/>
        <v/>
      </c>
      <c r="AH182" s="23" t="str">
        <f t="shared" si="71"/>
        <v/>
      </c>
      <c r="AI182" s="23" t="str">
        <f t="shared" si="56"/>
        <v/>
      </c>
      <c r="AJ182" s="23" t="str">
        <f t="shared" si="57"/>
        <v/>
      </c>
      <c r="AK182" s="23" t="str">
        <f t="shared" si="58"/>
        <v/>
      </c>
      <c r="AL182" s="23" t="str">
        <f t="shared" si="59"/>
        <v/>
      </c>
      <c r="AM182" s="52">
        <f t="shared" si="60"/>
        <v>0</v>
      </c>
      <c r="AN182" s="26">
        <f t="shared" si="61"/>
        <v>652.69967311796745</v>
      </c>
    </row>
    <row r="183" spans="1:40" x14ac:dyDescent="0.2">
      <c r="A183" s="12">
        <v>44737</v>
      </c>
      <c r="B183" s="6">
        <v>25</v>
      </c>
      <c r="C183" s="6">
        <v>176</v>
      </c>
      <c r="D183" s="6">
        <v>7</v>
      </c>
      <c r="E183" s="6" t="s">
        <v>10</v>
      </c>
      <c r="F183" s="6">
        <v>25</v>
      </c>
      <c r="G183" s="6">
        <v>6</v>
      </c>
      <c r="H183" s="6" t="s">
        <v>22</v>
      </c>
      <c r="I183" s="6">
        <v>2</v>
      </c>
      <c r="J183" s="14">
        <v>13.833194263849686</v>
      </c>
      <c r="K183" s="14">
        <v>103.47046909750536</v>
      </c>
      <c r="L183" s="14">
        <f t="shared" si="62"/>
        <v>1431.3270995974474</v>
      </c>
      <c r="M183" s="16">
        <v>0.58864258613806009</v>
      </c>
      <c r="N183" s="14">
        <f t="shared" si="63"/>
        <v>842.5400855165301</v>
      </c>
      <c r="O183" s="14">
        <f t="shared" si="64"/>
        <v>588.78701408091729</v>
      </c>
      <c r="P183" s="14">
        <v>37.424525544511987</v>
      </c>
      <c r="Q183" s="14">
        <v>11.308784762538766</v>
      </c>
      <c r="R183" s="14">
        <f t="shared" si="48"/>
        <v>12.987012987012987</v>
      </c>
      <c r="S183" s="14">
        <v>26.239096945339298</v>
      </c>
      <c r="T183" s="14">
        <f t="shared" si="65"/>
        <v>1001.9289697182131</v>
      </c>
      <c r="U183" s="14">
        <f t="shared" si="49"/>
        <v>72.429328368253749</v>
      </c>
      <c r="V183" s="14">
        <v>34.369401062340636</v>
      </c>
      <c r="W183" s="16">
        <f t="shared" si="66"/>
        <v>0.51670402567084139</v>
      </c>
      <c r="X183" s="16">
        <f t="shared" si="67"/>
        <v>0.40248575291604494</v>
      </c>
      <c r="Y183" s="16">
        <f t="shared" si="68"/>
        <v>0.84091798019722874</v>
      </c>
      <c r="Z183" s="16">
        <f t="shared" si="50"/>
        <v>0.19098885182970807</v>
      </c>
      <c r="AA183" s="16">
        <f t="shared" si="51"/>
        <v>9.0734067640202646E-3</v>
      </c>
      <c r="AB183" s="14">
        <f t="shared" si="69"/>
        <v>72.429328368253749</v>
      </c>
      <c r="AC183" s="16">
        <f t="shared" si="52"/>
        <v>0.10929480518622117</v>
      </c>
      <c r="AD183" s="16">
        <f t="shared" si="53"/>
        <v>2.6146731627618467E-2</v>
      </c>
      <c r="AE183" s="23" t="str">
        <f t="shared" si="70"/>
        <v/>
      </c>
      <c r="AF183" s="23" t="str">
        <f t="shared" si="54"/>
        <v/>
      </c>
      <c r="AG183" s="23" t="str">
        <f t="shared" si="55"/>
        <v/>
      </c>
      <c r="AH183" s="23" t="str">
        <f t="shared" si="71"/>
        <v/>
      </c>
      <c r="AI183" s="23" t="str">
        <f t="shared" si="56"/>
        <v/>
      </c>
      <c r="AJ183" s="23" t="str">
        <f t="shared" si="57"/>
        <v/>
      </c>
      <c r="AK183" s="23">
        <f t="shared" si="58"/>
        <v>83</v>
      </c>
      <c r="AL183" s="23" t="str">
        <f t="shared" si="59"/>
        <v/>
      </c>
      <c r="AM183" s="52">
        <f t="shared" si="60"/>
        <v>83</v>
      </c>
      <c r="AN183" s="26">
        <f t="shared" si="61"/>
        <v>505.78701408091729</v>
      </c>
    </row>
    <row r="184" spans="1:40" x14ac:dyDescent="0.2">
      <c r="A184" s="12">
        <v>44738</v>
      </c>
      <c r="B184" s="6">
        <v>26</v>
      </c>
      <c r="C184" s="6">
        <v>177</v>
      </c>
      <c r="D184" s="6">
        <v>1</v>
      </c>
      <c r="E184" s="6" t="s">
        <v>12</v>
      </c>
      <c r="F184" s="6">
        <v>26</v>
      </c>
      <c r="G184" s="6">
        <v>6</v>
      </c>
      <c r="H184" s="6" t="s">
        <v>22</v>
      </c>
      <c r="I184" s="6">
        <v>2</v>
      </c>
      <c r="J184" s="14">
        <v>8.7022191867869907</v>
      </c>
      <c r="K184" s="14">
        <v>7.3566813264083262</v>
      </c>
      <c r="L184" s="14">
        <f t="shared" si="62"/>
        <v>64.019453389748108</v>
      </c>
      <c r="M184" s="16">
        <v>0.19056427131892859</v>
      </c>
      <c r="N184" s="14">
        <f t="shared" si="63"/>
        <v>12.199820485453461</v>
      </c>
      <c r="O184" s="14">
        <f t="shared" si="64"/>
        <v>51.81963290429465</v>
      </c>
      <c r="P184" s="14">
        <v>11.165465088771979</v>
      </c>
      <c r="Q184" s="14">
        <v>6.4998853166615076</v>
      </c>
      <c r="R184" s="14">
        <f t="shared" si="48"/>
        <v>28.571428571428573</v>
      </c>
      <c r="S184" s="14">
        <v>16.546771855810047</v>
      </c>
      <c r="T184" s="14">
        <f t="shared" si="65"/>
        <v>44.813617372823671</v>
      </c>
      <c r="U184" s="14">
        <f t="shared" si="49"/>
        <v>5.1496769284858281</v>
      </c>
      <c r="V184" s="14">
        <v>14.224957272741651</v>
      </c>
      <c r="W184" s="16">
        <f t="shared" si="66"/>
        <v>2.1681874890071962</v>
      </c>
      <c r="X184" s="16">
        <f t="shared" si="67"/>
        <v>0.61175714063215358</v>
      </c>
      <c r="Y184" s="16">
        <f t="shared" si="68"/>
        <v>0.27223467331275514</v>
      </c>
      <c r="Z184" s="16">
        <f t="shared" si="50"/>
        <v>1.6898573070962968</v>
      </c>
      <c r="AA184" s="16">
        <f t="shared" si="51"/>
        <v>0.44629291658406944</v>
      </c>
      <c r="AB184" s="14">
        <f t="shared" si="69"/>
        <v>5.1496769284858281</v>
      </c>
      <c r="AC184" s="16">
        <f t="shared" si="52"/>
        <v>0.88353498381516504</v>
      </c>
      <c r="AD184" s="16">
        <f t="shared" si="53"/>
        <v>0.17440737928199782</v>
      </c>
      <c r="AE184" s="23" t="str">
        <f t="shared" si="70"/>
        <v/>
      </c>
      <c r="AF184" s="23">
        <f t="shared" si="54"/>
        <v>1000</v>
      </c>
      <c r="AG184" s="23" t="str">
        <f t="shared" si="55"/>
        <v/>
      </c>
      <c r="AH184" s="23" t="str">
        <f t="shared" si="71"/>
        <v/>
      </c>
      <c r="AI184" s="23" t="str">
        <f t="shared" si="56"/>
        <v/>
      </c>
      <c r="AJ184" s="23" t="str">
        <f t="shared" si="57"/>
        <v/>
      </c>
      <c r="AK184" s="23" t="str">
        <f t="shared" si="58"/>
        <v/>
      </c>
      <c r="AL184" s="23" t="str">
        <f t="shared" si="59"/>
        <v/>
      </c>
      <c r="AM184" s="52">
        <f t="shared" si="60"/>
        <v>1000</v>
      </c>
      <c r="AN184" s="26">
        <f t="shared" si="61"/>
        <v>-948.18036709570538</v>
      </c>
    </row>
    <row r="185" spans="1:40" x14ac:dyDescent="0.2">
      <c r="A185" s="12">
        <v>44739</v>
      </c>
      <c r="B185" s="6">
        <v>27</v>
      </c>
      <c r="C185" s="6">
        <v>178</v>
      </c>
      <c r="D185" s="6">
        <v>2</v>
      </c>
      <c r="E185" s="6" t="s">
        <v>13</v>
      </c>
      <c r="F185" s="6">
        <v>26</v>
      </c>
      <c r="G185" s="6">
        <v>6</v>
      </c>
      <c r="H185" s="6" t="s">
        <v>22</v>
      </c>
      <c r="I185" s="6">
        <v>2</v>
      </c>
      <c r="J185" s="14">
        <v>18.578432862008864</v>
      </c>
      <c r="K185" s="14">
        <v>82.301370328417676</v>
      </c>
      <c r="L185" s="14">
        <f t="shared" si="62"/>
        <v>1529.0304830978362</v>
      </c>
      <c r="M185" s="16">
        <v>0.43466332020076681</v>
      </c>
      <c r="N185" s="14">
        <f t="shared" si="63"/>
        <v>664.61346647148798</v>
      </c>
      <c r="O185" s="14">
        <f t="shared" si="64"/>
        <v>864.41701662634819</v>
      </c>
      <c r="P185" s="14">
        <v>44.791321728652832</v>
      </c>
      <c r="Q185" s="14">
        <v>8.4927090609408236</v>
      </c>
      <c r="R185" s="14">
        <f t="shared" si="48"/>
        <v>12.987012987012987</v>
      </c>
      <c r="S185" s="14">
        <v>38.172825307099899</v>
      </c>
      <c r="T185" s="14">
        <f t="shared" si="65"/>
        <v>1070.3213381684852</v>
      </c>
      <c r="U185" s="14">
        <f t="shared" si="49"/>
        <v>57.610959229892366</v>
      </c>
      <c r="V185" s="14">
        <v>29.877989516766629</v>
      </c>
      <c r="W185" s="16">
        <f t="shared" si="66"/>
        <v>0.77747918672758598</v>
      </c>
      <c r="X185" s="16">
        <f t="shared" si="67"/>
        <v>0.62181000671357778</v>
      </c>
      <c r="Y185" s="16">
        <f t="shared" si="68"/>
        <v>0.62094760028680984</v>
      </c>
      <c r="Z185" s="16">
        <f t="shared" si="50"/>
        <v>0.3224808805538712</v>
      </c>
      <c r="AA185" s="16">
        <f t="shared" si="51"/>
        <v>8.4936259483206159E-3</v>
      </c>
      <c r="AB185" s="14">
        <f t="shared" si="69"/>
        <v>57.610959229892366</v>
      </c>
      <c r="AC185" s="16">
        <f t="shared" si="52"/>
        <v>0.10319037249381488</v>
      </c>
      <c r="AD185" s="16">
        <f t="shared" si="53"/>
        <v>2.9293936402042826E-2</v>
      </c>
      <c r="AE185" s="23" t="str">
        <f t="shared" si="70"/>
        <v/>
      </c>
      <c r="AF185" s="23" t="str">
        <f t="shared" si="54"/>
        <v/>
      </c>
      <c r="AG185" s="23" t="str">
        <f t="shared" si="55"/>
        <v/>
      </c>
      <c r="AH185" s="23" t="str">
        <f t="shared" si="71"/>
        <v/>
      </c>
      <c r="AI185" s="23" t="str">
        <f t="shared" si="56"/>
        <v/>
      </c>
      <c r="AJ185" s="23" t="str">
        <f t="shared" si="57"/>
        <v/>
      </c>
      <c r="AK185" s="23" t="str">
        <f t="shared" si="58"/>
        <v/>
      </c>
      <c r="AL185" s="23" t="str">
        <f t="shared" si="59"/>
        <v/>
      </c>
      <c r="AM185" s="52">
        <f t="shared" si="60"/>
        <v>0</v>
      </c>
      <c r="AN185" s="26">
        <f t="shared" si="61"/>
        <v>864.41701662634819</v>
      </c>
    </row>
    <row r="186" spans="1:40" x14ac:dyDescent="0.2">
      <c r="A186" s="12">
        <v>44740</v>
      </c>
      <c r="B186" s="6">
        <v>28</v>
      </c>
      <c r="C186" s="6">
        <v>179</v>
      </c>
      <c r="D186" s="6">
        <v>3</v>
      </c>
      <c r="E186" s="6" t="s">
        <v>14</v>
      </c>
      <c r="F186" s="6">
        <v>26</v>
      </c>
      <c r="G186" s="6">
        <v>6</v>
      </c>
      <c r="H186" s="6" t="s">
        <v>22</v>
      </c>
      <c r="I186" s="6">
        <v>2</v>
      </c>
      <c r="J186" s="14">
        <v>18.135780828463499</v>
      </c>
      <c r="K186" s="14">
        <v>71.577430614376425</v>
      </c>
      <c r="L186" s="14">
        <f t="shared" si="62"/>
        <v>1298.1125938868843</v>
      </c>
      <c r="M186" s="16">
        <v>0.97881571081561247</v>
      </c>
      <c r="N186" s="14">
        <f t="shared" si="63"/>
        <v>1270.613001304089</v>
      </c>
      <c r="O186" s="14">
        <f t="shared" si="64"/>
        <v>27.499592582795231</v>
      </c>
      <c r="P186" s="14">
        <v>34.572428945022594</v>
      </c>
      <c r="Q186" s="14">
        <v>6.3544854398821684</v>
      </c>
      <c r="R186" s="14">
        <f t="shared" si="48"/>
        <v>12.987012987012987</v>
      </c>
      <c r="S186" s="14">
        <v>25.522696148587698</v>
      </c>
      <c r="T186" s="14">
        <f t="shared" si="65"/>
        <v>908.67881572081887</v>
      </c>
      <c r="U186" s="14">
        <f t="shared" si="49"/>
        <v>50.10420143006349</v>
      </c>
      <c r="V186" s="14">
        <v>33.391240609769255</v>
      </c>
      <c r="W186" s="16">
        <f t="shared" si="66"/>
        <v>0.69001057712254976</v>
      </c>
      <c r="X186" s="16">
        <f t="shared" si="67"/>
        <v>0.54312988967404596</v>
      </c>
      <c r="Y186" s="16">
        <f t="shared" si="68"/>
        <v>1.3983081583080179</v>
      </c>
      <c r="Z186" s="16">
        <f t="shared" si="50"/>
        <v>0.36196127891146629</v>
      </c>
      <c r="AA186" s="16">
        <f t="shared" si="51"/>
        <v>1.0004535082836318E-2</v>
      </c>
      <c r="AB186" s="14">
        <f t="shared" si="69"/>
        <v>50.10420143006349</v>
      </c>
      <c r="AC186" s="16">
        <f t="shared" si="52"/>
        <v>8.8777780724163924E-2</v>
      </c>
      <c r="AD186" s="16">
        <f t="shared" si="53"/>
        <v>2.6632843027509512E-2</v>
      </c>
      <c r="AE186" s="23" t="str">
        <f t="shared" si="70"/>
        <v/>
      </c>
      <c r="AF186" s="23" t="str">
        <f t="shared" si="54"/>
        <v/>
      </c>
      <c r="AG186" s="23" t="str">
        <f t="shared" si="55"/>
        <v/>
      </c>
      <c r="AH186" s="23" t="str">
        <f t="shared" si="71"/>
        <v/>
      </c>
      <c r="AI186" s="23" t="str">
        <f t="shared" si="56"/>
        <v/>
      </c>
      <c r="AJ186" s="23" t="str">
        <f t="shared" si="57"/>
        <v/>
      </c>
      <c r="AK186" s="23" t="str">
        <f t="shared" si="58"/>
        <v/>
      </c>
      <c r="AL186" s="23" t="str">
        <f t="shared" si="59"/>
        <v/>
      </c>
      <c r="AM186" s="52">
        <f t="shared" si="60"/>
        <v>0</v>
      </c>
      <c r="AN186" s="26">
        <f t="shared" si="61"/>
        <v>27.499592582795231</v>
      </c>
    </row>
    <row r="187" spans="1:40" x14ac:dyDescent="0.2">
      <c r="A187" s="12">
        <v>44741</v>
      </c>
      <c r="B187" s="6">
        <v>29</v>
      </c>
      <c r="C187" s="6">
        <v>180</v>
      </c>
      <c r="D187" s="6">
        <v>4</v>
      </c>
      <c r="E187" s="6" t="s">
        <v>15</v>
      </c>
      <c r="F187" s="6">
        <v>26</v>
      </c>
      <c r="G187" s="6">
        <v>6</v>
      </c>
      <c r="H187" s="6" t="s">
        <v>22</v>
      </c>
      <c r="I187" s="6">
        <v>2</v>
      </c>
      <c r="J187" s="14">
        <v>13.855644398832354</v>
      </c>
      <c r="K187" s="14">
        <v>51.951912134696158</v>
      </c>
      <c r="L187" s="14">
        <f t="shared" si="62"/>
        <v>719.8272203777334</v>
      </c>
      <c r="M187" s="16">
        <v>0.86059844330640023</v>
      </c>
      <c r="N187" s="14">
        <f t="shared" si="63"/>
        <v>619.48218530665042</v>
      </c>
      <c r="O187" s="14">
        <f t="shared" si="64"/>
        <v>100.34503507108298</v>
      </c>
      <c r="P187" s="14">
        <v>33.721530217220582</v>
      </c>
      <c r="Q187" s="14">
        <v>5.7377588382096798</v>
      </c>
      <c r="R187" s="14">
        <f t="shared" si="48"/>
        <v>12.987012987012987</v>
      </c>
      <c r="S187" s="14">
        <v>28.342560643535293</v>
      </c>
      <c r="T187" s="14">
        <f t="shared" si="65"/>
        <v>503.87905426441336</v>
      </c>
      <c r="U187" s="14">
        <f t="shared" si="49"/>
        <v>36.366338494287305</v>
      </c>
      <c r="V187" s="14">
        <v>34.408071899023035</v>
      </c>
      <c r="W187" s="16">
        <f t="shared" si="66"/>
        <v>0.92727317660857744</v>
      </c>
      <c r="X187" s="16">
        <f t="shared" si="67"/>
        <v>0.40268587090536057</v>
      </c>
      <c r="Y187" s="16">
        <f t="shared" si="68"/>
        <v>1.2294263475805718</v>
      </c>
      <c r="Z187" s="16">
        <f t="shared" si="50"/>
        <v>0.38100190925212063</v>
      </c>
      <c r="AA187" s="16">
        <f t="shared" si="51"/>
        <v>1.804184757030719E-2</v>
      </c>
      <c r="AB187" s="14">
        <f t="shared" si="69"/>
        <v>36.366338494287305</v>
      </c>
      <c r="AC187" s="16">
        <f t="shared" si="52"/>
        <v>0.11044365072325624</v>
      </c>
      <c r="AD187" s="16">
        <f t="shared" si="53"/>
        <v>4.6846700517278322E-2</v>
      </c>
      <c r="AE187" s="23" t="str">
        <f t="shared" si="70"/>
        <v/>
      </c>
      <c r="AF187" s="23" t="str">
        <f t="shared" si="54"/>
        <v/>
      </c>
      <c r="AG187" s="23" t="str">
        <f t="shared" si="55"/>
        <v/>
      </c>
      <c r="AH187" s="23" t="str">
        <f t="shared" si="71"/>
        <v/>
      </c>
      <c r="AI187" s="23" t="str">
        <f t="shared" si="56"/>
        <v/>
      </c>
      <c r="AJ187" s="23" t="str">
        <f t="shared" si="57"/>
        <v/>
      </c>
      <c r="AK187" s="23" t="str">
        <f t="shared" si="58"/>
        <v/>
      </c>
      <c r="AL187" s="23" t="str">
        <f t="shared" si="59"/>
        <v/>
      </c>
      <c r="AM187" s="52">
        <f t="shared" si="60"/>
        <v>0</v>
      </c>
      <c r="AN187" s="26">
        <f t="shared" si="61"/>
        <v>100.34503507108298</v>
      </c>
    </row>
    <row r="188" spans="1:40" x14ac:dyDescent="0.2">
      <c r="A188" s="12">
        <v>44742</v>
      </c>
      <c r="B188" s="6">
        <v>30</v>
      </c>
      <c r="C188" s="6">
        <v>181</v>
      </c>
      <c r="D188" s="6">
        <v>5</v>
      </c>
      <c r="E188" s="6" t="s">
        <v>16</v>
      </c>
      <c r="F188" s="6">
        <v>26</v>
      </c>
      <c r="G188" s="6">
        <v>6</v>
      </c>
      <c r="H188" s="6" t="s">
        <v>22</v>
      </c>
      <c r="I188" s="6">
        <v>2</v>
      </c>
      <c r="J188" s="14">
        <v>4.4856799279615597E-2</v>
      </c>
      <c r="K188" s="14">
        <v>65.504019691087123</v>
      </c>
      <c r="L188" s="14">
        <f t="shared" si="62"/>
        <v>2.9383006632910829</v>
      </c>
      <c r="M188" s="16">
        <v>0.60744286188504681</v>
      </c>
      <c r="N188" s="14">
        <f t="shared" si="63"/>
        <v>1.7848497639882668</v>
      </c>
      <c r="O188" s="14">
        <f t="shared" si="64"/>
        <v>1.1534508993028161</v>
      </c>
      <c r="P188" s="14">
        <v>48.214220213105143</v>
      </c>
      <c r="Q188" s="14">
        <v>11.39453408175493</v>
      </c>
      <c r="R188" s="14">
        <f t="shared" si="48"/>
        <v>12.987012987012987</v>
      </c>
      <c r="S188" s="14">
        <v>30.836836306852277</v>
      </c>
      <c r="T188" s="14">
        <f t="shared" si="65"/>
        <v>2.0568104643037577</v>
      </c>
      <c r="U188" s="14">
        <f t="shared" si="49"/>
        <v>45.852813783760979</v>
      </c>
      <c r="V188" s="14">
        <v>31.055897697196993</v>
      </c>
      <c r="W188" s="16">
        <f t="shared" si="66"/>
        <v>1.0514997060045304</v>
      </c>
      <c r="X188" s="16">
        <f t="shared" si="67"/>
        <v>1.4443890727932243E-3</v>
      </c>
      <c r="Y188" s="16">
        <f t="shared" si="68"/>
        <v>0.86777551697863853</v>
      </c>
      <c r="Z188" s="16">
        <f t="shared" si="50"/>
        <v>9.7827800691049145E-4</v>
      </c>
      <c r="AA188" s="16">
        <f t="shared" si="51"/>
        <v>4.419906086964807</v>
      </c>
      <c r="AB188" s="14">
        <f t="shared" si="69"/>
        <v>45.852813783760979</v>
      </c>
      <c r="AC188" s="16">
        <f t="shared" si="52"/>
        <v>0.17395167709540335</v>
      </c>
      <c r="AD188" s="16">
        <f t="shared" si="53"/>
        <v>16.408879055658709</v>
      </c>
      <c r="AE188" s="23" t="str">
        <f t="shared" si="70"/>
        <v/>
      </c>
      <c r="AF188" s="23" t="str">
        <f t="shared" si="54"/>
        <v/>
      </c>
      <c r="AG188" s="23" t="str">
        <f t="shared" si="55"/>
        <v/>
      </c>
      <c r="AH188" s="23" t="str">
        <f t="shared" si="71"/>
        <v/>
      </c>
      <c r="AI188" s="23" t="str">
        <f t="shared" si="56"/>
        <v/>
      </c>
      <c r="AJ188" s="23" t="str">
        <f t="shared" si="57"/>
        <v/>
      </c>
      <c r="AK188" s="23" t="str">
        <f t="shared" si="58"/>
        <v/>
      </c>
      <c r="AL188" s="23" t="str">
        <f t="shared" si="59"/>
        <v/>
      </c>
      <c r="AM188" s="52">
        <f t="shared" si="60"/>
        <v>0</v>
      </c>
      <c r="AN188" s="26">
        <f t="shared" si="61"/>
        <v>1.1534508993028161</v>
      </c>
    </row>
    <row r="189" spans="1:40" x14ac:dyDescent="0.2">
      <c r="A189" s="12">
        <v>44743</v>
      </c>
      <c r="B189" s="6">
        <v>1</v>
      </c>
      <c r="C189" s="6">
        <v>182</v>
      </c>
      <c r="D189" s="6">
        <v>6</v>
      </c>
      <c r="E189" s="6" t="s">
        <v>17</v>
      </c>
      <c r="F189" s="6">
        <v>26</v>
      </c>
      <c r="G189" s="6">
        <v>7</v>
      </c>
      <c r="H189" s="6" t="s">
        <v>23</v>
      </c>
      <c r="I189" s="6">
        <v>3</v>
      </c>
      <c r="J189" s="14">
        <v>4.0545139155672976</v>
      </c>
      <c r="K189" s="14">
        <v>105.67500650219517</v>
      </c>
      <c r="L189" s="14">
        <f t="shared" si="62"/>
        <v>428.46078439081498</v>
      </c>
      <c r="M189" s="16">
        <v>0.80253746750430355</v>
      </c>
      <c r="N189" s="14">
        <f t="shared" si="63"/>
        <v>343.85583282991206</v>
      </c>
      <c r="O189" s="14">
        <f t="shared" si="64"/>
        <v>84.604951560902919</v>
      </c>
      <c r="P189" s="14">
        <v>40.641381436230013</v>
      </c>
      <c r="Q189" s="14">
        <v>9.2642993969624534</v>
      </c>
      <c r="R189" s="14">
        <f t="shared" si="48"/>
        <v>12.987012987012987</v>
      </c>
      <c r="S189" s="14">
        <v>34.414125259008109</v>
      </c>
      <c r="T189" s="14">
        <f t="shared" si="65"/>
        <v>299.92254907357045</v>
      </c>
      <c r="U189" s="14">
        <f t="shared" si="49"/>
        <v>73.972504551536616</v>
      </c>
      <c r="V189" s="14">
        <v>33.975664133961423</v>
      </c>
      <c r="W189" s="16">
        <f t="shared" si="66"/>
        <v>0.54941199683073028</v>
      </c>
      <c r="X189" s="16">
        <f t="shared" si="67"/>
        <v>0.1193358251830163</v>
      </c>
      <c r="Y189" s="16">
        <f t="shared" si="68"/>
        <v>1.1464820964347193</v>
      </c>
      <c r="Z189" s="16">
        <f t="shared" si="50"/>
        <v>5.4811094205178885E-2</v>
      </c>
      <c r="AA189" s="16">
        <f t="shared" si="51"/>
        <v>3.0310855649199976E-2</v>
      </c>
      <c r="AB189" s="14">
        <f t="shared" si="69"/>
        <v>73.972504551536616</v>
      </c>
      <c r="AC189" s="16">
        <f t="shared" si="52"/>
        <v>8.7667838437937615E-2</v>
      </c>
      <c r="AD189" s="16">
        <f t="shared" si="53"/>
        <v>9.4854378549518545E-2</v>
      </c>
      <c r="AE189" s="23">
        <f t="shared" si="70"/>
        <v>3000</v>
      </c>
      <c r="AF189" s="23" t="str">
        <f t="shared" si="54"/>
        <v/>
      </c>
      <c r="AG189" s="23" t="str">
        <f t="shared" si="55"/>
        <v/>
      </c>
      <c r="AH189" s="23" t="str">
        <f t="shared" si="71"/>
        <v/>
      </c>
      <c r="AI189" s="23" t="str">
        <f t="shared" si="56"/>
        <v/>
      </c>
      <c r="AJ189" s="23" t="str">
        <f t="shared" si="57"/>
        <v/>
      </c>
      <c r="AK189" s="23" t="str">
        <f t="shared" si="58"/>
        <v/>
      </c>
      <c r="AL189" s="23" t="str">
        <f t="shared" si="59"/>
        <v/>
      </c>
      <c r="AM189" s="52">
        <f t="shared" si="60"/>
        <v>3000</v>
      </c>
      <c r="AN189" s="26">
        <f t="shared" si="61"/>
        <v>-2915.3950484390971</v>
      </c>
    </row>
    <row r="190" spans="1:40" x14ac:dyDescent="0.2">
      <c r="A190" s="12">
        <v>44744</v>
      </c>
      <c r="B190" s="6">
        <v>2</v>
      </c>
      <c r="C190" s="6">
        <v>183</v>
      </c>
      <c r="D190" s="6">
        <v>7</v>
      </c>
      <c r="E190" s="6" t="s">
        <v>10</v>
      </c>
      <c r="F190" s="6">
        <v>26</v>
      </c>
      <c r="G190" s="6">
        <v>7</v>
      </c>
      <c r="H190" s="6" t="s">
        <v>23</v>
      </c>
      <c r="I190" s="6">
        <v>3</v>
      </c>
      <c r="J190" s="14">
        <v>18.97667155235046</v>
      </c>
      <c r="K190" s="14">
        <v>35.421114039856235</v>
      </c>
      <c r="L190" s="14">
        <f t="shared" si="62"/>
        <v>672.17484715270132</v>
      </c>
      <c r="M190" s="16">
        <v>0.76216216914534662</v>
      </c>
      <c r="N190" s="14">
        <f t="shared" si="63"/>
        <v>512.30623955084468</v>
      </c>
      <c r="O190" s="14">
        <f t="shared" si="64"/>
        <v>159.86860760185664</v>
      </c>
      <c r="P190" s="14">
        <v>25.683564847590038</v>
      </c>
      <c r="Q190" s="14">
        <v>16.448876950922564</v>
      </c>
      <c r="R190" s="14">
        <f t="shared" si="48"/>
        <v>12.987012987012987</v>
      </c>
      <c r="S190" s="14">
        <v>27.934224431955784</v>
      </c>
      <c r="T190" s="14">
        <f t="shared" si="65"/>
        <v>470.52239300689087</v>
      </c>
      <c r="U190" s="14">
        <f t="shared" si="49"/>
        <v>24.794779827899362</v>
      </c>
      <c r="V190" s="14">
        <v>34.638368831056475</v>
      </c>
      <c r="W190" s="16">
        <f t="shared" si="66"/>
        <v>1.0358456508127813</v>
      </c>
      <c r="X190" s="16">
        <f t="shared" si="67"/>
        <v>0.54785118909341168</v>
      </c>
      <c r="Y190" s="16">
        <f t="shared" si="68"/>
        <v>1.0888030987790669</v>
      </c>
      <c r="Z190" s="16">
        <f t="shared" si="50"/>
        <v>0.76534946807624804</v>
      </c>
      <c r="AA190" s="16">
        <f t="shared" si="51"/>
        <v>1.932088509712215E-2</v>
      </c>
      <c r="AB190" s="14">
        <f t="shared" si="69"/>
        <v>24.794779827899362</v>
      </c>
      <c r="AC190" s="16">
        <f t="shared" si="52"/>
        <v>0.46438056500464958</v>
      </c>
      <c r="AD190" s="16">
        <f t="shared" si="53"/>
        <v>3.82096488084675E-2</v>
      </c>
      <c r="AE190" s="23" t="str">
        <f t="shared" si="70"/>
        <v/>
      </c>
      <c r="AF190" s="23" t="str">
        <f t="shared" si="54"/>
        <v/>
      </c>
      <c r="AG190" s="23" t="str">
        <f t="shared" si="55"/>
        <v/>
      </c>
      <c r="AH190" s="23" t="str">
        <f t="shared" si="71"/>
        <v/>
      </c>
      <c r="AI190" s="23" t="str">
        <f t="shared" si="56"/>
        <v/>
      </c>
      <c r="AJ190" s="23" t="str">
        <f t="shared" si="57"/>
        <v/>
      </c>
      <c r="AK190" s="23" t="str">
        <f t="shared" si="58"/>
        <v/>
      </c>
      <c r="AL190" s="23" t="str">
        <f t="shared" si="59"/>
        <v/>
      </c>
      <c r="AM190" s="52">
        <f t="shared" si="60"/>
        <v>0</v>
      </c>
      <c r="AN190" s="26">
        <f t="shared" si="61"/>
        <v>159.86860760185664</v>
      </c>
    </row>
    <row r="191" spans="1:40" x14ac:dyDescent="0.2">
      <c r="A191" s="12">
        <v>44745</v>
      </c>
      <c r="B191" s="6">
        <v>3</v>
      </c>
      <c r="C191" s="6">
        <v>184</v>
      </c>
      <c r="D191" s="6">
        <v>1</v>
      </c>
      <c r="E191" s="6" t="s">
        <v>12</v>
      </c>
      <c r="F191" s="6">
        <v>27</v>
      </c>
      <c r="G191" s="6">
        <v>7</v>
      </c>
      <c r="H191" s="6" t="s">
        <v>23</v>
      </c>
      <c r="I191" s="6">
        <v>3</v>
      </c>
      <c r="J191" s="14">
        <v>9.9977478780839633</v>
      </c>
      <c r="K191" s="14">
        <v>17.138470201459</v>
      </c>
      <c r="L191" s="14">
        <f t="shared" si="62"/>
        <v>171.34610409024197</v>
      </c>
      <c r="M191" s="16">
        <v>0.23340149291933385</v>
      </c>
      <c r="N191" s="14">
        <f t="shared" si="63"/>
        <v>39.992436500574051</v>
      </c>
      <c r="O191" s="14">
        <f t="shared" si="64"/>
        <v>131.35366758966791</v>
      </c>
      <c r="P191" s="14">
        <v>20.541507791956533</v>
      </c>
      <c r="Q191" s="14">
        <v>4.7142394955802516</v>
      </c>
      <c r="R191" s="14">
        <f t="shared" si="48"/>
        <v>28.571428571428573</v>
      </c>
      <c r="S191" s="14">
        <v>15.429690406823909</v>
      </c>
      <c r="T191" s="14">
        <f t="shared" si="65"/>
        <v>119.94227286316936</v>
      </c>
      <c r="U191" s="14">
        <f t="shared" si="49"/>
        <v>11.996929141021299</v>
      </c>
      <c r="V191" s="14">
        <v>14.81083913092222</v>
      </c>
      <c r="W191" s="16">
        <f t="shared" si="66"/>
        <v>1.7122304841927101</v>
      </c>
      <c r="X191" s="16">
        <f t="shared" si="67"/>
        <v>0.67502913168576406</v>
      </c>
      <c r="Y191" s="16">
        <f t="shared" si="68"/>
        <v>0.33343070417047699</v>
      </c>
      <c r="Z191" s="16">
        <f t="shared" si="50"/>
        <v>0.8333589171497644</v>
      </c>
      <c r="AA191" s="16">
        <f t="shared" si="51"/>
        <v>0.16674688183386421</v>
      </c>
      <c r="AB191" s="14">
        <f t="shared" si="69"/>
        <v>11.996929141021299</v>
      </c>
      <c r="AC191" s="16">
        <f t="shared" si="52"/>
        <v>0.27506769508394791</v>
      </c>
      <c r="AD191" s="16">
        <f t="shared" si="53"/>
        <v>0.11988313303661718</v>
      </c>
      <c r="AE191" s="23" t="str">
        <f t="shared" si="70"/>
        <v/>
      </c>
      <c r="AF191" s="23">
        <f t="shared" si="54"/>
        <v>1000</v>
      </c>
      <c r="AG191" s="23" t="str">
        <f t="shared" si="55"/>
        <v/>
      </c>
      <c r="AH191" s="23" t="str">
        <f t="shared" si="71"/>
        <v/>
      </c>
      <c r="AI191" s="23" t="str">
        <f t="shared" si="56"/>
        <v/>
      </c>
      <c r="AJ191" s="23" t="str">
        <f t="shared" si="57"/>
        <v/>
      </c>
      <c r="AK191" s="23" t="str">
        <f t="shared" si="58"/>
        <v/>
      </c>
      <c r="AL191" s="23" t="str">
        <f t="shared" si="59"/>
        <v/>
      </c>
      <c r="AM191" s="52">
        <f t="shared" si="60"/>
        <v>1000</v>
      </c>
      <c r="AN191" s="26">
        <f t="shared" si="61"/>
        <v>-868.64633241033209</v>
      </c>
    </row>
    <row r="192" spans="1:40" x14ac:dyDescent="0.2">
      <c r="A192" s="12">
        <v>44746</v>
      </c>
      <c r="B192" s="6">
        <v>4</v>
      </c>
      <c r="C192" s="6">
        <v>185</v>
      </c>
      <c r="D192" s="6">
        <v>2</v>
      </c>
      <c r="E192" s="6" t="s">
        <v>13</v>
      </c>
      <c r="F192" s="6">
        <v>27</v>
      </c>
      <c r="G192" s="6">
        <v>7</v>
      </c>
      <c r="H192" s="6" t="s">
        <v>23</v>
      </c>
      <c r="I192" s="6">
        <v>3</v>
      </c>
      <c r="J192" s="14">
        <v>19.944188864391343</v>
      </c>
      <c r="K192" s="14">
        <v>21.852918555526418</v>
      </c>
      <c r="L192" s="14">
        <f t="shared" si="62"/>
        <v>435.83873490958092</v>
      </c>
      <c r="M192" s="16">
        <v>0.48034182462123154</v>
      </c>
      <c r="N192" s="14">
        <f t="shared" si="63"/>
        <v>209.35157316707733</v>
      </c>
      <c r="O192" s="14">
        <f t="shared" si="64"/>
        <v>226.48716174250359</v>
      </c>
      <c r="P192" s="14">
        <v>32.155195448047991</v>
      </c>
      <c r="Q192" s="14">
        <v>17.240357829814155</v>
      </c>
      <c r="R192" s="14">
        <f t="shared" si="48"/>
        <v>12.987012987012987</v>
      </c>
      <c r="S192" s="14">
        <v>37.164164053517979</v>
      </c>
      <c r="T192" s="14">
        <f t="shared" si="65"/>
        <v>305.0871144367066</v>
      </c>
      <c r="U192" s="14">
        <f t="shared" si="49"/>
        <v>15.29704298886849</v>
      </c>
      <c r="V192" s="14">
        <v>30.627340546706513</v>
      </c>
      <c r="W192" s="16">
        <f t="shared" si="66"/>
        <v>2.1020530223682456</v>
      </c>
      <c r="X192" s="16">
        <f t="shared" si="67"/>
        <v>0.65118905227754176</v>
      </c>
      <c r="Y192" s="16">
        <f t="shared" si="68"/>
        <v>0.68620260660175936</v>
      </c>
      <c r="Z192" s="16">
        <f t="shared" si="50"/>
        <v>1.3037937383652864</v>
      </c>
      <c r="AA192" s="16">
        <f t="shared" si="51"/>
        <v>2.9797748448648721E-2</v>
      </c>
      <c r="AB192" s="14">
        <f t="shared" si="69"/>
        <v>15.29704298886849</v>
      </c>
      <c r="AC192" s="16">
        <f t="shared" si="52"/>
        <v>0.78892701613323923</v>
      </c>
      <c r="AD192" s="16">
        <f t="shared" si="53"/>
        <v>7.3777736746411277E-2</v>
      </c>
      <c r="AE192" s="23" t="str">
        <f t="shared" si="70"/>
        <v/>
      </c>
      <c r="AF192" s="23" t="str">
        <f t="shared" si="54"/>
        <v/>
      </c>
      <c r="AG192" s="23" t="str">
        <f t="shared" si="55"/>
        <v/>
      </c>
      <c r="AH192" s="23" t="str">
        <f t="shared" si="71"/>
        <v/>
      </c>
      <c r="AI192" s="23" t="str">
        <f t="shared" si="56"/>
        <v/>
      </c>
      <c r="AJ192" s="23" t="str">
        <f t="shared" si="57"/>
        <v/>
      </c>
      <c r="AK192" s="23" t="str">
        <f t="shared" si="58"/>
        <v/>
      </c>
      <c r="AL192" s="23" t="str">
        <f t="shared" si="59"/>
        <v/>
      </c>
      <c r="AM192" s="52">
        <f t="shared" si="60"/>
        <v>0</v>
      </c>
      <c r="AN192" s="26">
        <f t="shared" si="61"/>
        <v>226.48716174250359</v>
      </c>
    </row>
    <row r="193" spans="1:40" x14ac:dyDescent="0.2">
      <c r="A193" s="12">
        <v>44747</v>
      </c>
      <c r="B193" s="6">
        <v>5</v>
      </c>
      <c r="C193" s="6">
        <v>186</v>
      </c>
      <c r="D193" s="6">
        <v>3</v>
      </c>
      <c r="E193" s="6" t="s">
        <v>14</v>
      </c>
      <c r="F193" s="6">
        <v>27</v>
      </c>
      <c r="G193" s="6">
        <v>7</v>
      </c>
      <c r="H193" s="6" t="s">
        <v>23</v>
      </c>
      <c r="I193" s="6">
        <v>3</v>
      </c>
      <c r="J193" s="14">
        <v>16.828050856275002</v>
      </c>
      <c r="K193" s="14">
        <v>20.648431306317036</v>
      </c>
      <c r="L193" s="14">
        <f t="shared" si="62"/>
        <v>347.47285212500395</v>
      </c>
      <c r="M193" s="16">
        <v>0.58906920687824071</v>
      </c>
      <c r="N193" s="14">
        <f t="shared" si="63"/>
        <v>204.6855574129963</v>
      </c>
      <c r="O193" s="14">
        <f t="shared" si="64"/>
        <v>142.78729471200765</v>
      </c>
      <c r="P193" s="14">
        <v>37.107004183335711</v>
      </c>
      <c r="Q193" s="14">
        <v>9.9962125227848002</v>
      </c>
      <c r="R193" s="14">
        <f t="shared" si="48"/>
        <v>12.987012987012987</v>
      </c>
      <c r="S193" s="14">
        <v>33.724672919430553</v>
      </c>
      <c r="T193" s="14">
        <f t="shared" si="65"/>
        <v>243.23099648750275</v>
      </c>
      <c r="U193" s="14">
        <f t="shared" si="49"/>
        <v>14.453901914421923</v>
      </c>
      <c r="V193" s="14">
        <v>31.465114973545063</v>
      </c>
      <c r="W193" s="16">
        <f t="shared" si="66"/>
        <v>2.5672655316908441</v>
      </c>
      <c r="X193" s="16">
        <f t="shared" si="67"/>
        <v>0.5348161247916472</v>
      </c>
      <c r="Y193" s="16">
        <f t="shared" si="68"/>
        <v>0.84152743839748678</v>
      </c>
      <c r="Z193" s="16">
        <f t="shared" si="50"/>
        <v>1.1642566108383634</v>
      </c>
      <c r="AA193" s="16">
        <f t="shared" si="51"/>
        <v>3.7375619152948639E-2</v>
      </c>
      <c r="AB193" s="14">
        <f t="shared" si="69"/>
        <v>14.453901914421923</v>
      </c>
      <c r="AC193" s="16">
        <f t="shared" si="52"/>
        <v>0.48411486444137908</v>
      </c>
      <c r="AD193" s="16">
        <f t="shared" si="53"/>
        <v>0.1067910887322685</v>
      </c>
      <c r="AE193" s="23" t="str">
        <f t="shared" si="70"/>
        <v/>
      </c>
      <c r="AF193" s="23" t="str">
        <f t="shared" si="54"/>
        <v/>
      </c>
      <c r="AG193" s="23" t="str">
        <f t="shared" si="55"/>
        <v/>
      </c>
      <c r="AH193" s="23" t="str">
        <f t="shared" si="71"/>
        <v/>
      </c>
      <c r="AI193" s="23" t="str">
        <f t="shared" si="56"/>
        <v/>
      </c>
      <c r="AJ193" s="23" t="str">
        <f t="shared" si="57"/>
        <v/>
      </c>
      <c r="AK193" s="23" t="str">
        <f t="shared" si="58"/>
        <v/>
      </c>
      <c r="AL193" s="23">
        <f t="shared" si="59"/>
        <v>1000</v>
      </c>
      <c r="AM193" s="52">
        <f t="shared" si="60"/>
        <v>1000</v>
      </c>
      <c r="AN193" s="26">
        <f t="shared" si="61"/>
        <v>-857.21270528799232</v>
      </c>
    </row>
    <row r="194" spans="1:40" x14ac:dyDescent="0.2">
      <c r="A194" s="12">
        <v>44748</v>
      </c>
      <c r="B194" s="6">
        <v>6</v>
      </c>
      <c r="C194" s="6">
        <v>187</v>
      </c>
      <c r="D194" s="6">
        <v>4</v>
      </c>
      <c r="E194" s="6" t="s">
        <v>15</v>
      </c>
      <c r="F194" s="6">
        <v>27</v>
      </c>
      <c r="G194" s="6">
        <v>7</v>
      </c>
      <c r="H194" s="6" t="s">
        <v>23</v>
      </c>
      <c r="I194" s="6">
        <v>3</v>
      </c>
      <c r="J194" s="14">
        <v>19.0529895326695</v>
      </c>
      <c r="K194" s="14">
        <v>44.407097267709659</v>
      </c>
      <c r="L194" s="14">
        <f t="shared" si="62"/>
        <v>846.08795941790845</v>
      </c>
      <c r="M194" s="16">
        <v>0.42174276430051272</v>
      </c>
      <c r="N194" s="14">
        <f t="shared" si="63"/>
        <v>356.83147484628876</v>
      </c>
      <c r="O194" s="14">
        <f t="shared" si="64"/>
        <v>489.25648457161969</v>
      </c>
      <c r="P194" s="14">
        <v>25.783514738543175</v>
      </c>
      <c r="Q194" s="14">
        <v>16.629987515640739</v>
      </c>
      <c r="R194" s="14">
        <f t="shared" si="48"/>
        <v>12.987012987012987</v>
      </c>
      <c r="S194" s="14">
        <v>34.088937243504731</v>
      </c>
      <c r="T194" s="14">
        <f t="shared" si="65"/>
        <v>592.26157159253592</v>
      </c>
      <c r="U194" s="14">
        <f t="shared" si="49"/>
        <v>31.08496808739676</v>
      </c>
      <c r="V194" s="14">
        <v>32.140353479783712</v>
      </c>
      <c r="W194" s="16">
        <f t="shared" si="66"/>
        <v>0.82945282961371181</v>
      </c>
      <c r="X194" s="16">
        <f t="shared" si="67"/>
        <v>0.59280584902881772</v>
      </c>
      <c r="Y194" s="16">
        <f t="shared" si="68"/>
        <v>0.60248966328644682</v>
      </c>
      <c r="Z194" s="16">
        <f t="shared" si="50"/>
        <v>0.61293257497003628</v>
      </c>
      <c r="AA194" s="16">
        <f t="shared" si="51"/>
        <v>1.5349483280612799E-2</v>
      </c>
      <c r="AB194" s="14">
        <f t="shared" si="69"/>
        <v>31.08496808739676</v>
      </c>
      <c r="AC194" s="16">
        <f t="shared" si="52"/>
        <v>0.37448940684833121</v>
      </c>
      <c r="AD194" s="16">
        <f t="shared" si="53"/>
        <v>3.0473799386392067E-2</v>
      </c>
      <c r="AE194" s="23" t="str">
        <f t="shared" si="70"/>
        <v/>
      </c>
      <c r="AF194" s="23" t="str">
        <f t="shared" si="54"/>
        <v/>
      </c>
      <c r="AG194" s="23" t="str">
        <f t="shared" si="55"/>
        <v/>
      </c>
      <c r="AH194" s="23" t="str">
        <f t="shared" si="71"/>
        <v/>
      </c>
      <c r="AI194" s="23" t="str">
        <f t="shared" si="56"/>
        <v/>
      </c>
      <c r="AJ194" s="23" t="str">
        <f t="shared" si="57"/>
        <v/>
      </c>
      <c r="AK194" s="23" t="str">
        <f t="shared" si="58"/>
        <v/>
      </c>
      <c r="AL194" s="23" t="str">
        <f t="shared" si="59"/>
        <v/>
      </c>
      <c r="AM194" s="52">
        <f t="shared" si="60"/>
        <v>0</v>
      </c>
      <c r="AN194" s="26">
        <f t="shared" si="61"/>
        <v>489.25648457161969</v>
      </c>
    </row>
    <row r="195" spans="1:40" x14ac:dyDescent="0.2">
      <c r="A195" s="12">
        <v>44749</v>
      </c>
      <c r="B195" s="6">
        <v>7</v>
      </c>
      <c r="C195" s="6">
        <v>188</v>
      </c>
      <c r="D195" s="6">
        <v>5</v>
      </c>
      <c r="E195" s="6" t="s">
        <v>16</v>
      </c>
      <c r="F195" s="6">
        <v>27</v>
      </c>
      <c r="G195" s="6">
        <v>7</v>
      </c>
      <c r="H195" s="6" t="s">
        <v>23</v>
      </c>
      <c r="I195" s="6">
        <v>3</v>
      </c>
      <c r="J195" s="14">
        <v>12.477832733585215</v>
      </c>
      <c r="K195" s="14">
        <v>93.007825461389885</v>
      </c>
      <c r="L195" s="14">
        <f t="shared" si="62"/>
        <v>1160.5360890217112</v>
      </c>
      <c r="M195" s="16">
        <v>0.42049523808734524</v>
      </c>
      <c r="N195" s="14">
        <f t="shared" si="63"/>
        <v>487.99989906214091</v>
      </c>
      <c r="O195" s="14">
        <f t="shared" si="64"/>
        <v>672.53618995957027</v>
      </c>
      <c r="P195" s="14">
        <v>21.694575478203706</v>
      </c>
      <c r="Q195" s="14">
        <v>9.4975663853676622</v>
      </c>
      <c r="R195" s="14">
        <f t="shared" si="48"/>
        <v>12.987012987012987</v>
      </c>
      <c r="S195" s="14">
        <v>30.181284660010025</v>
      </c>
      <c r="T195" s="14">
        <f t="shared" si="65"/>
        <v>812.3752623151978</v>
      </c>
      <c r="U195" s="14">
        <f t="shared" si="49"/>
        <v>65.105477822972915</v>
      </c>
      <c r="V195" s="14">
        <v>30.620180025437911</v>
      </c>
      <c r="W195" s="16">
        <f t="shared" si="66"/>
        <v>0.33322196846773816</v>
      </c>
      <c r="X195" s="16">
        <f t="shared" si="67"/>
        <v>0.40750357193260051</v>
      </c>
      <c r="Y195" s="16">
        <f t="shared" si="68"/>
        <v>0.60070748298192178</v>
      </c>
      <c r="Z195" s="16">
        <f t="shared" si="50"/>
        <v>0.19165565096555248</v>
      </c>
      <c r="AA195" s="16">
        <f t="shared" si="51"/>
        <v>1.1190529195831004E-2</v>
      </c>
      <c r="AB195" s="14">
        <f t="shared" si="69"/>
        <v>65.105477822972915</v>
      </c>
      <c r="AC195" s="16">
        <f t="shared" si="52"/>
        <v>0.10211577722898557</v>
      </c>
      <c r="AD195" s="16">
        <f t="shared" si="53"/>
        <v>1.869358108155984E-2</v>
      </c>
      <c r="AE195" s="23" t="str">
        <f t="shared" si="70"/>
        <v/>
      </c>
      <c r="AF195" s="23" t="str">
        <f t="shared" si="54"/>
        <v/>
      </c>
      <c r="AG195" s="23" t="str">
        <f t="shared" si="55"/>
        <v/>
      </c>
      <c r="AH195" s="23" t="str">
        <f t="shared" si="71"/>
        <v/>
      </c>
      <c r="AI195" s="23" t="str">
        <f t="shared" si="56"/>
        <v/>
      </c>
      <c r="AJ195" s="23" t="str">
        <f t="shared" si="57"/>
        <v/>
      </c>
      <c r="AK195" s="23" t="str">
        <f t="shared" si="58"/>
        <v/>
      </c>
      <c r="AL195" s="23" t="str">
        <f t="shared" si="59"/>
        <v/>
      </c>
      <c r="AM195" s="52">
        <f t="shared" si="60"/>
        <v>0</v>
      </c>
      <c r="AN195" s="26">
        <f t="shared" si="61"/>
        <v>672.53618995957027</v>
      </c>
    </row>
    <row r="196" spans="1:40" x14ac:dyDescent="0.2">
      <c r="A196" s="12">
        <v>44750</v>
      </c>
      <c r="B196" s="6">
        <v>8</v>
      </c>
      <c r="C196" s="6">
        <v>189</v>
      </c>
      <c r="D196" s="6">
        <v>6</v>
      </c>
      <c r="E196" s="6" t="s">
        <v>17</v>
      </c>
      <c r="F196" s="6">
        <v>27</v>
      </c>
      <c r="G196" s="6">
        <v>7</v>
      </c>
      <c r="H196" s="6" t="s">
        <v>23</v>
      </c>
      <c r="I196" s="6">
        <v>3</v>
      </c>
      <c r="J196" s="14">
        <v>16.551071933764355</v>
      </c>
      <c r="K196" s="14">
        <v>41.393720112761635</v>
      </c>
      <c r="L196" s="14">
        <f t="shared" si="62"/>
        <v>685.11043919242616</v>
      </c>
      <c r="M196" s="16">
        <v>0.47791669102167883</v>
      </c>
      <c r="N196" s="14">
        <f t="shared" si="63"/>
        <v>327.42571408325341</v>
      </c>
      <c r="O196" s="14">
        <f t="shared" si="64"/>
        <v>357.68472510917275</v>
      </c>
      <c r="P196" s="14">
        <v>38.12529339980852</v>
      </c>
      <c r="Q196" s="14">
        <v>7.8890088690061253</v>
      </c>
      <c r="R196" s="14">
        <f t="shared" si="48"/>
        <v>12.987012987012987</v>
      </c>
      <c r="S196" s="14">
        <v>31.344058773970598</v>
      </c>
      <c r="T196" s="14">
        <f t="shared" si="65"/>
        <v>479.5773074346983</v>
      </c>
      <c r="U196" s="14">
        <f t="shared" si="49"/>
        <v>28.975604078933141</v>
      </c>
      <c r="V196" s="14">
        <v>31.472026044810452</v>
      </c>
      <c r="W196" s="16">
        <f t="shared" si="66"/>
        <v>1.3157721680607759</v>
      </c>
      <c r="X196" s="16">
        <f t="shared" si="67"/>
        <v>0.52589788500424572</v>
      </c>
      <c r="Y196" s="16">
        <f t="shared" si="68"/>
        <v>0.68273813003096973</v>
      </c>
      <c r="Z196" s="16">
        <f t="shared" si="50"/>
        <v>0.5712071399332066</v>
      </c>
      <c r="AA196" s="16">
        <f t="shared" si="51"/>
        <v>1.8956086849766043E-2</v>
      </c>
      <c r="AB196" s="14">
        <f t="shared" si="69"/>
        <v>28.975604078933141</v>
      </c>
      <c r="AC196" s="16">
        <f t="shared" si="52"/>
        <v>0.19058467921016728</v>
      </c>
      <c r="AD196" s="16">
        <f t="shared" si="53"/>
        <v>5.5648390710187838E-2</v>
      </c>
      <c r="AE196" s="23" t="str">
        <f t="shared" si="70"/>
        <v/>
      </c>
      <c r="AF196" s="23" t="str">
        <f t="shared" si="54"/>
        <v/>
      </c>
      <c r="AG196" s="23" t="str">
        <f t="shared" si="55"/>
        <v/>
      </c>
      <c r="AH196" s="23" t="str">
        <f t="shared" si="71"/>
        <v/>
      </c>
      <c r="AI196" s="23" t="str">
        <f t="shared" si="56"/>
        <v/>
      </c>
      <c r="AJ196" s="23" t="str">
        <f t="shared" si="57"/>
        <v/>
      </c>
      <c r="AK196" s="23" t="str">
        <f t="shared" si="58"/>
        <v/>
      </c>
      <c r="AL196" s="23" t="str">
        <f t="shared" si="59"/>
        <v/>
      </c>
      <c r="AM196" s="52">
        <f t="shared" si="60"/>
        <v>0</v>
      </c>
      <c r="AN196" s="26">
        <f t="shared" si="61"/>
        <v>357.68472510917275</v>
      </c>
    </row>
    <row r="197" spans="1:40" x14ac:dyDescent="0.2">
      <c r="A197" s="12">
        <v>44751</v>
      </c>
      <c r="B197" s="6">
        <v>9</v>
      </c>
      <c r="C197" s="6">
        <v>190</v>
      </c>
      <c r="D197" s="6">
        <v>7</v>
      </c>
      <c r="E197" s="6" t="s">
        <v>10</v>
      </c>
      <c r="F197" s="6">
        <v>27</v>
      </c>
      <c r="G197" s="6">
        <v>7</v>
      </c>
      <c r="H197" s="6" t="s">
        <v>23</v>
      </c>
      <c r="I197" s="6">
        <v>3</v>
      </c>
      <c r="J197" s="14">
        <v>21.793727475681742</v>
      </c>
      <c r="K197" s="14">
        <v>71.879688182277377</v>
      </c>
      <c r="L197" s="14">
        <f t="shared" si="62"/>
        <v>1566.5263352815346</v>
      </c>
      <c r="M197" s="16">
        <v>0.46445394380174432</v>
      </c>
      <c r="N197" s="14">
        <f t="shared" si="63"/>
        <v>727.57933449080235</v>
      </c>
      <c r="O197" s="14">
        <f t="shared" si="64"/>
        <v>838.9470007907322</v>
      </c>
      <c r="P197" s="14">
        <v>34.234204135143905</v>
      </c>
      <c r="Q197" s="14">
        <v>13.5739789559311</v>
      </c>
      <c r="R197" s="14">
        <f t="shared" si="48"/>
        <v>12.987012987012987</v>
      </c>
      <c r="S197" s="14">
        <v>39.096523112039272</v>
      </c>
      <c r="T197" s="14">
        <f t="shared" si="65"/>
        <v>1096.5684346970741</v>
      </c>
      <c r="U197" s="14">
        <f t="shared" si="49"/>
        <v>50.315781727594157</v>
      </c>
      <c r="V197" s="14">
        <v>35.465705568174499</v>
      </c>
      <c r="W197" s="16">
        <f t="shared" si="66"/>
        <v>0.68038700701273613</v>
      </c>
      <c r="X197" s="16">
        <f t="shared" si="67"/>
        <v>0.61450144940126494</v>
      </c>
      <c r="Y197" s="16">
        <f t="shared" si="68"/>
        <v>0.66350563400249196</v>
      </c>
      <c r="Z197" s="16">
        <f t="shared" si="50"/>
        <v>0.43313900186767118</v>
      </c>
      <c r="AA197" s="16">
        <f t="shared" si="51"/>
        <v>8.2903253488419478E-3</v>
      </c>
      <c r="AB197" s="14">
        <f t="shared" si="69"/>
        <v>50.315781727594157</v>
      </c>
      <c r="AC197" s="16">
        <f t="shared" si="52"/>
        <v>0.18884304174371605</v>
      </c>
      <c r="AD197" s="16">
        <f t="shared" si="53"/>
        <v>2.1853577156104028E-2</v>
      </c>
      <c r="AE197" s="23" t="str">
        <f t="shared" si="70"/>
        <v/>
      </c>
      <c r="AF197" s="23" t="str">
        <f t="shared" si="54"/>
        <v/>
      </c>
      <c r="AG197" s="23" t="str">
        <f t="shared" si="55"/>
        <v/>
      </c>
      <c r="AH197" s="23" t="str">
        <f t="shared" si="71"/>
        <v/>
      </c>
      <c r="AI197" s="23" t="str">
        <f t="shared" si="56"/>
        <v/>
      </c>
      <c r="AJ197" s="23" t="str">
        <f t="shared" si="57"/>
        <v/>
      </c>
      <c r="AK197" s="23" t="str">
        <f t="shared" si="58"/>
        <v/>
      </c>
      <c r="AL197" s="23" t="str">
        <f t="shared" si="59"/>
        <v/>
      </c>
      <c r="AM197" s="52">
        <f t="shared" si="60"/>
        <v>0</v>
      </c>
      <c r="AN197" s="26">
        <f t="shared" si="61"/>
        <v>838.9470007907322</v>
      </c>
    </row>
    <row r="198" spans="1:40" x14ac:dyDescent="0.2">
      <c r="A198" s="12">
        <v>44752</v>
      </c>
      <c r="B198" s="6">
        <v>10</v>
      </c>
      <c r="C198" s="6">
        <v>191</v>
      </c>
      <c r="D198" s="6">
        <v>1</v>
      </c>
      <c r="E198" s="6" t="s">
        <v>12</v>
      </c>
      <c r="F198" s="6">
        <v>28</v>
      </c>
      <c r="G198" s="6">
        <v>7</v>
      </c>
      <c r="H198" s="6" t="s">
        <v>23</v>
      </c>
      <c r="I198" s="6">
        <v>3</v>
      </c>
      <c r="J198" s="14">
        <v>5.1235333927373752</v>
      </c>
      <c r="K198" s="14">
        <v>32.947512671109109</v>
      </c>
      <c r="L198" s="14">
        <f t="shared" si="62"/>
        <v>168.80768137806533</v>
      </c>
      <c r="M198" s="16">
        <v>0.20584912629333377</v>
      </c>
      <c r="N198" s="14">
        <f t="shared" si="63"/>
        <v>34.748913723278214</v>
      </c>
      <c r="O198" s="14">
        <f t="shared" si="64"/>
        <v>134.05876765478712</v>
      </c>
      <c r="P198" s="14">
        <v>11.11679085568654</v>
      </c>
      <c r="Q198" s="14">
        <v>7.0516950700720162</v>
      </c>
      <c r="R198" s="14">
        <f t="shared" si="48"/>
        <v>28.571428571428573</v>
      </c>
      <c r="S198" s="14">
        <v>17.950794156524804</v>
      </c>
      <c r="T198" s="14">
        <f t="shared" si="65"/>
        <v>118.16537696464572</v>
      </c>
      <c r="U198" s="14">
        <f t="shared" si="49"/>
        <v>23.063258869776377</v>
      </c>
      <c r="V198" s="14">
        <v>14.501498661462318</v>
      </c>
      <c r="W198" s="16">
        <f t="shared" si="66"/>
        <v>0.48201301119048356</v>
      </c>
      <c r="X198" s="16">
        <f t="shared" si="67"/>
        <v>0.35331061377491607</v>
      </c>
      <c r="Y198" s="16">
        <f t="shared" si="68"/>
        <v>0.29407018041904825</v>
      </c>
      <c r="Z198" s="16">
        <f t="shared" si="50"/>
        <v>0.2221513196234203</v>
      </c>
      <c r="AA198" s="16">
        <f t="shared" si="51"/>
        <v>0.16925431555119452</v>
      </c>
      <c r="AB198" s="14">
        <f t="shared" si="69"/>
        <v>23.063258869776377</v>
      </c>
      <c r="AC198" s="16">
        <f t="shared" si="52"/>
        <v>0.21402814653913102</v>
      </c>
      <c r="AD198" s="16">
        <f t="shared" si="53"/>
        <v>6.5854768959175122E-2</v>
      </c>
      <c r="AE198" s="23" t="str">
        <f t="shared" si="70"/>
        <v/>
      </c>
      <c r="AF198" s="23">
        <f t="shared" si="54"/>
        <v>1000</v>
      </c>
      <c r="AG198" s="23" t="str">
        <f t="shared" si="55"/>
        <v/>
      </c>
      <c r="AH198" s="23">
        <f t="shared" si="71"/>
        <v>300</v>
      </c>
      <c r="AI198" s="23" t="str">
        <f t="shared" si="56"/>
        <v/>
      </c>
      <c r="AJ198" s="23" t="str">
        <f t="shared" si="57"/>
        <v/>
      </c>
      <c r="AK198" s="23" t="str">
        <f t="shared" si="58"/>
        <v/>
      </c>
      <c r="AL198" s="23" t="str">
        <f t="shared" si="59"/>
        <v/>
      </c>
      <c r="AM198" s="52">
        <f t="shared" si="60"/>
        <v>1300</v>
      </c>
      <c r="AN198" s="26">
        <f t="shared" si="61"/>
        <v>-1165.9412323452129</v>
      </c>
    </row>
    <row r="199" spans="1:40" x14ac:dyDescent="0.2">
      <c r="A199" s="12">
        <v>44753</v>
      </c>
      <c r="B199" s="6">
        <v>11</v>
      </c>
      <c r="C199" s="6">
        <v>192</v>
      </c>
      <c r="D199" s="6">
        <v>2</v>
      </c>
      <c r="E199" s="6" t="s">
        <v>13</v>
      </c>
      <c r="F199" s="6">
        <v>28</v>
      </c>
      <c r="G199" s="6">
        <v>7</v>
      </c>
      <c r="H199" s="6" t="s">
        <v>23</v>
      </c>
      <c r="I199" s="6">
        <v>3</v>
      </c>
      <c r="J199" s="14">
        <v>8.7242608122621359</v>
      </c>
      <c r="K199" s="14">
        <v>55.67901177637961</v>
      </c>
      <c r="L199" s="14">
        <f t="shared" si="62"/>
        <v>485.75822050615062</v>
      </c>
      <c r="M199" s="16">
        <v>0.32551441606638559</v>
      </c>
      <c r="N199" s="14">
        <f t="shared" si="63"/>
        <v>158.1213034975062</v>
      </c>
      <c r="O199" s="14">
        <f t="shared" si="64"/>
        <v>327.63691700864445</v>
      </c>
      <c r="P199" s="14">
        <v>27.145631821825834</v>
      </c>
      <c r="Q199" s="14">
        <v>9.9499067362362403</v>
      </c>
      <c r="R199" s="14">
        <f t="shared" si="48"/>
        <v>12.987012987012987</v>
      </c>
      <c r="S199" s="14">
        <v>37.995392544739339</v>
      </c>
      <c r="T199" s="14">
        <f t="shared" si="65"/>
        <v>340.03075435430543</v>
      </c>
      <c r="U199" s="14">
        <f t="shared" si="49"/>
        <v>38.975308243465726</v>
      </c>
      <c r="V199" s="14">
        <v>34.012135769505939</v>
      </c>
      <c r="W199" s="16">
        <f t="shared" si="66"/>
        <v>0.69648280014249386</v>
      </c>
      <c r="X199" s="16">
        <f t="shared" si="67"/>
        <v>0.25650435101708596</v>
      </c>
      <c r="Y199" s="16">
        <f t="shared" si="68"/>
        <v>0.46502059438055088</v>
      </c>
      <c r="Z199" s="16">
        <f t="shared" si="50"/>
        <v>0.22384071365810873</v>
      </c>
      <c r="AA199" s="16">
        <f t="shared" si="51"/>
        <v>2.6735549577484807E-2</v>
      </c>
      <c r="AB199" s="14">
        <f t="shared" si="69"/>
        <v>38.975308243465726</v>
      </c>
      <c r="AC199" s="16">
        <f t="shared" si="52"/>
        <v>0.17870120928506192</v>
      </c>
      <c r="AD199" s="16">
        <f t="shared" si="53"/>
        <v>5.5883010674612182E-2</v>
      </c>
      <c r="AE199" s="23" t="str">
        <f t="shared" si="70"/>
        <v/>
      </c>
      <c r="AF199" s="23" t="str">
        <f t="shared" si="54"/>
        <v/>
      </c>
      <c r="AG199" s="23" t="str">
        <f t="shared" si="55"/>
        <v/>
      </c>
      <c r="AH199" s="23" t="str">
        <f t="shared" si="71"/>
        <v/>
      </c>
      <c r="AI199" s="23" t="str">
        <f t="shared" si="56"/>
        <v/>
      </c>
      <c r="AJ199" s="23" t="str">
        <f t="shared" si="57"/>
        <v/>
      </c>
      <c r="AK199" s="23" t="str">
        <f t="shared" si="58"/>
        <v/>
      </c>
      <c r="AL199" s="23" t="str">
        <f t="shared" si="59"/>
        <v/>
      </c>
      <c r="AM199" s="52">
        <f t="shared" si="60"/>
        <v>0</v>
      </c>
      <c r="AN199" s="26">
        <f t="shared" si="61"/>
        <v>327.63691700864445</v>
      </c>
    </row>
    <row r="200" spans="1:40" x14ac:dyDescent="0.2">
      <c r="A200" s="12">
        <v>44754</v>
      </c>
      <c r="B200" s="6">
        <v>12</v>
      </c>
      <c r="C200" s="6">
        <v>193</v>
      </c>
      <c r="D200" s="6">
        <v>3</v>
      </c>
      <c r="E200" s="6" t="s">
        <v>14</v>
      </c>
      <c r="F200" s="6">
        <v>28</v>
      </c>
      <c r="G200" s="6">
        <v>7</v>
      </c>
      <c r="H200" s="6" t="s">
        <v>23</v>
      </c>
      <c r="I200" s="6">
        <v>3</v>
      </c>
      <c r="J200" s="14">
        <v>10.694837492052272</v>
      </c>
      <c r="K200" s="14">
        <v>45.707998835555379</v>
      </c>
      <c r="L200" s="14">
        <f t="shared" si="62"/>
        <v>488.83961963317927</v>
      </c>
      <c r="M200" s="16">
        <v>0.29130876692593793</v>
      </c>
      <c r="N200" s="14">
        <f t="shared" si="63"/>
        <v>142.40326681988597</v>
      </c>
      <c r="O200" s="14">
        <f t="shared" si="64"/>
        <v>346.4363528132933</v>
      </c>
      <c r="P200" s="14">
        <v>31.474616309454671</v>
      </c>
      <c r="Q200" s="14">
        <v>13.235238237761738</v>
      </c>
      <c r="R200" s="14">
        <f t="shared" ref="R200:R263" si="72">IF(E200=$AF$6,$R$2/5,$R$2/11)</f>
        <v>12.987012987012987</v>
      </c>
      <c r="S200" s="14">
        <v>34.803670999648986</v>
      </c>
      <c r="T200" s="14">
        <f t="shared" si="65"/>
        <v>342.18773374322546</v>
      </c>
      <c r="U200" s="14">
        <f t="shared" ref="U200:U263" si="73">T200/J200</f>
        <v>31.995599184888764</v>
      </c>
      <c r="V200" s="14">
        <v>31.204391019165804</v>
      </c>
      <c r="W200" s="16">
        <f t="shared" si="66"/>
        <v>0.98371704582172204</v>
      </c>
      <c r="X200" s="16">
        <f t="shared" si="67"/>
        <v>0.3427350171802257</v>
      </c>
      <c r="Y200" s="16">
        <f t="shared" si="68"/>
        <v>0.41615538132276853</v>
      </c>
      <c r="Z200" s="16">
        <f t="shared" ref="Z200:Z263" si="74">J200/U200</f>
        <v>0.33425964084158638</v>
      </c>
      <c r="AA200" s="16">
        <f t="shared" ref="AA200:AA263" si="75">R200/L200</f>
        <v>2.6567022118130116E-2</v>
      </c>
      <c r="AB200" s="14">
        <f t="shared" si="69"/>
        <v>31.995599184888764</v>
      </c>
      <c r="AC200" s="16">
        <f t="shared" ref="AC200:AC263" si="76">Q200/K200</f>
        <v>0.28956065841732498</v>
      </c>
      <c r="AD200" s="16">
        <f t="shared" ref="AD200:AD263" si="77">P200/L200</f>
        <v>6.4386385729276463E-2</v>
      </c>
      <c r="AE200" s="23" t="str">
        <f t="shared" si="70"/>
        <v/>
      </c>
      <c r="AF200" s="23" t="str">
        <f t="shared" ref="AF200:AF263" si="78">IF(E200=$AF$6,$AF$5,"")</f>
        <v/>
      </c>
      <c r="AG200" s="23" t="str">
        <f t="shared" ref="AG200:AG263" si="79">IF(B200=$AG$6,$AG$5,"")</f>
        <v/>
      </c>
      <c r="AH200" s="23" t="str">
        <f t="shared" si="71"/>
        <v/>
      </c>
      <c r="AI200" s="23" t="str">
        <f t="shared" ref="AI200:AI263" si="80">IF($B200=$AI$6,$AI$5,"")</f>
        <v/>
      </c>
      <c r="AJ200" s="23">
        <f t="shared" ref="AJ200:AJ263" si="81">IF($B200=$AJ$6,$AJ$5,"")</f>
        <v>480</v>
      </c>
      <c r="AK200" s="23" t="str">
        <f t="shared" ref="AK200:AK263" si="82">IF($B200=$AK$6,$AK$5,"")</f>
        <v/>
      </c>
      <c r="AL200" s="23" t="str">
        <f t="shared" ref="AL200:AL263" si="83">IF($B200=$AL$6,$AL$5,"")</f>
        <v/>
      </c>
      <c r="AM200" s="52">
        <f t="shared" ref="AM200:AM263" si="84">SUM(AE200:AL200)</f>
        <v>480</v>
      </c>
      <c r="AN200" s="26">
        <f t="shared" ref="AN200:AN263" si="85">O200-AM200</f>
        <v>-133.5636471867067</v>
      </c>
    </row>
    <row r="201" spans="1:40" x14ac:dyDescent="0.2">
      <c r="A201" s="12">
        <v>44755</v>
      </c>
      <c r="B201" s="6">
        <v>13</v>
      </c>
      <c r="C201" s="6">
        <v>194</v>
      </c>
      <c r="D201" s="6">
        <v>4</v>
      </c>
      <c r="E201" s="6" t="s">
        <v>15</v>
      </c>
      <c r="F201" s="6">
        <v>28</v>
      </c>
      <c r="G201" s="6">
        <v>7</v>
      </c>
      <c r="H201" s="6" t="s">
        <v>23</v>
      </c>
      <c r="I201" s="6">
        <v>3</v>
      </c>
      <c r="J201" s="14">
        <v>8.1416568395475242</v>
      </c>
      <c r="K201" s="14">
        <v>50.363630151204561</v>
      </c>
      <c r="L201" s="14">
        <f t="shared" ref="L201:L264" si="86">J201*K201</f>
        <v>410.04339388499653</v>
      </c>
      <c r="M201" s="16">
        <v>0.56599785078934961</v>
      </c>
      <c r="N201" s="14">
        <f t="shared" ref="N201:N264" si="87">L201*M201</f>
        <v>232.08367966927878</v>
      </c>
      <c r="O201" s="14">
        <f t="shared" ref="O201:O264" si="88">L201-N201</f>
        <v>177.95971421571775</v>
      </c>
      <c r="P201" s="14">
        <v>33.694558656872871</v>
      </c>
      <c r="Q201" s="14">
        <v>15.753566290529115</v>
      </c>
      <c r="R201" s="14">
        <f t="shared" si="72"/>
        <v>12.987012987012987</v>
      </c>
      <c r="S201" s="14">
        <v>32.168721375454709</v>
      </c>
      <c r="T201" s="14">
        <f t="shared" ref="T201:T264" si="89">L201*0.7</f>
        <v>287.03037571949756</v>
      </c>
      <c r="U201" s="14">
        <f t="shared" si="73"/>
        <v>35.254541105843188</v>
      </c>
      <c r="V201" s="14">
        <v>32.683466891805828</v>
      </c>
      <c r="W201" s="16">
        <f t="shared" ref="W201:W264" si="90">P201/U201</f>
        <v>0.95575087917647694</v>
      </c>
      <c r="X201" s="16">
        <f t="shared" ref="X201:X264" si="91">J201/V201</f>
        <v>0.24910627952962799</v>
      </c>
      <c r="Y201" s="16">
        <f t="shared" ref="Y201:Y264" si="92">N201/T201</f>
        <v>0.80856835827049944</v>
      </c>
      <c r="Z201" s="16">
        <f t="shared" si="74"/>
        <v>0.23093923744757247</v>
      </c>
      <c r="AA201" s="16">
        <f t="shared" si="75"/>
        <v>3.1672289276425729E-2</v>
      </c>
      <c r="AB201" s="14">
        <f t="shared" ref="AB201:AB264" si="93">T201/J201</f>
        <v>35.254541105843188</v>
      </c>
      <c r="AC201" s="16">
        <f t="shared" si="76"/>
        <v>0.31279648117565911</v>
      </c>
      <c r="AD201" s="16">
        <f t="shared" si="77"/>
        <v>8.2173153279291866E-2</v>
      </c>
      <c r="AE201" s="23" t="str">
        <f t="shared" ref="AE201:AE264" si="94">IF(B201=$AE$6,$AE$5, "")</f>
        <v/>
      </c>
      <c r="AF201" s="23" t="str">
        <f t="shared" si="78"/>
        <v/>
      </c>
      <c r="AG201" s="23" t="str">
        <f t="shared" si="79"/>
        <v/>
      </c>
      <c r="AH201" s="23" t="str">
        <f t="shared" ref="AH201:AH264" si="95">IF(B201=$AH$6,$AH$5,"")</f>
        <v/>
      </c>
      <c r="AI201" s="23" t="str">
        <f t="shared" si="80"/>
        <v/>
      </c>
      <c r="AJ201" s="23" t="str">
        <f t="shared" si="81"/>
        <v/>
      </c>
      <c r="AK201" s="23" t="str">
        <f t="shared" si="82"/>
        <v/>
      </c>
      <c r="AL201" s="23" t="str">
        <f t="shared" si="83"/>
        <v/>
      </c>
      <c r="AM201" s="52">
        <f t="shared" si="84"/>
        <v>0</v>
      </c>
      <c r="AN201" s="26">
        <f t="shared" si="85"/>
        <v>177.95971421571775</v>
      </c>
    </row>
    <row r="202" spans="1:40" x14ac:dyDescent="0.2">
      <c r="A202" s="12">
        <v>44756</v>
      </c>
      <c r="B202" s="6">
        <v>14</v>
      </c>
      <c r="C202" s="6">
        <v>195</v>
      </c>
      <c r="D202" s="6">
        <v>5</v>
      </c>
      <c r="E202" s="6" t="s">
        <v>16</v>
      </c>
      <c r="F202" s="6">
        <v>28</v>
      </c>
      <c r="G202" s="6">
        <v>7</v>
      </c>
      <c r="H202" s="6" t="s">
        <v>23</v>
      </c>
      <c r="I202" s="6">
        <v>3</v>
      </c>
      <c r="J202" s="14">
        <v>23.606373323166508</v>
      </c>
      <c r="K202" s="14">
        <v>60.541712770296527</v>
      </c>
      <c r="L202" s="14">
        <f t="shared" si="86"/>
        <v>1429.170273279537</v>
      </c>
      <c r="M202" s="16">
        <v>0.41383277352173475</v>
      </c>
      <c r="N202" s="14">
        <f t="shared" si="87"/>
        <v>591.43749802608636</v>
      </c>
      <c r="O202" s="14">
        <f t="shared" si="88"/>
        <v>837.73277525345065</v>
      </c>
      <c r="P202" s="14">
        <v>30.134354711462848</v>
      </c>
      <c r="Q202" s="14">
        <v>12.405638566785621</v>
      </c>
      <c r="R202" s="14">
        <f t="shared" si="72"/>
        <v>12.987012987012987</v>
      </c>
      <c r="S202" s="14">
        <v>34.02318895220305</v>
      </c>
      <c r="T202" s="14">
        <f t="shared" si="89"/>
        <v>1000.4191912956759</v>
      </c>
      <c r="U202" s="14">
        <f t="shared" si="73"/>
        <v>42.379198939207569</v>
      </c>
      <c r="V202" s="14">
        <v>33.262530339734596</v>
      </c>
      <c r="W202" s="16">
        <f t="shared" si="90"/>
        <v>0.71106475501554911</v>
      </c>
      <c r="X202" s="16">
        <f t="shared" si="91"/>
        <v>0.70969866339263188</v>
      </c>
      <c r="Y202" s="16">
        <f t="shared" si="92"/>
        <v>0.59118967645962106</v>
      </c>
      <c r="Z202" s="16">
        <f t="shared" si="74"/>
        <v>0.55702736045175261</v>
      </c>
      <c r="AA202" s="16">
        <f t="shared" si="75"/>
        <v>9.0870998577457854E-3</v>
      </c>
      <c r="AB202" s="14">
        <f t="shared" si="93"/>
        <v>42.379198939207569</v>
      </c>
      <c r="AC202" s="16">
        <f t="shared" si="76"/>
        <v>0.2049105979848026</v>
      </c>
      <c r="AD202" s="16">
        <f t="shared" si="77"/>
        <v>2.1085209561708222E-2</v>
      </c>
      <c r="AE202" s="23" t="str">
        <f t="shared" si="94"/>
        <v/>
      </c>
      <c r="AF202" s="23" t="str">
        <f t="shared" si="78"/>
        <v/>
      </c>
      <c r="AG202" s="23" t="str">
        <f t="shared" si="79"/>
        <v/>
      </c>
      <c r="AH202" s="23" t="str">
        <f t="shared" si="95"/>
        <v/>
      </c>
      <c r="AI202" s="23" t="str">
        <f t="shared" si="80"/>
        <v/>
      </c>
      <c r="AJ202" s="23" t="str">
        <f t="shared" si="81"/>
        <v/>
      </c>
      <c r="AK202" s="23" t="str">
        <f t="shared" si="82"/>
        <v/>
      </c>
      <c r="AL202" s="23" t="str">
        <f t="shared" si="83"/>
        <v/>
      </c>
      <c r="AM202" s="52">
        <f t="shared" si="84"/>
        <v>0</v>
      </c>
      <c r="AN202" s="26">
        <f t="shared" si="85"/>
        <v>837.73277525345065</v>
      </c>
    </row>
    <row r="203" spans="1:40" x14ac:dyDescent="0.2">
      <c r="A203" s="12">
        <v>44757</v>
      </c>
      <c r="B203" s="6">
        <v>15</v>
      </c>
      <c r="C203" s="6">
        <v>196</v>
      </c>
      <c r="D203" s="6">
        <v>6</v>
      </c>
      <c r="E203" s="6" t="s">
        <v>17</v>
      </c>
      <c r="F203" s="6">
        <v>28</v>
      </c>
      <c r="G203" s="6">
        <v>7</v>
      </c>
      <c r="H203" s="6" t="s">
        <v>23</v>
      </c>
      <c r="I203" s="6">
        <v>3</v>
      </c>
      <c r="J203" s="14">
        <v>23.647863118481506</v>
      </c>
      <c r="K203" s="14">
        <v>58.440849788862636</v>
      </c>
      <c r="L203" s="14">
        <f t="shared" si="86"/>
        <v>1382.0012163347624</v>
      </c>
      <c r="M203" s="16">
        <v>0.76052572962606702</v>
      </c>
      <c r="N203" s="14">
        <f t="shared" si="87"/>
        <v>1051.0474833971073</v>
      </c>
      <c r="O203" s="14">
        <f t="shared" si="88"/>
        <v>330.9537329376551</v>
      </c>
      <c r="P203" s="14">
        <v>54.201104042242868</v>
      </c>
      <c r="Q203" s="14">
        <v>14.662556885668279</v>
      </c>
      <c r="R203" s="14">
        <f t="shared" si="72"/>
        <v>12.987012987012987</v>
      </c>
      <c r="S203" s="14">
        <v>34.961255129062103</v>
      </c>
      <c r="T203" s="14">
        <f t="shared" si="89"/>
        <v>967.40085143433362</v>
      </c>
      <c r="U203" s="14">
        <f t="shared" si="73"/>
        <v>40.908594852203841</v>
      </c>
      <c r="V203" s="14">
        <v>34.177231433637012</v>
      </c>
      <c r="W203" s="16">
        <f t="shared" si="90"/>
        <v>1.3249319424943027</v>
      </c>
      <c r="X203" s="16">
        <f t="shared" si="91"/>
        <v>0.69191862905570023</v>
      </c>
      <c r="Y203" s="16">
        <f t="shared" si="92"/>
        <v>1.0864653280372387</v>
      </c>
      <c r="Z203" s="16">
        <f t="shared" si="74"/>
        <v>0.57806588576110773</v>
      </c>
      <c r="AA203" s="16">
        <f t="shared" si="75"/>
        <v>9.3972514882846095E-3</v>
      </c>
      <c r="AB203" s="14">
        <f t="shared" si="93"/>
        <v>40.908594852203841</v>
      </c>
      <c r="AC203" s="16">
        <f t="shared" si="76"/>
        <v>0.25089568236330806</v>
      </c>
      <c r="AD203" s="16">
        <f t="shared" si="77"/>
        <v>3.9219288233327952E-2</v>
      </c>
      <c r="AE203" s="23" t="str">
        <f t="shared" si="94"/>
        <v/>
      </c>
      <c r="AF203" s="23" t="str">
        <f t="shared" si="78"/>
        <v/>
      </c>
      <c r="AG203" s="23">
        <f t="shared" si="79"/>
        <v>300</v>
      </c>
      <c r="AH203" s="23" t="str">
        <f t="shared" si="95"/>
        <v/>
      </c>
      <c r="AI203" s="23" t="str">
        <f t="shared" si="80"/>
        <v/>
      </c>
      <c r="AJ203" s="23" t="str">
        <f t="shared" si="81"/>
        <v/>
      </c>
      <c r="AK203" s="23" t="str">
        <f t="shared" si="82"/>
        <v/>
      </c>
      <c r="AL203" s="23" t="str">
        <f t="shared" si="83"/>
        <v/>
      </c>
      <c r="AM203" s="52">
        <f t="shared" si="84"/>
        <v>300</v>
      </c>
      <c r="AN203" s="26">
        <f t="shared" si="85"/>
        <v>30.953732937655104</v>
      </c>
    </row>
    <row r="204" spans="1:40" x14ac:dyDescent="0.2">
      <c r="A204" s="12">
        <v>44758</v>
      </c>
      <c r="B204" s="6">
        <v>16</v>
      </c>
      <c r="C204" s="6">
        <v>197</v>
      </c>
      <c r="D204" s="6">
        <v>7</v>
      </c>
      <c r="E204" s="6" t="s">
        <v>10</v>
      </c>
      <c r="F204" s="6">
        <v>28</v>
      </c>
      <c r="G204" s="6">
        <v>7</v>
      </c>
      <c r="H204" s="6" t="s">
        <v>23</v>
      </c>
      <c r="I204" s="6">
        <v>3</v>
      </c>
      <c r="J204" s="14">
        <v>6.3227825291141748</v>
      </c>
      <c r="K204" s="14">
        <v>67.090291571123061</v>
      </c>
      <c r="L204" s="14">
        <f t="shared" si="86"/>
        <v>424.19732341907286</v>
      </c>
      <c r="M204" s="16">
        <v>0.68322087394676245</v>
      </c>
      <c r="N204" s="14">
        <f t="shared" si="87"/>
        <v>289.82046603225638</v>
      </c>
      <c r="O204" s="14">
        <f t="shared" si="88"/>
        <v>134.37685738681648</v>
      </c>
      <c r="P204" s="14">
        <v>37.064277675708553</v>
      </c>
      <c r="Q204" s="14">
        <v>12.514656519078121</v>
      </c>
      <c r="R204" s="14">
        <f t="shared" si="72"/>
        <v>12.987012987012987</v>
      </c>
      <c r="S204" s="14">
        <v>36.93196101065481</v>
      </c>
      <c r="T204" s="14">
        <f t="shared" si="89"/>
        <v>296.93812639335096</v>
      </c>
      <c r="U204" s="14">
        <f t="shared" si="73"/>
        <v>46.963204099786132</v>
      </c>
      <c r="V204" s="14">
        <v>38.447196477411552</v>
      </c>
      <c r="W204" s="16">
        <f t="shared" si="90"/>
        <v>0.78921952592832867</v>
      </c>
      <c r="X204" s="16">
        <f t="shared" si="91"/>
        <v>0.1644536691466939</v>
      </c>
      <c r="Y204" s="16">
        <f t="shared" si="92"/>
        <v>0.97602981992394644</v>
      </c>
      <c r="Z204" s="16">
        <f t="shared" si="74"/>
        <v>0.13463269064179903</v>
      </c>
      <c r="AA204" s="16">
        <f t="shared" si="75"/>
        <v>3.0615499603666434E-2</v>
      </c>
      <c r="AB204" s="14">
        <f t="shared" si="93"/>
        <v>46.963204099786132</v>
      </c>
      <c r="AC204" s="16">
        <f t="shared" si="76"/>
        <v>0.18653453765081962</v>
      </c>
      <c r="AD204" s="16">
        <f t="shared" si="77"/>
        <v>8.7375086143794509E-2</v>
      </c>
      <c r="AE204" s="23" t="str">
        <f t="shared" si="94"/>
        <v/>
      </c>
      <c r="AF204" s="23" t="str">
        <f t="shared" si="78"/>
        <v/>
      </c>
      <c r="AG204" s="23" t="str">
        <f t="shared" si="79"/>
        <v/>
      </c>
      <c r="AH204" s="23" t="str">
        <f t="shared" si="95"/>
        <v/>
      </c>
      <c r="AI204" s="23" t="str">
        <f t="shared" si="80"/>
        <v/>
      </c>
      <c r="AJ204" s="23" t="str">
        <f t="shared" si="81"/>
        <v/>
      </c>
      <c r="AK204" s="23" t="str">
        <f t="shared" si="82"/>
        <v/>
      </c>
      <c r="AL204" s="23" t="str">
        <f t="shared" si="83"/>
        <v/>
      </c>
      <c r="AM204" s="52">
        <f t="shared" si="84"/>
        <v>0</v>
      </c>
      <c r="AN204" s="26">
        <f t="shared" si="85"/>
        <v>134.37685738681648</v>
      </c>
    </row>
    <row r="205" spans="1:40" x14ac:dyDescent="0.2">
      <c r="A205" s="12">
        <v>44759</v>
      </c>
      <c r="B205" s="6">
        <v>17</v>
      </c>
      <c r="C205" s="6">
        <v>198</v>
      </c>
      <c r="D205" s="6">
        <v>1</v>
      </c>
      <c r="E205" s="6" t="s">
        <v>12</v>
      </c>
      <c r="F205" s="6">
        <v>29</v>
      </c>
      <c r="G205" s="6">
        <v>7</v>
      </c>
      <c r="H205" s="6" t="s">
        <v>23</v>
      </c>
      <c r="I205" s="6">
        <v>3</v>
      </c>
      <c r="J205" s="14">
        <v>8.4274552884745901</v>
      </c>
      <c r="K205" s="14">
        <v>34.86744687562917</v>
      </c>
      <c r="L205" s="14">
        <f t="shared" si="86"/>
        <v>293.8438495676279</v>
      </c>
      <c r="M205" s="16">
        <v>0.20332634631611612</v>
      </c>
      <c r="N205" s="14">
        <f t="shared" si="87"/>
        <v>59.746196320048242</v>
      </c>
      <c r="O205" s="14">
        <f t="shared" si="88"/>
        <v>234.09765324757967</v>
      </c>
      <c r="P205" s="14">
        <v>20.731341182168475</v>
      </c>
      <c r="Q205" s="14">
        <v>4.8744705353488227</v>
      </c>
      <c r="R205" s="14">
        <f t="shared" si="72"/>
        <v>28.571428571428573</v>
      </c>
      <c r="S205" s="14">
        <v>16.21901584037591</v>
      </c>
      <c r="T205" s="14">
        <f t="shared" si="89"/>
        <v>205.69069469733952</v>
      </c>
      <c r="U205" s="14">
        <f t="shared" si="73"/>
        <v>24.407212812940422</v>
      </c>
      <c r="V205" s="14">
        <v>16.78530750870889</v>
      </c>
      <c r="W205" s="16">
        <f t="shared" si="90"/>
        <v>0.84939404351720804</v>
      </c>
      <c r="X205" s="16">
        <f t="shared" si="91"/>
        <v>0.50207333312792091</v>
      </c>
      <c r="Y205" s="16">
        <f t="shared" si="92"/>
        <v>0.29046620902302306</v>
      </c>
      <c r="Z205" s="16">
        <f t="shared" si="74"/>
        <v>0.34528544299849145</v>
      </c>
      <c r="AA205" s="16">
        <f t="shared" si="75"/>
        <v>9.7233372804874332E-2</v>
      </c>
      <c r="AB205" s="14">
        <f t="shared" si="93"/>
        <v>24.407212812940422</v>
      </c>
      <c r="AC205" s="16">
        <f t="shared" si="76"/>
        <v>0.13980004193412468</v>
      </c>
      <c r="AD205" s="16">
        <f t="shared" si="77"/>
        <v>7.0552237906879089E-2</v>
      </c>
      <c r="AE205" s="23" t="str">
        <f t="shared" si="94"/>
        <v/>
      </c>
      <c r="AF205" s="23">
        <f t="shared" si="78"/>
        <v>1000</v>
      </c>
      <c r="AG205" s="23" t="str">
        <f t="shared" si="79"/>
        <v/>
      </c>
      <c r="AH205" s="23" t="str">
        <f t="shared" si="95"/>
        <v/>
      </c>
      <c r="AI205" s="23" t="str">
        <f t="shared" si="80"/>
        <v/>
      </c>
      <c r="AJ205" s="23" t="str">
        <f t="shared" si="81"/>
        <v/>
      </c>
      <c r="AK205" s="23" t="str">
        <f t="shared" si="82"/>
        <v/>
      </c>
      <c r="AL205" s="23" t="str">
        <f t="shared" si="83"/>
        <v/>
      </c>
      <c r="AM205" s="52">
        <f t="shared" si="84"/>
        <v>1000</v>
      </c>
      <c r="AN205" s="26">
        <f t="shared" si="85"/>
        <v>-765.90234675242027</v>
      </c>
    </row>
    <row r="206" spans="1:40" x14ac:dyDescent="0.2">
      <c r="A206" s="12">
        <v>44760</v>
      </c>
      <c r="B206" s="6">
        <v>18</v>
      </c>
      <c r="C206" s="6">
        <v>199</v>
      </c>
      <c r="D206" s="6">
        <v>2</v>
      </c>
      <c r="E206" s="6" t="s">
        <v>13</v>
      </c>
      <c r="F206" s="6">
        <v>29</v>
      </c>
      <c r="G206" s="6">
        <v>7</v>
      </c>
      <c r="H206" s="6" t="s">
        <v>23</v>
      </c>
      <c r="I206" s="6">
        <v>3</v>
      </c>
      <c r="J206" s="14">
        <v>15.583323383682744</v>
      </c>
      <c r="K206" s="14">
        <v>86.54719945780684</v>
      </c>
      <c r="L206" s="14">
        <f t="shared" si="86"/>
        <v>1348.6929971030959</v>
      </c>
      <c r="M206" s="16">
        <v>0.45410084492765512</v>
      </c>
      <c r="N206" s="14">
        <f t="shared" si="87"/>
        <v>612.44262953252735</v>
      </c>
      <c r="O206" s="14">
        <f t="shared" si="88"/>
        <v>736.25036757056853</v>
      </c>
      <c r="P206" s="14">
        <v>43.389149963979442</v>
      </c>
      <c r="Q206" s="14">
        <v>8.6458205756597888</v>
      </c>
      <c r="R206" s="14">
        <f t="shared" si="72"/>
        <v>12.987012987012987</v>
      </c>
      <c r="S206" s="14">
        <v>29.565080702216918</v>
      </c>
      <c r="T206" s="14">
        <f t="shared" si="89"/>
        <v>944.08509797216709</v>
      </c>
      <c r="U206" s="14">
        <f t="shared" si="73"/>
        <v>60.583039620464788</v>
      </c>
      <c r="V206" s="14">
        <v>35.038320357245794</v>
      </c>
      <c r="W206" s="16">
        <f t="shared" si="90"/>
        <v>0.71619301764652132</v>
      </c>
      <c r="X206" s="16">
        <f t="shared" si="91"/>
        <v>0.44475086775842471</v>
      </c>
      <c r="Y206" s="16">
        <f t="shared" si="92"/>
        <v>0.64871549275379303</v>
      </c>
      <c r="Z206" s="16">
        <f t="shared" si="74"/>
        <v>0.25722254085149499</v>
      </c>
      <c r="AA206" s="16">
        <f t="shared" si="75"/>
        <v>9.6293322608690338E-3</v>
      </c>
      <c r="AB206" s="14">
        <f t="shared" si="93"/>
        <v>60.583039620464788</v>
      </c>
      <c r="AC206" s="16">
        <f t="shared" si="76"/>
        <v>9.9897173216734372E-2</v>
      </c>
      <c r="AD206" s="16">
        <f t="shared" si="77"/>
        <v>3.2171257697027042E-2</v>
      </c>
      <c r="AE206" s="23" t="str">
        <f t="shared" si="94"/>
        <v/>
      </c>
      <c r="AF206" s="23" t="str">
        <f t="shared" si="78"/>
        <v/>
      </c>
      <c r="AG206" s="23" t="str">
        <f t="shared" si="79"/>
        <v/>
      </c>
      <c r="AH206" s="23" t="str">
        <f t="shared" si="95"/>
        <v/>
      </c>
      <c r="AI206" s="23" t="str">
        <f t="shared" si="80"/>
        <v/>
      </c>
      <c r="AJ206" s="23" t="str">
        <f t="shared" si="81"/>
        <v/>
      </c>
      <c r="AK206" s="23" t="str">
        <f t="shared" si="82"/>
        <v/>
      </c>
      <c r="AL206" s="23" t="str">
        <f t="shared" si="83"/>
        <v/>
      </c>
      <c r="AM206" s="52">
        <f t="shared" si="84"/>
        <v>0</v>
      </c>
      <c r="AN206" s="26">
        <f t="shared" si="85"/>
        <v>736.25036757056853</v>
      </c>
    </row>
    <row r="207" spans="1:40" x14ac:dyDescent="0.2">
      <c r="A207" s="12">
        <v>44761</v>
      </c>
      <c r="B207" s="6">
        <v>19</v>
      </c>
      <c r="C207" s="6">
        <v>200</v>
      </c>
      <c r="D207" s="6">
        <v>3</v>
      </c>
      <c r="E207" s="6" t="s">
        <v>14</v>
      </c>
      <c r="F207" s="6">
        <v>29</v>
      </c>
      <c r="G207" s="6">
        <v>7</v>
      </c>
      <c r="H207" s="6" t="s">
        <v>23</v>
      </c>
      <c r="I207" s="6">
        <v>3</v>
      </c>
      <c r="J207" s="14">
        <v>10.52229203940707</v>
      </c>
      <c r="K207" s="14">
        <v>57.319791053693976</v>
      </c>
      <c r="L207" s="14">
        <f t="shared" si="86"/>
        <v>603.13558110476072</v>
      </c>
      <c r="M207" s="16">
        <v>0.59380139088207973</v>
      </c>
      <c r="N207" s="14">
        <f t="shared" si="87"/>
        <v>358.14274695047834</v>
      </c>
      <c r="O207" s="14">
        <f t="shared" si="88"/>
        <v>244.99283415428238</v>
      </c>
      <c r="P207" s="14">
        <v>44.263693556072916</v>
      </c>
      <c r="Q207" s="14">
        <v>7.3620646236668277</v>
      </c>
      <c r="R207" s="14">
        <f t="shared" si="72"/>
        <v>12.987012987012987</v>
      </c>
      <c r="S207" s="14">
        <v>37.776394461920461</v>
      </c>
      <c r="T207" s="14">
        <f t="shared" si="89"/>
        <v>422.19490677333249</v>
      </c>
      <c r="U207" s="14">
        <f t="shared" si="73"/>
        <v>40.123853737585783</v>
      </c>
      <c r="V207" s="14">
        <v>35.073404863478963</v>
      </c>
      <c r="W207" s="16">
        <f t="shared" si="90"/>
        <v>1.1031765255043078</v>
      </c>
      <c r="X207" s="16">
        <f t="shared" si="91"/>
        <v>0.30000771468765108</v>
      </c>
      <c r="Y207" s="16">
        <f t="shared" si="92"/>
        <v>0.84828770126011399</v>
      </c>
      <c r="Z207" s="16">
        <f t="shared" si="74"/>
        <v>0.26224529947257719</v>
      </c>
      <c r="AA207" s="16">
        <f t="shared" si="75"/>
        <v>2.153249351203047E-2</v>
      </c>
      <c r="AB207" s="14">
        <f t="shared" si="93"/>
        <v>40.123853737585783</v>
      </c>
      <c r="AC207" s="16">
        <f t="shared" si="76"/>
        <v>0.12843844138877716</v>
      </c>
      <c r="AD207" s="16">
        <f t="shared" si="77"/>
        <v>7.3389292462227668E-2</v>
      </c>
      <c r="AE207" s="23" t="str">
        <f t="shared" si="94"/>
        <v/>
      </c>
      <c r="AF207" s="23" t="str">
        <f t="shared" si="78"/>
        <v/>
      </c>
      <c r="AG207" s="23" t="str">
        <f t="shared" si="79"/>
        <v/>
      </c>
      <c r="AH207" s="23" t="str">
        <f t="shared" si="95"/>
        <v/>
      </c>
      <c r="AI207" s="23" t="str">
        <f t="shared" si="80"/>
        <v/>
      </c>
      <c r="AJ207" s="23" t="str">
        <f t="shared" si="81"/>
        <v/>
      </c>
      <c r="AK207" s="23" t="str">
        <f t="shared" si="82"/>
        <v/>
      </c>
      <c r="AL207" s="23" t="str">
        <f t="shared" si="83"/>
        <v/>
      </c>
      <c r="AM207" s="52">
        <f t="shared" si="84"/>
        <v>0</v>
      </c>
      <c r="AN207" s="26">
        <f t="shared" si="85"/>
        <v>244.99283415428238</v>
      </c>
    </row>
    <row r="208" spans="1:40" x14ac:dyDescent="0.2">
      <c r="A208" s="12">
        <v>44762</v>
      </c>
      <c r="B208" s="6">
        <v>20</v>
      </c>
      <c r="C208" s="6">
        <v>201</v>
      </c>
      <c r="D208" s="6">
        <v>4</v>
      </c>
      <c r="E208" s="6" t="s">
        <v>15</v>
      </c>
      <c r="F208" s="6">
        <v>29</v>
      </c>
      <c r="G208" s="6">
        <v>7</v>
      </c>
      <c r="H208" s="6" t="s">
        <v>23</v>
      </c>
      <c r="I208" s="6">
        <v>3</v>
      </c>
      <c r="J208" s="14">
        <v>5.4253595072461982</v>
      </c>
      <c r="K208" s="14">
        <v>38.68400394817985</v>
      </c>
      <c r="L208" s="14">
        <f t="shared" si="86"/>
        <v>209.87462859860702</v>
      </c>
      <c r="M208" s="16">
        <v>0.54060743990267579</v>
      </c>
      <c r="N208" s="14">
        <f t="shared" si="87"/>
        <v>113.45978566721784</v>
      </c>
      <c r="O208" s="14">
        <f t="shared" si="88"/>
        <v>96.414842931389174</v>
      </c>
      <c r="P208" s="14">
        <v>48.025289397269859</v>
      </c>
      <c r="Q208" s="14">
        <v>13.825217385536115</v>
      </c>
      <c r="R208" s="14">
        <f t="shared" si="72"/>
        <v>12.987012987012987</v>
      </c>
      <c r="S208" s="14">
        <v>34.090087420246135</v>
      </c>
      <c r="T208" s="14">
        <f t="shared" si="89"/>
        <v>146.91224001902489</v>
      </c>
      <c r="U208" s="14">
        <f t="shared" si="73"/>
        <v>27.078802763725893</v>
      </c>
      <c r="V208" s="14">
        <v>29.817405965420061</v>
      </c>
      <c r="W208" s="16">
        <f t="shared" si="90"/>
        <v>1.7735381366861378</v>
      </c>
      <c r="X208" s="16">
        <f t="shared" si="91"/>
        <v>0.18195276656655224</v>
      </c>
      <c r="Y208" s="16">
        <f t="shared" si="92"/>
        <v>0.77229634271810832</v>
      </c>
      <c r="Z208" s="16">
        <f t="shared" si="74"/>
        <v>0.20035448223412144</v>
      </c>
      <c r="AA208" s="16">
        <f t="shared" si="75"/>
        <v>6.1879861676139659E-2</v>
      </c>
      <c r="AB208" s="14">
        <f t="shared" si="93"/>
        <v>27.078802763725893</v>
      </c>
      <c r="AC208" s="16">
        <f t="shared" si="76"/>
        <v>0.35738848036661458</v>
      </c>
      <c r="AD208" s="16">
        <f t="shared" si="77"/>
        <v>0.22882846639419194</v>
      </c>
      <c r="AE208" s="23" t="str">
        <f t="shared" si="94"/>
        <v/>
      </c>
      <c r="AF208" s="23" t="str">
        <f t="shared" si="78"/>
        <v/>
      </c>
      <c r="AG208" s="23" t="str">
        <f t="shared" si="79"/>
        <v/>
      </c>
      <c r="AH208" s="23" t="str">
        <f t="shared" si="95"/>
        <v/>
      </c>
      <c r="AI208" s="23">
        <f t="shared" si="80"/>
        <v>100</v>
      </c>
      <c r="AJ208" s="23" t="str">
        <f t="shared" si="81"/>
        <v/>
      </c>
      <c r="AK208" s="23" t="str">
        <f t="shared" si="82"/>
        <v/>
      </c>
      <c r="AL208" s="23" t="str">
        <f t="shared" si="83"/>
        <v/>
      </c>
      <c r="AM208" s="52">
        <f t="shared" si="84"/>
        <v>100</v>
      </c>
      <c r="AN208" s="26">
        <f t="shared" si="85"/>
        <v>-3.5851570686108261</v>
      </c>
    </row>
    <row r="209" spans="1:40" x14ac:dyDescent="0.2">
      <c r="A209" s="12">
        <v>44763</v>
      </c>
      <c r="B209" s="6">
        <v>21</v>
      </c>
      <c r="C209" s="6">
        <v>202</v>
      </c>
      <c r="D209" s="6">
        <v>5</v>
      </c>
      <c r="E209" s="6" t="s">
        <v>16</v>
      </c>
      <c r="F209" s="6">
        <v>29</v>
      </c>
      <c r="G209" s="6">
        <v>7</v>
      </c>
      <c r="H209" s="6" t="s">
        <v>23</v>
      </c>
      <c r="I209" s="6">
        <v>3</v>
      </c>
      <c r="J209" s="14">
        <v>5.8713189320632626</v>
      </c>
      <c r="K209" s="14">
        <v>16.977567763669981</v>
      </c>
      <c r="L209" s="14">
        <f t="shared" si="86"/>
        <v>99.680715031222505</v>
      </c>
      <c r="M209" s="16">
        <v>0.38235129175176685</v>
      </c>
      <c r="N209" s="14">
        <f t="shared" si="87"/>
        <v>38.113050154927684</v>
      </c>
      <c r="O209" s="14">
        <f t="shared" si="88"/>
        <v>61.56766487629482</v>
      </c>
      <c r="P209" s="14">
        <v>23.823850716964934</v>
      </c>
      <c r="Q209" s="14">
        <v>6.417822358319901</v>
      </c>
      <c r="R209" s="14">
        <f t="shared" si="72"/>
        <v>12.987012987012987</v>
      </c>
      <c r="S209" s="14">
        <v>29.279940154129328</v>
      </c>
      <c r="T209" s="14">
        <f t="shared" si="89"/>
        <v>69.776500521855752</v>
      </c>
      <c r="U209" s="14">
        <f t="shared" si="73"/>
        <v>11.884297434568987</v>
      </c>
      <c r="V209" s="14">
        <v>35.850555210560415</v>
      </c>
      <c r="W209" s="16">
        <f t="shared" si="90"/>
        <v>2.0046494837520838</v>
      </c>
      <c r="X209" s="16">
        <f t="shared" si="91"/>
        <v>0.16377205032333117</v>
      </c>
      <c r="Y209" s="16">
        <f t="shared" si="92"/>
        <v>0.54621613107395262</v>
      </c>
      <c r="Z209" s="16">
        <f t="shared" si="74"/>
        <v>0.49404005279982294</v>
      </c>
      <c r="AA209" s="16">
        <f t="shared" si="75"/>
        <v>0.13028611384805103</v>
      </c>
      <c r="AB209" s="14">
        <f t="shared" si="93"/>
        <v>11.884297434568987</v>
      </c>
      <c r="AC209" s="16">
        <f t="shared" si="76"/>
        <v>0.37801777307897388</v>
      </c>
      <c r="AD209" s="16">
        <f t="shared" si="77"/>
        <v>0.23900160336432885</v>
      </c>
      <c r="AE209" s="23" t="str">
        <f t="shared" si="94"/>
        <v/>
      </c>
      <c r="AF209" s="23" t="str">
        <f t="shared" si="78"/>
        <v/>
      </c>
      <c r="AG209" s="23" t="str">
        <f t="shared" si="79"/>
        <v/>
      </c>
      <c r="AH209" s="23" t="str">
        <f t="shared" si="95"/>
        <v/>
      </c>
      <c r="AI209" s="23" t="str">
        <f t="shared" si="80"/>
        <v/>
      </c>
      <c r="AJ209" s="23" t="str">
        <f t="shared" si="81"/>
        <v/>
      </c>
      <c r="AK209" s="23" t="str">
        <f t="shared" si="82"/>
        <v/>
      </c>
      <c r="AL209" s="23" t="str">
        <f t="shared" si="83"/>
        <v/>
      </c>
      <c r="AM209" s="52">
        <f t="shared" si="84"/>
        <v>0</v>
      </c>
      <c r="AN209" s="26">
        <f t="shared" si="85"/>
        <v>61.56766487629482</v>
      </c>
    </row>
    <row r="210" spans="1:40" x14ac:dyDescent="0.2">
      <c r="A210" s="12">
        <v>44764</v>
      </c>
      <c r="B210" s="6">
        <v>22</v>
      </c>
      <c r="C210" s="6">
        <v>203</v>
      </c>
      <c r="D210" s="6">
        <v>6</v>
      </c>
      <c r="E210" s="6" t="s">
        <v>17</v>
      </c>
      <c r="F210" s="6">
        <v>29</v>
      </c>
      <c r="G210" s="6">
        <v>7</v>
      </c>
      <c r="H210" s="6" t="s">
        <v>23</v>
      </c>
      <c r="I210" s="6">
        <v>3</v>
      </c>
      <c r="J210" s="14">
        <v>10.498514289596052</v>
      </c>
      <c r="K210" s="14">
        <v>87.936793275811937</v>
      </c>
      <c r="L210" s="14">
        <f t="shared" si="86"/>
        <v>923.20568078736562</v>
      </c>
      <c r="M210" s="16">
        <v>0.59290155581145088</v>
      </c>
      <c r="N210" s="14">
        <f t="shared" si="87"/>
        <v>547.37008447279879</v>
      </c>
      <c r="O210" s="14">
        <f t="shared" si="88"/>
        <v>375.83559631456683</v>
      </c>
      <c r="P210" s="14">
        <v>32.344564663215451</v>
      </c>
      <c r="Q210" s="14">
        <v>11.549225554283307</v>
      </c>
      <c r="R210" s="14">
        <f t="shared" si="72"/>
        <v>12.987012987012987</v>
      </c>
      <c r="S210" s="14">
        <v>34.03140197308683</v>
      </c>
      <c r="T210" s="14">
        <f t="shared" si="89"/>
        <v>646.24397655115592</v>
      </c>
      <c r="U210" s="14">
        <f t="shared" si="73"/>
        <v>61.555755293068351</v>
      </c>
      <c r="V210" s="14">
        <v>38.369023820423529</v>
      </c>
      <c r="W210" s="16">
        <f t="shared" si="90"/>
        <v>0.5254515115479006</v>
      </c>
      <c r="X210" s="16">
        <f t="shared" si="91"/>
        <v>0.27361953065920264</v>
      </c>
      <c r="Y210" s="16">
        <f t="shared" si="92"/>
        <v>0.84700222258778701</v>
      </c>
      <c r="Z210" s="16">
        <f t="shared" si="74"/>
        <v>0.1705529278231156</v>
      </c>
      <c r="AA210" s="16">
        <f t="shared" si="75"/>
        <v>1.4067301856220031E-2</v>
      </c>
      <c r="AB210" s="14">
        <f t="shared" si="93"/>
        <v>61.555755293068351</v>
      </c>
      <c r="AC210" s="16">
        <f t="shared" si="76"/>
        <v>0.13133553230738582</v>
      </c>
      <c r="AD210" s="16">
        <f t="shared" si="77"/>
        <v>3.5035058098461927E-2</v>
      </c>
      <c r="AE210" s="23" t="str">
        <f t="shared" si="94"/>
        <v/>
      </c>
      <c r="AF210" s="23" t="str">
        <f t="shared" si="78"/>
        <v/>
      </c>
      <c r="AG210" s="23" t="str">
        <f t="shared" si="79"/>
        <v/>
      </c>
      <c r="AH210" s="23" t="str">
        <f t="shared" si="95"/>
        <v/>
      </c>
      <c r="AI210" s="23" t="str">
        <f t="shared" si="80"/>
        <v/>
      </c>
      <c r="AJ210" s="23" t="str">
        <f t="shared" si="81"/>
        <v/>
      </c>
      <c r="AK210" s="23" t="str">
        <f t="shared" si="82"/>
        <v/>
      </c>
      <c r="AL210" s="23" t="str">
        <f t="shared" si="83"/>
        <v/>
      </c>
      <c r="AM210" s="52">
        <f t="shared" si="84"/>
        <v>0</v>
      </c>
      <c r="AN210" s="26">
        <f t="shared" si="85"/>
        <v>375.83559631456683</v>
      </c>
    </row>
    <row r="211" spans="1:40" x14ac:dyDescent="0.2">
      <c r="A211" s="12">
        <v>44765</v>
      </c>
      <c r="B211" s="6">
        <v>23</v>
      </c>
      <c r="C211" s="6">
        <v>204</v>
      </c>
      <c r="D211" s="6">
        <v>7</v>
      </c>
      <c r="E211" s="6" t="s">
        <v>10</v>
      </c>
      <c r="F211" s="6">
        <v>29</v>
      </c>
      <c r="G211" s="6">
        <v>7</v>
      </c>
      <c r="H211" s="6" t="s">
        <v>23</v>
      </c>
      <c r="I211" s="6">
        <v>3</v>
      </c>
      <c r="J211" s="14">
        <v>11.021274895707048</v>
      </c>
      <c r="K211" s="14">
        <v>60.291488524151255</v>
      </c>
      <c r="L211" s="14">
        <f t="shared" si="86"/>
        <v>664.48906889603779</v>
      </c>
      <c r="M211" s="16">
        <v>0.26517918442130756</v>
      </c>
      <c r="N211" s="14">
        <f t="shared" si="87"/>
        <v>176.20866934672534</v>
      </c>
      <c r="O211" s="14">
        <f t="shared" si="88"/>
        <v>488.28039954931245</v>
      </c>
      <c r="P211" s="14">
        <v>45.110810165468195</v>
      </c>
      <c r="Q211" s="14">
        <v>17.190548570845088</v>
      </c>
      <c r="R211" s="14">
        <f t="shared" si="72"/>
        <v>12.987012987012987</v>
      </c>
      <c r="S211" s="14">
        <v>34.569519714880393</v>
      </c>
      <c r="T211" s="14">
        <f t="shared" si="89"/>
        <v>465.14234822722642</v>
      </c>
      <c r="U211" s="14">
        <f t="shared" si="73"/>
        <v>42.204041966905876</v>
      </c>
      <c r="V211" s="14">
        <v>38.16439019720633</v>
      </c>
      <c r="W211" s="16">
        <f t="shared" si="90"/>
        <v>1.0688741661483905</v>
      </c>
      <c r="X211" s="16">
        <f t="shared" si="91"/>
        <v>0.28878425251279966</v>
      </c>
      <c r="Y211" s="16">
        <f t="shared" si="92"/>
        <v>0.37882740631615369</v>
      </c>
      <c r="Z211" s="16">
        <f t="shared" si="74"/>
        <v>0.26114263900005918</v>
      </c>
      <c r="AA211" s="16">
        <f t="shared" si="75"/>
        <v>1.9544359109758151E-2</v>
      </c>
      <c r="AB211" s="14">
        <f t="shared" si="93"/>
        <v>42.204041966905876</v>
      </c>
      <c r="AC211" s="16">
        <f t="shared" si="76"/>
        <v>0.28512397009337376</v>
      </c>
      <c r="AD211" s="16">
        <f t="shared" si="77"/>
        <v>6.7887964267664996E-2</v>
      </c>
      <c r="AE211" s="23" t="str">
        <f t="shared" si="94"/>
        <v/>
      </c>
      <c r="AF211" s="23" t="str">
        <f t="shared" si="78"/>
        <v/>
      </c>
      <c r="AG211" s="23" t="str">
        <f t="shared" si="79"/>
        <v/>
      </c>
      <c r="AH211" s="23" t="str">
        <f t="shared" si="95"/>
        <v/>
      </c>
      <c r="AI211" s="23" t="str">
        <f t="shared" si="80"/>
        <v/>
      </c>
      <c r="AJ211" s="23" t="str">
        <f t="shared" si="81"/>
        <v/>
      </c>
      <c r="AK211" s="23" t="str">
        <f t="shared" si="82"/>
        <v/>
      </c>
      <c r="AL211" s="23" t="str">
        <f t="shared" si="83"/>
        <v/>
      </c>
      <c r="AM211" s="52">
        <f t="shared" si="84"/>
        <v>0</v>
      </c>
      <c r="AN211" s="26">
        <f t="shared" si="85"/>
        <v>488.28039954931245</v>
      </c>
    </row>
    <row r="212" spans="1:40" x14ac:dyDescent="0.2">
      <c r="A212" s="12">
        <v>44766</v>
      </c>
      <c r="B212" s="6">
        <v>24</v>
      </c>
      <c r="C212" s="6">
        <v>205</v>
      </c>
      <c r="D212" s="6">
        <v>1</v>
      </c>
      <c r="E212" s="6" t="s">
        <v>12</v>
      </c>
      <c r="F212" s="6">
        <v>30</v>
      </c>
      <c r="G212" s="6">
        <v>7</v>
      </c>
      <c r="H212" s="6" t="s">
        <v>23</v>
      </c>
      <c r="I212" s="6">
        <v>3</v>
      </c>
      <c r="J212" s="14">
        <v>3.8299721744527453</v>
      </c>
      <c r="K212" s="14">
        <v>7.9434389892234991</v>
      </c>
      <c r="L212" s="14">
        <f t="shared" si="86"/>
        <v>30.423150298189043</v>
      </c>
      <c r="M212" s="16">
        <v>0.12906536068197744</v>
      </c>
      <c r="N212" s="14">
        <f t="shared" si="87"/>
        <v>3.9265748663177784</v>
      </c>
      <c r="O212" s="14">
        <f t="shared" si="88"/>
        <v>26.496575431871264</v>
      </c>
      <c r="P212" s="14">
        <v>25.394185967104484</v>
      </c>
      <c r="Q212" s="14">
        <v>5.4379210754844696</v>
      </c>
      <c r="R212" s="14">
        <f t="shared" si="72"/>
        <v>28.571428571428573</v>
      </c>
      <c r="S212" s="14">
        <v>10.71105196855388</v>
      </c>
      <c r="T212" s="14">
        <f t="shared" si="89"/>
        <v>21.296205208732328</v>
      </c>
      <c r="U212" s="14">
        <f t="shared" si="73"/>
        <v>5.5604072924564489</v>
      </c>
      <c r="V212" s="14">
        <v>14.083556106675218</v>
      </c>
      <c r="W212" s="16">
        <f t="shared" si="90"/>
        <v>4.5669650857331296</v>
      </c>
      <c r="X212" s="16">
        <f t="shared" si="91"/>
        <v>0.27194638523415576</v>
      </c>
      <c r="Y212" s="16">
        <f t="shared" si="92"/>
        <v>0.18437908668853922</v>
      </c>
      <c r="Z212" s="16">
        <f t="shared" si="74"/>
        <v>0.68879345936559255</v>
      </c>
      <c r="AA212" s="16">
        <f t="shared" si="75"/>
        <v>0.93913445160639086</v>
      </c>
      <c r="AB212" s="14">
        <f t="shared" si="93"/>
        <v>5.5604072924564489</v>
      </c>
      <c r="AC212" s="16">
        <f t="shared" si="76"/>
        <v>0.6845802029652206</v>
      </c>
      <c r="AD212" s="16">
        <f t="shared" si="77"/>
        <v>0.8346994219272581</v>
      </c>
      <c r="AE212" s="23" t="str">
        <f t="shared" si="94"/>
        <v/>
      </c>
      <c r="AF212" s="23">
        <f t="shared" si="78"/>
        <v>1000</v>
      </c>
      <c r="AG212" s="23" t="str">
        <f t="shared" si="79"/>
        <v/>
      </c>
      <c r="AH212" s="23" t="str">
        <f t="shared" si="95"/>
        <v/>
      </c>
      <c r="AI212" s="23" t="str">
        <f t="shared" si="80"/>
        <v/>
      </c>
      <c r="AJ212" s="23" t="str">
        <f t="shared" si="81"/>
        <v/>
      </c>
      <c r="AK212" s="23" t="str">
        <f t="shared" si="82"/>
        <v/>
      </c>
      <c r="AL212" s="23" t="str">
        <f t="shared" si="83"/>
        <v/>
      </c>
      <c r="AM212" s="52">
        <f t="shared" si="84"/>
        <v>1000</v>
      </c>
      <c r="AN212" s="26">
        <f t="shared" si="85"/>
        <v>-973.50342456812871</v>
      </c>
    </row>
    <row r="213" spans="1:40" x14ac:dyDescent="0.2">
      <c r="A213" s="12">
        <v>44767</v>
      </c>
      <c r="B213" s="6">
        <v>25</v>
      </c>
      <c r="C213" s="6">
        <v>206</v>
      </c>
      <c r="D213" s="6">
        <v>2</v>
      </c>
      <c r="E213" s="6" t="s">
        <v>13</v>
      </c>
      <c r="F213" s="6">
        <v>30</v>
      </c>
      <c r="G213" s="6">
        <v>7</v>
      </c>
      <c r="H213" s="6" t="s">
        <v>23</v>
      </c>
      <c r="I213" s="6">
        <v>3</v>
      </c>
      <c r="J213" s="14">
        <v>17.496123344606122</v>
      </c>
      <c r="K213" s="14">
        <v>33.061805862679449</v>
      </c>
      <c r="L213" s="14">
        <f t="shared" si="86"/>
        <v>578.45343336886151</v>
      </c>
      <c r="M213" s="16">
        <v>0.44653971361680589</v>
      </c>
      <c r="N213" s="14">
        <f t="shared" si="87"/>
        <v>258.30243047718955</v>
      </c>
      <c r="O213" s="14">
        <f t="shared" si="88"/>
        <v>320.15100289167196</v>
      </c>
      <c r="P213" s="14">
        <v>32.300103925177183</v>
      </c>
      <c r="Q213" s="14">
        <v>15.711233498366528</v>
      </c>
      <c r="R213" s="14">
        <f t="shared" si="72"/>
        <v>12.987012987012987</v>
      </c>
      <c r="S213" s="14">
        <v>35.055125362498266</v>
      </c>
      <c r="T213" s="14">
        <f t="shared" si="89"/>
        <v>404.91740335820305</v>
      </c>
      <c r="U213" s="14">
        <f t="shared" si="73"/>
        <v>23.143264103875616</v>
      </c>
      <c r="V213" s="14">
        <v>37.248584604093338</v>
      </c>
      <c r="W213" s="16">
        <f t="shared" si="90"/>
        <v>1.3956589606462706</v>
      </c>
      <c r="X213" s="16">
        <f t="shared" si="91"/>
        <v>0.46971243419228959</v>
      </c>
      <c r="Y213" s="16">
        <f t="shared" si="92"/>
        <v>0.63791387659543708</v>
      </c>
      <c r="Z213" s="16">
        <f t="shared" si="74"/>
        <v>0.7559920357853146</v>
      </c>
      <c r="AA213" s="16">
        <f t="shared" si="75"/>
        <v>2.2451267877135372E-2</v>
      </c>
      <c r="AB213" s="14">
        <f t="shared" si="93"/>
        <v>23.143264103875616</v>
      </c>
      <c r="AC213" s="16">
        <f t="shared" si="76"/>
        <v>0.47520796545785637</v>
      </c>
      <c r="AD213" s="16">
        <f t="shared" si="77"/>
        <v>5.5838727997626778E-2</v>
      </c>
      <c r="AE213" s="23" t="str">
        <f t="shared" si="94"/>
        <v/>
      </c>
      <c r="AF213" s="23" t="str">
        <f t="shared" si="78"/>
        <v/>
      </c>
      <c r="AG213" s="23" t="str">
        <f t="shared" si="79"/>
        <v/>
      </c>
      <c r="AH213" s="23" t="str">
        <f t="shared" si="95"/>
        <v/>
      </c>
      <c r="AI213" s="23" t="str">
        <f t="shared" si="80"/>
        <v/>
      </c>
      <c r="AJ213" s="23" t="str">
        <f t="shared" si="81"/>
        <v/>
      </c>
      <c r="AK213" s="23">
        <f t="shared" si="82"/>
        <v>83</v>
      </c>
      <c r="AL213" s="23" t="str">
        <f t="shared" si="83"/>
        <v/>
      </c>
      <c r="AM213" s="52">
        <f t="shared" si="84"/>
        <v>83</v>
      </c>
      <c r="AN213" s="26">
        <f t="shared" si="85"/>
        <v>237.15100289167196</v>
      </c>
    </row>
    <row r="214" spans="1:40" x14ac:dyDescent="0.2">
      <c r="A214" s="12">
        <v>44768</v>
      </c>
      <c r="B214" s="6">
        <v>26</v>
      </c>
      <c r="C214" s="6">
        <v>207</v>
      </c>
      <c r="D214" s="6">
        <v>3</v>
      </c>
      <c r="E214" s="6" t="s">
        <v>14</v>
      </c>
      <c r="F214" s="6">
        <v>30</v>
      </c>
      <c r="G214" s="6">
        <v>7</v>
      </c>
      <c r="H214" s="6" t="s">
        <v>23</v>
      </c>
      <c r="I214" s="6">
        <v>3</v>
      </c>
      <c r="J214" s="14">
        <v>8.3948283537660373</v>
      </c>
      <c r="K214" s="14">
        <v>34.181038327715186</v>
      </c>
      <c r="L214" s="14">
        <f t="shared" si="86"/>
        <v>286.9439497146671</v>
      </c>
      <c r="M214" s="16">
        <v>0.41563701070835468</v>
      </c>
      <c r="N214" s="14">
        <f t="shared" si="87"/>
        <v>119.26452550025267</v>
      </c>
      <c r="O214" s="14">
        <f t="shared" si="88"/>
        <v>167.67942421441444</v>
      </c>
      <c r="P214" s="14">
        <v>46.2336365009009</v>
      </c>
      <c r="Q214" s="14">
        <v>13.097253607887586</v>
      </c>
      <c r="R214" s="14">
        <f t="shared" si="72"/>
        <v>12.987012987012987</v>
      </c>
      <c r="S214" s="14">
        <v>38.162135551373218</v>
      </c>
      <c r="T214" s="14">
        <f t="shared" si="89"/>
        <v>200.86076480026696</v>
      </c>
      <c r="U214" s="14">
        <f t="shared" si="73"/>
        <v>23.926726829400629</v>
      </c>
      <c r="V214" s="14">
        <v>34.043307726198663</v>
      </c>
      <c r="W214" s="16">
        <f t="shared" si="90"/>
        <v>1.9323009298576534</v>
      </c>
      <c r="X214" s="16">
        <f t="shared" si="91"/>
        <v>0.24659261730039353</v>
      </c>
      <c r="Y214" s="16">
        <f t="shared" si="92"/>
        <v>0.59376715815479242</v>
      </c>
      <c r="Z214" s="16">
        <f t="shared" si="74"/>
        <v>0.35085569428788976</v>
      </c>
      <c r="AA214" s="16">
        <f t="shared" si="75"/>
        <v>4.525975543281914E-2</v>
      </c>
      <c r="AB214" s="14">
        <f t="shared" si="93"/>
        <v>23.926726829400629</v>
      </c>
      <c r="AC214" s="16">
        <f t="shared" si="76"/>
        <v>0.38317307632132031</v>
      </c>
      <c r="AD214" s="16">
        <f t="shared" si="77"/>
        <v>0.16112427722164888</v>
      </c>
      <c r="AE214" s="23" t="str">
        <f t="shared" si="94"/>
        <v/>
      </c>
      <c r="AF214" s="23" t="str">
        <f t="shared" si="78"/>
        <v/>
      </c>
      <c r="AG214" s="23" t="str">
        <f t="shared" si="79"/>
        <v/>
      </c>
      <c r="AH214" s="23" t="str">
        <f t="shared" si="95"/>
        <v/>
      </c>
      <c r="AI214" s="23" t="str">
        <f t="shared" si="80"/>
        <v/>
      </c>
      <c r="AJ214" s="23" t="str">
        <f t="shared" si="81"/>
        <v/>
      </c>
      <c r="AK214" s="23" t="str">
        <f t="shared" si="82"/>
        <v/>
      </c>
      <c r="AL214" s="23" t="str">
        <f t="shared" si="83"/>
        <v/>
      </c>
      <c r="AM214" s="52">
        <f t="shared" si="84"/>
        <v>0</v>
      </c>
      <c r="AN214" s="26">
        <f t="shared" si="85"/>
        <v>167.67942421441444</v>
      </c>
    </row>
    <row r="215" spans="1:40" x14ac:dyDescent="0.2">
      <c r="A215" s="12">
        <v>44769</v>
      </c>
      <c r="B215" s="6">
        <v>27</v>
      </c>
      <c r="C215" s="6">
        <v>208</v>
      </c>
      <c r="D215" s="6">
        <v>4</v>
      </c>
      <c r="E215" s="6" t="s">
        <v>15</v>
      </c>
      <c r="F215" s="6">
        <v>30</v>
      </c>
      <c r="G215" s="6">
        <v>7</v>
      </c>
      <c r="H215" s="6" t="s">
        <v>23</v>
      </c>
      <c r="I215" s="6">
        <v>3</v>
      </c>
      <c r="J215" s="14">
        <v>15.835728881402527</v>
      </c>
      <c r="K215" s="14">
        <v>43.484666065639203</v>
      </c>
      <c r="L215" s="14">
        <f t="shared" si="86"/>
        <v>688.61138231378709</v>
      </c>
      <c r="M215" s="16">
        <v>0.64681674069945094</v>
      </c>
      <c r="N215" s="14">
        <f t="shared" si="87"/>
        <v>445.4053699167473</v>
      </c>
      <c r="O215" s="14">
        <f t="shared" si="88"/>
        <v>243.20601239703979</v>
      </c>
      <c r="P215" s="14">
        <v>48.31124058079547</v>
      </c>
      <c r="Q215" s="14">
        <v>13.62492292613484</v>
      </c>
      <c r="R215" s="14">
        <f t="shared" si="72"/>
        <v>12.987012987012987</v>
      </c>
      <c r="S215" s="14">
        <v>37.436676867818676</v>
      </c>
      <c r="T215" s="14">
        <f t="shared" si="89"/>
        <v>482.02796761965095</v>
      </c>
      <c r="U215" s="14">
        <f t="shared" si="73"/>
        <v>30.43926624594744</v>
      </c>
      <c r="V215" s="14">
        <v>29.262662455998637</v>
      </c>
      <c r="W215" s="16">
        <f t="shared" si="90"/>
        <v>1.587135517342749</v>
      </c>
      <c r="X215" s="16">
        <f t="shared" si="91"/>
        <v>0.5411581705941565</v>
      </c>
      <c r="Y215" s="16">
        <f t="shared" si="92"/>
        <v>0.92402391528493</v>
      </c>
      <c r="Z215" s="16">
        <f t="shared" si="74"/>
        <v>0.52024016457725331</v>
      </c>
      <c r="AA215" s="16">
        <f t="shared" si="75"/>
        <v>1.8859712924546246E-2</v>
      </c>
      <c r="AB215" s="14">
        <f t="shared" si="93"/>
        <v>30.43926624594744</v>
      </c>
      <c r="AC215" s="16">
        <f t="shared" si="76"/>
        <v>0.31332706811105093</v>
      </c>
      <c r="AD215" s="16">
        <f t="shared" si="77"/>
        <v>7.0157481885451844E-2</v>
      </c>
      <c r="AE215" s="23" t="str">
        <f t="shared" si="94"/>
        <v/>
      </c>
      <c r="AF215" s="23" t="str">
        <f t="shared" si="78"/>
        <v/>
      </c>
      <c r="AG215" s="23" t="str">
        <f t="shared" si="79"/>
        <v/>
      </c>
      <c r="AH215" s="23" t="str">
        <f t="shared" si="95"/>
        <v/>
      </c>
      <c r="AI215" s="23" t="str">
        <f t="shared" si="80"/>
        <v/>
      </c>
      <c r="AJ215" s="23" t="str">
        <f t="shared" si="81"/>
        <v/>
      </c>
      <c r="AK215" s="23" t="str">
        <f t="shared" si="82"/>
        <v/>
      </c>
      <c r="AL215" s="23" t="str">
        <f t="shared" si="83"/>
        <v/>
      </c>
      <c r="AM215" s="52">
        <f t="shared" si="84"/>
        <v>0</v>
      </c>
      <c r="AN215" s="26">
        <f t="shared" si="85"/>
        <v>243.20601239703979</v>
      </c>
    </row>
    <row r="216" spans="1:40" x14ac:dyDescent="0.2">
      <c r="A216" s="12">
        <v>44770</v>
      </c>
      <c r="B216" s="6">
        <v>28</v>
      </c>
      <c r="C216" s="6">
        <v>209</v>
      </c>
      <c r="D216" s="6">
        <v>5</v>
      </c>
      <c r="E216" s="6" t="s">
        <v>16</v>
      </c>
      <c r="F216" s="6">
        <v>30</v>
      </c>
      <c r="G216" s="6">
        <v>7</v>
      </c>
      <c r="H216" s="6" t="s">
        <v>23</v>
      </c>
      <c r="I216" s="6">
        <v>3</v>
      </c>
      <c r="J216" s="14">
        <v>15.464704959922752</v>
      </c>
      <c r="K216" s="14">
        <v>9.4263085613647064</v>
      </c>
      <c r="L216" s="14">
        <f t="shared" si="86"/>
        <v>145.77508076269908</v>
      </c>
      <c r="M216" s="16">
        <v>0.32478555658184988</v>
      </c>
      <c r="N216" s="14">
        <f t="shared" si="87"/>
        <v>47.345640741277336</v>
      </c>
      <c r="O216" s="14">
        <f t="shared" si="88"/>
        <v>98.42944002142174</v>
      </c>
      <c r="P216" s="14">
        <v>26.921124005648586</v>
      </c>
      <c r="Q216" s="14">
        <v>12.761520552378244</v>
      </c>
      <c r="R216" s="14">
        <f t="shared" si="72"/>
        <v>12.987012987012987</v>
      </c>
      <c r="S216" s="14">
        <v>32.071025683988942</v>
      </c>
      <c r="T216" s="14">
        <f t="shared" si="89"/>
        <v>102.04255653388935</v>
      </c>
      <c r="U216" s="14">
        <f t="shared" si="73"/>
        <v>6.5984159929552941</v>
      </c>
      <c r="V216" s="14">
        <v>36.294423658549071</v>
      </c>
      <c r="W216" s="16">
        <f t="shared" si="90"/>
        <v>4.0799373719981498</v>
      </c>
      <c r="X216" s="16">
        <f t="shared" si="91"/>
        <v>0.42609038527272702</v>
      </c>
      <c r="Y216" s="16">
        <f t="shared" si="92"/>
        <v>0.46397936654549982</v>
      </c>
      <c r="Z216" s="16">
        <f t="shared" si="74"/>
        <v>2.3436996055467594</v>
      </c>
      <c r="AA216" s="16">
        <f t="shared" si="75"/>
        <v>8.9089389757595006E-2</v>
      </c>
      <c r="AB216" s="14">
        <f t="shared" si="93"/>
        <v>6.5984159929552941</v>
      </c>
      <c r="AC216" s="16">
        <f t="shared" si="76"/>
        <v>1.353819522170477</v>
      </c>
      <c r="AD216" s="16">
        <f t="shared" si="77"/>
        <v>0.1846757612123866</v>
      </c>
      <c r="AE216" s="23" t="str">
        <f t="shared" si="94"/>
        <v/>
      </c>
      <c r="AF216" s="23" t="str">
        <f t="shared" si="78"/>
        <v/>
      </c>
      <c r="AG216" s="23" t="str">
        <f t="shared" si="79"/>
        <v/>
      </c>
      <c r="AH216" s="23" t="str">
        <f t="shared" si="95"/>
        <v/>
      </c>
      <c r="AI216" s="23" t="str">
        <f t="shared" si="80"/>
        <v/>
      </c>
      <c r="AJ216" s="23" t="str">
        <f t="shared" si="81"/>
        <v/>
      </c>
      <c r="AK216" s="23" t="str">
        <f t="shared" si="82"/>
        <v/>
      </c>
      <c r="AL216" s="23" t="str">
        <f t="shared" si="83"/>
        <v/>
      </c>
      <c r="AM216" s="52">
        <f t="shared" si="84"/>
        <v>0</v>
      </c>
      <c r="AN216" s="26">
        <f t="shared" si="85"/>
        <v>98.42944002142174</v>
      </c>
    </row>
    <row r="217" spans="1:40" x14ac:dyDescent="0.2">
      <c r="A217" s="12">
        <v>44771</v>
      </c>
      <c r="B217" s="6">
        <v>29</v>
      </c>
      <c r="C217" s="6">
        <v>210</v>
      </c>
      <c r="D217" s="6">
        <v>6</v>
      </c>
      <c r="E217" s="6" t="s">
        <v>17</v>
      </c>
      <c r="F217" s="6">
        <v>30</v>
      </c>
      <c r="G217" s="6">
        <v>7</v>
      </c>
      <c r="H217" s="6" t="s">
        <v>23</v>
      </c>
      <c r="I217" s="6">
        <v>3</v>
      </c>
      <c r="J217" s="14">
        <v>23.978029723760443</v>
      </c>
      <c r="K217" s="14">
        <v>76.470830000041673</v>
      </c>
      <c r="L217" s="14">
        <f t="shared" si="86"/>
        <v>1833.6198347416309</v>
      </c>
      <c r="M217" s="16">
        <v>0.54342554532675991</v>
      </c>
      <c r="N217" s="14">
        <f t="shared" si="87"/>
        <v>996.43585861643419</v>
      </c>
      <c r="O217" s="14">
        <f t="shared" si="88"/>
        <v>837.18397612519675</v>
      </c>
      <c r="P217" s="14">
        <v>36.719324167263196</v>
      </c>
      <c r="Q217" s="14">
        <v>10.868723530601228</v>
      </c>
      <c r="R217" s="14">
        <f t="shared" si="72"/>
        <v>12.987012987012987</v>
      </c>
      <c r="S217" s="14">
        <v>38.922811514978427</v>
      </c>
      <c r="T217" s="14">
        <f t="shared" si="89"/>
        <v>1283.5338843191416</v>
      </c>
      <c r="U217" s="14">
        <f t="shared" si="73"/>
        <v>53.529581000029168</v>
      </c>
      <c r="V217" s="14">
        <v>24.978663665273061</v>
      </c>
      <c r="W217" s="16">
        <f t="shared" si="90"/>
        <v>0.68596322783178865</v>
      </c>
      <c r="X217" s="16">
        <f t="shared" si="91"/>
        <v>0.95994045338367062</v>
      </c>
      <c r="Y217" s="16">
        <f t="shared" si="92"/>
        <v>0.77632220760965709</v>
      </c>
      <c r="Z217" s="16">
        <f t="shared" si="74"/>
        <v>0.44793979844055526</v>
      </c>
      <c r="AA217" s="16">
        <f t="shared" si="75"/>
        <v>7.0827184244780716E-3</v>
      </c>
      <c r="AB217" s="14">
        <f t="shared" si="93"/>
        <v>53.529581000029168</v>
      </c>
      <c r="AC217" s="16">
        <f t="shared" si="76"/>
        <v>0.14212901220760002</v>
      </c>
      <c r="AD217" s="16">
        <f t="shared" si="77"/>
        <v>2.0025592803667065E-2</v>
      </c>
      <c r="AE217" s="23" t="str">
        <f t="shared" si="94"/>
        <v/>
      </c>
      <c r="AF217" s="23" t="str">
        <f t="shared" si="78"/>
        <v/>
      </c>
      <c r="AG217" s="23" t="str">
        <f t="shared" si="79"/>
        <v/>
      </c>
      <c r="AH217" s="23" t="str">
        <f t="shared" si="95"/>
        <v/>
      </c>
      <c r="AI217" s="23" t="str">
        <f t="shared" si="80"/>
        <v/>
      </c>
      <c r="AJ217" s="23" t="str">
        <f t="shared" si="81"/>
        <v/>
      </c>
      <c r="AK217" s="23" t="str">
        <f t="shared" si="82"/>
        <v/>
      </c>
      <c r="AL217" s="23" t="str">
        <f t="shared" si="83"/>
        <v/>
      </c>
      <c r="AM217" s="52">
        <f t="shared" si="84"/>
        <v>0</v>
      </c>
      <c r="AN217" s="26">
        <f t="shared" si="85"/>
        <v>837.18397612519675</v>
      </c>
    </row>
    <row r="218" spans="1:40" x14ac:dyDescent="0.2">
      <c r="A218" s="12">
        <v>44772</v>
      </c>
      <c r="B218" s="6">
        <v>30</v>
      </c>
      <c r="C218" s="6">
        <v>211</v>
      </c>
      <c r="D218" s="6">
        <v>7</v>
      </c>
      <c r="E218" s="6" t="s">
        <v>10</v>
      </c>
      <c r="F218" s="6">
        <v>30</v>
      </c>
      <c r="G218" s="6">
        <v>7</v>
      </c>
      <c r="H218" s="6" t="s">
        <v>23</v>
      </c>
      <c r="I218" s="6">
        <v>3</v>
      </c>
      <c r="J218" s="14">
        <v>12.121640095645345</v>
      </c>
      <c r="K218" s="14">
        <v>72.31575312042888</v>
      </c>
      <c r="L218" s="14">
        <f t="shared" si="86"/>
        <v>876.58553257138067</v>
      </c>
      <c r="M218" s="16">
        <v>0.54151072152113267</v>
      </c>
      <c r="N218" s="14">
        <f t="shared" si="87"/>
        <v>474.6804642177147</v>
      </c>
      <c r="O218" s="14">
        <f t="shared" si="88"/>
        <v>401.90506835366597</v>
      </c>
      <c r="P218" s="14">
        <v>43.06603397718407</v>
      </c>
      <c r="Q218" s="14">
        <v>16.146687424355523</v>
      </c>
      <c r="R218" s="14">
        <f t="shared" si="72"/>
        <v>12.987012987012987</v>
      </c>
      <c r="S218" s="14">
        <v>32.502576358023234</v>
      </c>
      <c r="T218" s="14">
        <f t="shared" si="89"/>
        <v>613.60987279996641</v>
      </c>
      <c r="U218" s="14">
        <f t="shared" si="73"/>
        <v>50.62102718430021</v>
      </c>
      <c r="V218" s="14">
        <v>38.214518929561137</v>
      </c>
      <c r="W218" s="16">
        <f t="shared" si="90"/>
        <v>0.85075385413239357</v>
      </c>
      <c r="X218" s="16">
        <f t="shared" si="91"/>
        <v>0.31719986107867909</v>
      </c>
      <c r="Y218" s="16">
        <f t="shared" si="92"/>
        <v>0.77358674503018965</v>
      </c>
      <c r="Z218" s="16">
        <f t="shared" si="74"/>
        <v>0.23945859596078672</v>
      </c>
      <c r="AA218" s="16">
        <f t="shared" si="75"/>
        <v>1.4815454401713446E-2</v>
      </c>
      <c r="AB218" s="14">
        <f t="shared" si="93"/>
        <v>50.62102718430021</v>
      </c>
      <c r="AC218" s="16">
        <f t="shared" si="76"/>
        <v>0.22328036046953864</v>
      </c>
      <c r="AD218" s="16">
        <f t="shared" si="77"/>
        <v>4.9129300424174169E-2</v>
      </c>
      <c r="AE218" s="23" t="str">
        <f t="shared" si="94"/>
        <v/>
      </c>
      <c r="AF218" s="23" t="str">
        <f t="shared" si="78"/>
        <v/>
      </c>
      <c r="AG218" s="23" t="str">
        <f t="shared" si="79"/>
        <v/>
      </c>
      <c r="AH218" s="23" t="str">
        <f t="shared" si="95"/>
        <v/>
      </c>
      <c r="AI218" s="23" t="str">
        <f t="shared" si="80"/>
        <v/>
      </c>
      <c r="AJ218" s="23" t="str">
        <f t="shared" si="81"/>
        <v/>
      </c>
      <c r="AK218" s="23" t="str">
        <f t="shared" si="82"/>
        <v/>
      </c>
      <c r="AL218" s="23" t="str">
        <f t="shared" si="83"/>
        <v/>
      </c>
      <c r="AM218" s="52">
        <f t="shared" si="84"/>
        <v>0</v>
      </c>
      <c r="AN218" s="26">
        <f t="shared" si="85"/>
        <v>401.90506835366597</v>
      </c>
    </row>
    <row r="219" spans="1:40" x14ac:dyDescent="0.2">
      <c r="A219" s="12">
        <v>44773</v>
      </c>
      <c r="B219" s="6">
        <v>31</v>
      </c>
      <c r="C219" s="6">
        <v>212</v>
      </c>
      <c r="D219" s="6">
        <v>1</v>
      </c>
      <c r="E219" s="6" t="s">
        <v>12</v>
      </c>
      <c r="F219" s="6">
        <v>31</v>
      </c>
      <c r="G219" s="6">
        <v>7</v>
      </c>
      <c r="H219" s="6" t="s">
        <v>23</v>
      </c>
      <c r="I219" s="6">
        <v>3</v>
      </c>
      <c r="J219" s="14">
        <v>10.485837537433421</v>
      </c>
      <c r="K219" s="14">
        <v>32.938273977853932</v>
      </c>
      <c r="L219" s="14">
        <f t="shared" si="86"/>
        <v>345.38538969524717</v>
      </c>
      <c r="M219" s="16">
        <v>0.25300156266948265</v>
      </c>
      <c r="N219" s="14">
        <f t="shared" si="87"/>
        <v>87.38304331610577</v>
      </c>
      <c r="O219" s="14">
        <f t="shared" si="88"/>
        <v>258.00234637914139</v>
      </c>
      <c r="P219" s="14">
        <v>20.453130646458014</v>
      </c>
      <c r="Q219" s="14">
        <v>7.4941353667690249</v>
      </c>
      <c r="R219" s="14">
        <f t="shared" si="72"/>
        <v>28.571428571428573</v>
      </c>
      <c r="S219" s="14">
        <v>19.601743626717361</v>
      </c>
      <c r="T219" s="14">
        <f t="shared" si="89"/>
        <v>241.769772786673</v>
      </c>
      <c r="U219" s="14">
        <f t="shared" si="73"/>
        <v>23.056791784497751</v>
      </c>
      <c r="V219" s="14">
        <v>18.791653103455133</v>
      </c>
      <c r="W219" s="16">
        <f t="shared" si="90"/>
        <v>0.88707617424075846</v>
      </c>
      <c r="X219" s="16">
        <f t="shared" si="91"/>
        <v>0.55800506106114944</v>
      </c>
      <c r="Y219" s="16">
        <f t="shared" si="92"/>
        <v>0.3614308038135467</v>
      </c>
      <c r="Z219" s="16">
        <f t="shared" si="74"/>
        <v>0.45478302599252252</v>
      </c>
      <c r="AA219" s="16">
        <f t="shared" si="75"/>
        <v>8.2723327111893008E-2</v>
      </c>
      <c r="AB219" s="14">
        <f t="shared" si="93"/>
        <v>23.056791784497751</v>
      </c>
      <c r="AC219" s="16">
        <f t="shared" si="76"/>
        <v>0.22752058507399966</v>
      </c>
      <c r="AD219" s="16">
        <f t="shared" si="77"/>
        <v>5.9218285592523047E-2</v>
      </c>
      <c r="AE219" s="23" t="str">
        <f t="shared" si="94"/>
        <v/>
      </c>
      <c r="AF219" s="23">
        <f t="shared" si="78"/>
        <v>1000</v>
      </c>
      <c r="AG219" s="23" t="str">
        <f t="shared" si="79"/>
        <v/>
      </c>
      <c r="AH219" s="23" t="str">
        <f t="shared" si="95"/>
        <v/>
      </c>
      <c r="AI219" s="23" t="str">
        <f t="shared" si="80"/>
        <v/>
      </c>
      <c r="AJ219" s="23" t="str">
        <f t="shared" si="81"/>
        <v/>
      </c>
      <c r="AK219" s="23" t="str">
        <f t="shared" si="82"/>
        <v/>
      </c>
      <c r="AL219" s="23" t="str">
        <f t="shared" si="83"/>
        <v/>
      </c>
      <c r="AM219" s="52">
        <f t="shared" si="84"/>
        <v>1000</v>
      </c>
      <c r="AN219" s="26">
        <f t="shared" si="85"/>
        <v>-741.99765362085861</v>
      </c>
    </row>
    <row r="220" spans="1:40" x14ac:dyDescent="0.2">
      <c r="A220" s="12">
        <v>44774</v>
      </c>
      <c r="B220" s="6">
        <v>1</v>
      </c>
      <c r="C220" s="6">
        <v>213</v>
      </c>
      <c r="D220" s="6">
        <v>2</v>
      </c>
      <c r="E220" s="6" t="s">
        <v>13</v>
      </c>
      <c r="F220" s="6">
        <v>31</v>
      </c>
      <c r="G220" s="6">
        <v>8</v>
      </c>
      <c r="H220" s="6" t="s">
        <v>24</v>
      </c>
      <c r="I220" s="6">
        <v>3</v>
      </c>
      <c r="J220" s="14">
        <v>18.338253062438188</v>
      </c>
      <c r="K220" s="14">
        <v>51.311211370577681</v>
      </c>
      <c r="L220" s="14">
        <f t="shared" si="86"/>
        <v>940.9579790539093</v>
      </c>
      <c r="M220" s="16">
        <v>0.30982808391100886</v>
      </c>
      <c r="N220" s="14">
        <f t="shared" si="87"/>
        <v>291.5352076910479</v>
      </c>
      <c r="O220" s="14">
        <f t="shared" si="88"/>
        <v>649.42277136286134</v>
      </c>
      <c r="P220" s="14">
        <v>31.700991517419823</v>
      </c>
      <c r="Q220" s="14">
        <v>9.6026620382365042</v>
      </c>
      <c r="R220" s="14">
        <f t="shared" si="72"/>
        <v>12.987012987012987</v>
      </c>
      <c r="S220" s="14">
        <v>30.814413092499461</v>
      </c>
      <c r="T220" s="14">
        <f t="shared" si="89"/>
        <v>658.6705853377365</v>
      </c>
      <c r="U220" s="14">
        <f t="shared" si="73"/>
        <v>35.917847959404376</v>
      </c>
      <c r="V220" s="14">
        <v>38.509637317329641</v>
      </c>
      <c r="W220" s="16">
        <f t="shared" si="90"/>
        <v>0.88259718547863464</v>
      </c>
      <c r="X220" s="16">
        <f t="shared" si="91"/>
        <v>0.47619905924654943</v>
      </c>
      <c r="Y220" s="16">
        <f t="shared" si="92"/>
        <v>0.44261154844429834</v>
      </c>
      <c r="Z220" s="16">
        <f t="shared" si="74"/>
        <v>0.51056101922266417</v>
      </c>
      <c r="AA220" s="16">
        <f t="shared" si="75"/>
        <v>1.38019053731505E-2</v>
      </c>
      <c r="AB220" s="14">
        <f t="shared" si="93"/>
        <v>35.917847959404376</v>
      </c>
      <c r="AC220" s="16">
        <f t="shared" si="76"/>
        <v>0.18714549475132367</v>
      </c>
      <c r="AD220" s="16">
        <f t="shared" si="77"/>
        <v>3.3690124557202585E-2</v>
      </c>
      <c r="AE220" s="23">
        <f t="shared" si="94"/>
        <v>3000</v>
      </c>
      <c r="AF220" s="23" t="str">
        <f t="shared" si="78"/>
        <v/>
      </c>
      <c r="AG220" s="23" t="str">
        <f t="shared" si="79"/>
        <v/>
      </c>
      <c r="AH220" s="23" t="str">
        <f t="shared" si="95"/>
        <v/>
      </c>
      <c r="AI220" s="23" t="str">
        <f t="shared" si="80"/>
        <v/>
      </c>
      <c r="AJ220" s="23" t="str">
        <f t="shared" si="81"/>
        <v/>
      </c>
      <c r="AK220" s="23" t="str">
        <f t="shared" si="82"/>
        <v/>
      </c>
      <c r="AL220" s="23" t="str">
        <f t="shared" si="83"/>
        <v/>
      </c>
      <c r="AM220" s="52">
        <f t="shared" si="84"/>
        <v>3000</v>
      </c>
      <c r="AN220" s="26">
        <f t="shared" si="85"/>
        <v>-2350.5772286371384</v>
      </c>
    </row>
    <row r="221" spans="1:40" x14ac:dyDescent="0.2">
      <c r="A221" s="12">
        <v>44775</v>
      </c>
      <c r="B221" s="6">
        <v>2</v>
      </c>
      <c r="C221" s="6">
        <v>214</v>
      </c>
      <c r="D221" s="6">
        <v>3</v>
      </c>
      <c r="E221" s="6" t="s">
        <v>14</v>
      </c>
      <c r="F221" s="6">
        <v>31</v>
      </c>
      <c r="G221" s="6">
        <v>8</v>
      </c>
      <c r="H221" s="6" t="s">
        <v>24</v>
      </c>
      <c r="I221" s="6">
        <v>3</v>
      </c>
      <c r="J221" s="14">
        <v>22.14873358238183</v>
      </c>
      <c r="K221" s="14">
        <v>46.516147816623501</v>
      </c>
      <c r="L221" s="14">
        <f t="shared" si="86"/>
        <v>1030.2737652690862</v>
      </c>
      <c r="M221" s="16">
        <v>0.67738065575985373</v>
      </c>
      <c r="N221" s="14">
        <f t="shared" si="87"/>
        <v>697.88751873014724</v>
      </c>
      <c r="O221" s="14">
        <f t="shared" si="88"/>
        <v>332.38624653893896</v>
      </c>
      <c r="P221" s="14">
        <v>45.976076587442741</v>
      </c>
      <c r="Q221" s="14">
        <v>14.889393668871328</v>
      </c>
      <c r="R221" s="14">
        <f t="shared" si="72"/>
        <v>12.987012987012987</v>
      </c>
      <c r="S221" s="14">
        <v>36.367161583116236</v>
      </c>
      <c r="T221" s="14">
        <f t="shared" si="89"/>
        <v>721.19163568836029</v>
      </c>
      <c r="U221" s="14">
        <f t="shared" si="73"/>
        <v>32.56130347163645</v>
      </c>
      <c r="V221" s="14">
        <v>31.374855833694781</v>
      </c>
      <c r="W221" s="16">
        <f t="shared" si="90"/>
        <v>1.411985138355768</v>
      </c>
      <c r="X221" s="16">
        <f t="shared" si="91"/>
        <v>0.70593897545802808</v>
      </c>
      <c r="Y221" s="16">
        <f t="shared" si="92"/>
        <v>0.96768665108550544</v>
      </c>
      <c r="Z221" s="16">
        <f t="shared" si="74"/>
        <v>0.68021642934765136</v>
      </c>
      <c r="AA221" s="16">
        <f t="shared" si="75"/>
        <v>1.2605400064342168E-2</v>
      </c>
      <c r="AB221" s="14">
        <f t="shared" si="93"/>
        <v>32.56130347163645</v>
      </c>
      <c r="AC221" s="16">
        <f t="shared" si="76"/>
        <v>0.32009085807295284</v>
      </c>
      <c r="AD221" s="16">
        <f t="shared" si="77"/>
        <v>4.4625106585563443E-2</v>
      </c>
      <c r="AE221" s="23" t="str">
        <f t="shared" si="94"/>
        <v/>
      </c>
      <c r="AF221" s="23" t="str">
        <f t="shared" si="78"/>
        <v/>
      </c>
      <c r="AG221" s="23" t="str">
        <f t="shared" si="79"/>
        <v/>
      </c>
      <c r="AH221" s="23" t="str">
        <f t="shared" si="95"/>
        <v/>
      </c>
      <c r="AI221" s="23" t="str">
        <f t="shared" si="80"/>
        <v/>
      </c>
      <c r="AJ221" s="23" t="str">
        <f t="shared" si="81"/>
        <v/>
      </c>
      <c r="AK221" s="23" t="str">
        <f t="shared" si="82"/>
        <v/>
      </c>
      <c r="AL221" s="23" t="str">
        <f t="shared" si="83"/>
        <v/>
      </c>
      <c r="AM221" s="52">
        <f t="shared" si="84"/>
        <v>0</v>
      </c>
      <c r="AN221" s="26">
        <f t="shared" si="85"/>
        <v>332.38624653893896</v>
      </c>
    </row>
    <row r="222" spans="1:40" x14ac:dyDescent="0.2">
      <c r="A222" s="12">
        <v>44776</v>
      </c>
      <c r="B222" s="6">
        <v>3</v>
      </c>
      <c r="C222" s="6">
        <v>215</v>
      </c>
      <c r="D222" s="6">
        <v>4</v>
      </c>
      <c r="E222" s="6" t="s">
        <v>15</v>
      </c>
      <c r="F222" s="6">
        <v>31</v>
      </c>
      <c r="G222" s="6">
        <v>8</v>
      </c>
      <c r="H222" s="6" t="s">
        <v>24</v>
      </c>
      <c r="I222" s="6">
        <v>3</v>
      </c>
      <c r="J222" s="14">
        <v>9.8246389971594041</v>
      </c>
      <c r="K222" s="14">
        <v>28.800383854941444</v>
      </c>
      <c r="L222" s="14">
        <f t="shared" si="86"/>
        <v>282.9533743544178</v>
      </c>
      <c r="M222" s="16">
        <v>0.58522251923889079</v>
      </c>
      <c r="N222" s="14">
        <f t="shared" si="87"/>
        <v>165.59068656683735</v>
      </c>
      <c r="O222" s="14">
        <f t="shared" si="88"/>
        <v>117.36268778758046</v>
      </c>
      <c r="P222" s="14">
        <v>37.374455081232604</v>
      </c>
      <c r="Q222" s="14">
        <v>12.983233080688226</v>
      </c>
      <c r="R222" s="14">
        <f t="shared" si="72"/>
        <v>12.987012987012987</v>
      </c>
      <c r="S222" s="14">
        <v>35.927062048336346</v>
      </c>
      <c r="T222" s="14">
        <f t="shared" si="89"/>
        <v>198.06736204809246</v>
      </c>
      <c r="U222" s="14">
        <f t="shared" si="73"/>
        <v>20.16026869845901</v>
      </c>
      <c r="V222" s="14">
        <v>36.736537775815144</v>
      </c>
      <c r="W222" s="16">
        <f t="shared" si="90"/>
        <v>1.8538669122048652</v>
      </c>
      <c r="X222" s="16">
        <f t="shared" si="91"/>
        <v>0.26743508212761635</v>
      </c>
      <c r="Y222" s="16">
        <f t="shared" si="92"/>
        <v>0.83603217034127264</v>
      </c>
      <c r="Z222" s="16">
        <f t="shared" si="74"/>
        <v>0.48732678835329063</v>
      </c>
      <c r="AA222" s="16">
        <f t="shared" si="75"/>
        <v>4.5898067187373048E-2</v>
      </c>
      <c r="AB222" s="14">
        <f t="shared" si="93"/>
        <v>20.16026869845901</v>
      </c>
      <c r="AC222" s="16">
        <f t="shared" si="76"/>
        <v>0.45080069578519244</v>
      </c>
      <c r="AD222" s="16">
        <f t="shared" si="77"/>
        <v>0.13208697428155999</v>
      </c>
      <c r="AE222" s="23" t="str">
        <f t="shared" si="94"/>
        <v/>
      </c>
      <c r="AF222" s="23" t="str">
        <f t="shared" si="78"/>
        <v/>
      </c>
      <c r="AG222" s="23" t="str">
        <f t="shared" si="79"/>
        <v/>
      </c>
      <c r="AH222" s="23" t="str">
        <f t="shared" si="95"/>
        <v/>
      </c>
      <c r="AI222" s="23" t="str">
        <f t="shared" si="80"/>
        <v/>
      </c>
      <c r="AJ222" s="23" t="str">
        <f t="shared" si="81"/>
        <v/>
      </c>
      <c r="AK222" s="23" t="str">
        <f t="shared" si="82"/>
        <v/>
      </c>
      <c r="AL222" s="23" t="str">
        <f t="shared" si="83"/>
        <v/>
      </c>
      <c r="AM222" s="52">
        <f t="shared" si="84"/>
        <v>0</v>
      </c>
      <c r="AN222" s="26">
        <f t="shared" si="85"/>
        <v>117.36268778758046</v>
      </c>
    </row>
    <row r="223" spans="1:40" x14ac:dyDescent="0.2">
      <c r="A223" s="12">
        <v>44777</v>
      </c>
      <c r="B223" s="6">
        <v>4</v>
      </c>
      <c r="C223" s="6">
        <v>216</v>
      </c>
      <c r="D223" s="6">
        <v>5</v>
      </c>
      <c r="E223" s="6" t="s">
        <v>16</v>
      </c>
      <c r="F223" s="6">
        <v>31</v>
      </c>
      <c r="G223" s="6">
        <v>8</v>
      </c>
      <c r="H223" s="6" t="s">
        <v>24</v>
      </c>
      <c r="I223" s="6">
        <v>3</v>
      </c>
      <c r="J223" s="14">
        <v>11.715389172786519</v>
      </c>
      <c r="K223" s="14">
        <v>52.160890186076294</v>
      </c>
      <c r="L223" s="14">
        <f t="shared" si="86"/>
        <v>611.08512812886488</v>
      </c>
      <c r="M223" s="16">
        <v>0.4702784239024978</v>
      </c>
      <c r="N223" s="14">
        <f t="shared" si="87"/>
        <v>287.38015092669849</v>
      </c>
      <c r="O223" s="14">
        <f t="shared" si="88"/>
        <v>323.70497720216639</v>
      </c>
      <c r="P223" s="14">
        <v>29.825924899941462</v>
      </c>
      <c r="Q223" s="14">
        <v>10.235846944607561</v>
      </c>
      <c r="R223" s="14">
        <f t="shared" si="72"/>
        <v>12.987012987012987</v>
      </c>
      <c r="S223" s="14">
        <v>41.20412078965412</v>
      </c>
      <c r="T223" s="14">
        <f t="shared" si="89"/>
        <v>427.75958969020542</v>
      </c>
      <c r="U223" s="14">
        <f t="shared" si="73"/>
        <v>36.512623130253409</v>
      </c>
      <c r="V223" s="14">
        <v>35.187339847622127</v>
      </c>
      <c r="W223" s="16">
        <f t="shared" si="90"/>
        <v>0.81686612308137563</v>
      </c>
      <c r="X223" s="16">
        <f t="shared" si="91"/>
        <v>0.3329433035722425</v>
      </c>
      <c r="Y223" s="16">
        <f t="shared" si="92"/>
        <v>0.67182631986071117</v>
      </c>
      <c r="Z223" s="16">
        <f t="shared" si="74"/>
        <v>0.32085860090066914</v>
      </c>
      <c r="AA223" s="16">
        <f t="shared" si="75"/>
        <v>2.1252379397252E-2</v>
      </c>
      <c r="AB223" s="14">
        <f t="shared" si="93"/>
        <v>36.512623130253409</v>
      </c>
      <c r="AC223" s="16">
        <f t="shared" si="76"/>
        <v>0.19623604789129717</v>
      </c>
      <c r="AD223" s="16">
        <f t="shared" si="77"/>
        <v>4.8808134132257604E-2</v>
      </c>
      <c r="AE223" s="23" t="str">
        <f t="shared" si="94"/>
        <v/>
      </c>
      <c r="AF223" s="23" t="str">
        <f t="shared" si="78"/>
        <v/>
      </c>
      <c r="AG223" s="23" t="str">
        <f t="shared" si="79"/>
        <v/>
      </c>
      <c r="AH223" s="23" t="str">
        <f t="shared" si="95"/>
        <v/>
      </c>
      <c r="AI223" s="23" t="str">
        <f t="shared" si="80"/>
        <v/>
      </c>
      <c r="AJ223" s="23" t="str">
        <f t="shared" si="81"/>
        <v/>
      </c>
      <c r="AK223" s="23" t="str">
        <f t="shared" si="82"/>
        <v/>
      </c>
      <c r="AL223" s="23" t="str">
        <f t="shared" si="83"/>
        <v/>
      </c>
      <c r="AM223" s="52">
        <f t="shared" si="84"/>
        <v>0</v>
      </c>
      <c r="AN223" s="26">
        <f t="shared" si="85"/>
        <v>323.70497720216639</v>
      </c>
    </row>
    <row r="224" spans="1:40" x14ac:dyDescent="0.2">
      <c r="A224" s="12">
        <v>44778</v>
      </c>
      <c r="B224" s="6">
        <v>5</v>
      </c>
      <c r="C224" s="6">
        <v>217</v>
      </c>
      <c r="D224" s="6">
        <v>6</v>
      </c>
      <c r="E224" s="6" t="s">
        <v>17</v>
      </c>
      <c r="F224" s="6">
        <v>31</v>
      </c>
      <c r="G224" s="6">
        <v>8</v>
      </c>
      <c r="H224" s="6" t="s">
        <v>24</v>
      </c>
      <c r="I224" s="6">
        <v>3</v>
      </c>
      <c r="J224" s="14">
        <v>13.481962337685898</v>
      </c>
      <c r="K224" s="14">
        <v>56.386972785489363</v>
      </c>
      <c r="L224" s="14">
        <f t="shared" si="86"/>
        <v>760.20704343008731</v>
      </c>
      <c r="M224" s="16">
        <v>0.55636402072327851</v>
      </c>
      <c r="N224" s="14">
        <f t="shared" si="87"/>
        <v>422.95184726491937</v>
      </c>
      <c r="O224" s="14">
        <f t="shared" si="88"/>
        <v>337.25519616516794</v>
      </c>
      <c r="P224" s="14">
        <v>33.177342153829116</v>
      </c>
      <c r="Q224" s="14">
        <v>17.418790333247017</v>
      </c>
      <c r="R224" s="14">
        <f t="shared" si="72"/>
        <v>12.987012987012987</v>
      </c>
      <c r="S224" s="14">
        <v>35.082770250504396</v>
      </c>
      <c r="T224" s="14">
        <f t="shared" si="89"/>
        <v>532.14493040106106</v>
      </c>
      <c r="U224" s="14">
        <f t="shared" si="73"/>
        <v>39.470880949842552</v>
      </c>
      <c r="V224" s="14">
        <v>38.839141765694087</v>
      </c>
      <c r="W224" s="16">
        <f t="shared" si="90"/>
        <v>0.84055236051075422</v>
      </c>
      <c r="X224" s="16">
        <f t="shared" si="91"/>
        <v>0.34712307545359489</v>
      </c>
      <c r="Y224" s="16">
        <f t="shared" si="92"/>
        <v>0.79480574389039793</v>
      </c>
      <c r="Z224" s="16">
        <f t="shared" si="74"/>
        <v>0.34156730261019619</v>
      </c>
      <c r="AA224" s="16">
        <f t="shared" si="75"/>
        <v>1.7083520995037113E-2</v>
      </c>
      <c r="AB224" s="14">
        <f t="shared" si="93"/>
        <v>39.470880949842552</v>
      </c>
      <c r="AC224" s="16">
        <f t="shared" si="76"/>
        <v>0.30891515314206713</v>
      </c>
      <c r="AD224" s="16">
        <f t="shared" si="77"/>
        <v>4.3642508235824155E-2</v>
      </c>
      <c r="AE224" s="23" t="str">
        <f t="shared" si="94"/>
        <v/>
      </c>
      <c r="AF224" s="23" t="str">
        <f t="shared" si="78"/>
        <v/>
      </c>
      <c r="AG224" s="23" t="str">
        <f t="shared" si="79"/>
        <v/>
      </c>
      <c r="AH224" s="23" t="str">
        <f t="shared" si="95"/>
        <v/>
      </c>
      <c r="AI224" s="23" t="str">
        <f t="shared" si="80"/>
        <v/>
      </c>
      <c r="AJ224" s="23" t="str">
        <f t="shared" si="81"/>
        <v/>
      </c>
      <c r="AK224" s="23" t="str">
        <f t="shared" si="82"/>
        <v/>
      </c>
      <c r="AL224" s="23">
        <f t="shared" si="83"/>
        <v>1000</v>
      </c>
      <c r="AM224" s="52">
        <f t="shared" si="84"/>
        <v>1000</v>
      </c>
      <c r="AN224" s="26">
        <f t="shared" si="85"/>
        <v>-662.74480383483206</v>
      </c>
    </row>
    <row r="225" spans="1:40" x14ac:dyDescent="0.2">
      <c r="A225" s="12">
        <v>44779</v>
      </c>
      <c r="B225" s="6">
        <v>6</v>
      </c>
      <c r="C225" s="6">
        <v>218</v>
      </c>
      <c r="D225" s="6">
        <v>7</v>
      </c>
      <c r="E225" s="6" t="s">
        <v>10</v>
      </c>
      <c r="F225" s="6">
        <v>31</v>
      </c>
      <c r="G225" s="6">
        <v>8</v>
      </c>
      <c r="H225" s="6" t="s">
        <v>24</v>
      </c>
      <c r="I225" s="6">
        <v>3</v>
      </c>
      <c r="J225" s="14">
        <v>17.083694167419125</v>
      </c>
      <c r="K225" s="14">
        <v>28.821709259878027</v>
      </c>
      <c r="L225" s="14">
        <f t="shared" si="86"/>
        <v>492.38126637802804</v>
      </c>
      <c r="M225" s="16">
        <v>0.57828420841345762</v>
      </c>
      <c r="N225" s="14">
        <f t="shared" si="87"/>
        <v>284.73631086503377</v>
      </c>
      <c r="O225" s="14">
        <f t="shared" si="88"/>
        <v>207.64495551299427</v>
      </c>
      <c r="P225" s="14">
        <v>40.43214315048219</v>
      </c>
      <c r="Q225" s="14">
        <v>14.942691662264073</v>
      </c>
      <c r="R225" s="14">
        <f t="shared" si="72"/>
        <v>12.987012987012987</v>
      </c>
      <c r="S225" s="14">
        <v>29.547445060754221</v>
      </c>
      <c r="T225" s="14">
        <f t="shared" si="89"/>
        <v>344.66688646461961</v>
      </c>
      <c r="U225" s="14">
        <f t="shared" si="73"/>
        <v>20.175196481914618</v>
      </c>
      <c r="V225" s="14">
        <v>26.100951685133765</v>
      </c>
      <c r="W225" s="16">
        <f t="shared" si="90"/>
        <v>2.0040520143992766</v>
      </c>
      <c r="X225" s="16">
        <f t="shared" si="91"/>
        <v>0.65452380332742544</v>
      </c>
      <c r="Y225" s="16">
        <f t="shared" si="92"/>
        <v>0.82612029773351092</v>
      </c>
      <c r="Z225" s="16">
        <f t="shared" si="74"/>
        <v>0.84676717685169678</v>
      </c>
      <c r="AA225" s="16">
        <f t="shared" si="75"/>
        <v>2.6375928317797018E-2</v>
      </c>
      <c r="AB225" s="14">
        <f t="shared" si="93"/>
        <v>20.175196481914618</v>
      </c>
      <c r="AC225" s="16">
        <f t="shared" si="76"/>
        <v>0.51845265412712416</v>
      </c>
      <c r="AD225" s="16">
        <f t="shared" si="77"/>
        <v>8.2115518829345993E-2</v>
      </c>
      <c r="AE225" s="23" t="str">
        <f t="shared" si="94"/>
        <v/>
      </c>
      <c r="AF225" s="23" t="str">
        <f t="shared" si="78"/>
        <v/>
      </c>
      <c r="AG225" s="23" t="str">
        <f t="shared" si="79"/>
        <v/>
      </c>
      <c r="AH225" s="23" t="str">
        <f t="shared" si="95"/>
        <v/>
      </c>
      <c r="AI225" s="23" t="str">
        <f t="shared" si="80"/>
        <v/>
      </c>
      <c r="AJ225" s="23" t="str">
        <f t="shared" si="81"/>
        <v/>
      </c>
      <c r="AK225" s="23" t="str">
        <f t="shared" si="82"/>
        <v/>
      </c>
      <c r="AL225" s="23" t="str">
        <f t="shared" si="83"/>
        <v/>
      </c>
      <c r="AM225" s="52">
        <f t="shared" si="84"/>
        <v>0</v>
      </c>
      <c r="AN225" s="26">
        <f t="shared" si="85"/>
        <v>207.64495551299427</v>
      </c>
    </row>
    <row r="226" spans="1:40" x14ac:dyDescent="0.2">
      <c r="A226" s="12">
        <v>44780</v>
      </c>
      <c r="B226" s="6">
        <v>7</v>
      </c>
      <c r="C226" s="6">
        <v>219</v>
      </c>
      <c r="D226" s="6">
        <v>1</v>
      </c>
      <c r="E226" s="6" t="s">
        <v>12</v>
      </c>
      <c r="F226" s="6">
        <v>32</v>
      </c>
      <c r="G226" s="6">
        <v>8</v>
      </c>
      <c r="H226" s="6" t="s">
        <v>24</v>
      </c>
      <c r="I226" s="6">
        <v>3</v>
      </c>
      <c r="J226" s="14">
        <v>8.414888943181758</v>
      </c>
      <c r="K226" s="14">
        <v>13.796465562358463</v>
      </c>
      <c r="L226" s="14">
        <f t="shared" si="86"/>
        <v>116.09572551567813</v>
      </c>
      <c r="M226" s="16">
        <v>0.29107514068591472</v>
      </c>
      <c r="N226" s="14">
        <f t="shared" si="87"/>
        <v>33.792579637509348</v>
      </c>
      <c r="O226" s="14">
        <f t="shared" si="88"/>
        <v>82.303145878168777</v>
      </c>
      <c r="P226" s="14">
        <v>21.11843402414717</v>
      </c>
      <c r="Q226" s="14">
        <v>7.412712982632029</v>
      </c>
      <c r="R226" s="14">
        <f t="shared" si="72"/>
        <v>28.571428571428573</v>
      </c>
      <c r="S226" s="14">
        <v>17.771752277596939</v>
      </c>
      <c r="T226" s="14">
        <f t="shared" si="89"/>
        <v>81.267007860974687</v>
      </c>
      <c r="U226" s="14">
        <f t="shared" si="73"/>
        <v>9.6575258936509236</v>
      </c>
      <c r="V226" s="14">
        <v>15.4672508956209</v>
      </c>
      <c r="W226" s="16">
        <f t="shared" si="90"/>
        <v>2.1867333576636754</v>
      </c>
      <c r="X226" s="16">
        <f t="shared" si="91"/>
        <v>0.544045545001419</v>
      </c>
      <c r="Y226" s="16">
        <f t="shared" si="92"/>
        <v>0.41582162955130675</v>
      </c>
      <c r="Z226" s="16">
        <f t="shared" si="74"/>
        <v>0.87132967965572805</v>
      </c>
      <c r="AA226" s="16">
        <f t="shared" si="75"/>
        <v>0.24610233016348348</v>
      </c>
      <c r="AB226" s="14">
        <f t="shared" si="93"/>
        <v>9.6575258936509236</v>
      </c>
      <c r="AC226" s="16">
        <f t="shared" si="76"/>
        <v>0.53729072486916341</v>
      </c>
      <c r="AD226" s="16">
        <f t="shared" si="77"/>
        <v>0.18190535379612435</v>
      </c>
      <c r="AE226" s="23" t="str">
        <f t="shared" si="94"/>
        <v/>
      </c>
      <c r="AF226" s="23">
        <f t="shared" si="78"/>
        <v>1000</v>
      </c>
      <c r="AG226" s="23" t="str">
        <f t="shared" si="79"/>
        <v/>
      </c>
      <c r="AH226" s="23" t="str">
        <f t="shared" si="95"/>
        <v/>
      </c>
      <c r="AI226" s="23" t="str">
        <f t="shared" si="80"/>
        <v/>
      </c>
      <c r="AJ226" s="23" t="str">
        <f t="shared" si="81"/>
        <v/>
      </c>
      <c r="AK226" s="23" t="str">
        <f t="shared" si="82"/>
        <v/>
      </c>
      <c r="AL226" s="23" t="str">
        <f t="shared" si="83"/>
        <v/>
      </c>
      <c r="AM226" s="52">
        <f t="shared" si="84"/>
        <v>1000</v>
      </c>
      <c r="AN226" s="26">
        <f t="shared" si="85"/>
        <v>-917.69685412183117</v>
      </c>
    </row>
    <row r="227" spans="1:40" x14ac:dyDescent="0.2">
      <c r="A227" s="12">
        <v>44781</v>
      </c>
      <c r="B227" s="6">
        <v>8</v>
      </c>
      <c r="C227" s="6">
        <v>220</v>
      </c>
      <c r="D227" s="6">
        <v>2</v>
      </c>
      <c r="E227" s="6" t="s">
        <v>13</v>
      </c>
      <c r="F227" s="6">
        <v>32</v>
      </c>
      <c r="G227" s="6">
        <v>8</v>
      </c>
      <c r="H227" s="6" t="s">
        <v>24</v>
      </c>
      <c r="I227" s="6">
        <v>3</v>
      </c>
      <c r="J227" s="14">
        <v>19.803546483768496</v>
      </c>
      <c r="K227" s="14">
        <v>97.000315044745903</v>
      </c>
      <c r="L227" s="14">
        <f t="shared" si="86"/>
        <v>1920.9502479288142</v>
      </c>
      <c r="M227" s="16">
        <v>0.4778125879058851</v>
      </c>
      <c r="N227" s="14">
        <f t="shared" si="87"/>
        <v>917.85420920131833</v>
      </c>
      <c r="O227" s="14">
        <f t="shared" si="88"/>
        <v>1003.0960387274959</v>
      </c>
      <c r="P227" s="14">
        <v>36.006444976985605</v>
      </c>
      <c r="Q227" s="14">
        <v>15.402614950485816</v>
      </c>
      <c r="R227" s="14">
        <f t="shared" si="72"/>
        <v>12.987012987012987</v>
      </c>
      <c r="S227" s="14">
        <v>35.612071361016127</v>
      </c>
      <c r="T227" s="14">
        <f t="shared" si="89"/>
        <v>1344.6651735501698</v>
      </c>
      <c r="U227" s="14">
        <f t="shared" si="73"/>
        <v>67.900220531322134</v>
      </c>
      <c r="V227" s="14">
        <v>32.416200280307393</v>
      </c>
      <c r="W227" s="16">
        <f t="shared" si="90"/>
        <v>0.53028465438305838</v>
      </c>
      <c r="X227" s="16">
        <f t="shared" si="91"/>
        <v>0.61091510764754886</v>
      </c>
      <c r="Y227" s="16">
        <f t="shared" si="92"/>
        <v>0.68258941129412165</v>
      </c>
      <c r="Z227" s="16">
        <f t="shared" si="74"/>
        <v>0.29165658563116431</v>
      </c>
      <c r="AA227" s="16">
        <f t="shared" si="75"/>
        <v>6.7607232415392857E-3</v>
      </c>
      <c r="AB227" s="14">
        <f t="shared" si="93"/>
        <v>67.900220531322134</v>
      </c>
      <c r="AC227" s="16">
        <f t="shared" si="76"/>
        <v>0.15878932912105126</v>
      </c>
      <c r="AD227" s="16">
        <f t="shared" si="77"/>
        <v>1.8744079923885628E-2</v>
      </c>
      <c r="AE227" s="23" t="str">
        <f t="shared" si="94"/>
        <v/>
      </c>
      <c r="AF227" s="23" t="str">
        <f t="shared" si="78"/>
        <v/>
      </c>
      <c r="AG227" s="23" t="str">
        <f t="shared" si="79"/>
        <v/>
      </c>
      <c r="AH227" s="23" t="str">
        <f t="shared" si="95"/>
        <v/>
      </c>
      <c r="AI227" s="23" t="str">
        <f t="shared" si="80"/>
        <v/>
      </c>
      <c r="AJ227" s="23" t="str">
        <f t="shared" si="81"/>
        <v/>
      </c>
      <c r="AK227" s="23" t="str">
        <f t="shared" si="82"/>
        <v/>
      </c>
      <c r="AL227" s="23" t="str">
        <f t="shared" si="83"/>
        <v/>
      </c>
      <c r="AM227" s="52">
        <f t="shared" si="84"/>
        <v>0</v>
      </c>
      <c r="AN227" s="26">
        <f t="shared" si="85"/>
        <v>1003.0960387274959</v>
      </c>
    </row>
    <row r="228" spans="1:40" x14ac:dyDescent="0.2">
      <c r="A228" s="12">
        <v>44782</v>
      </c>
      <c r="B228" s="6">
        <v>9</v>
      </c>
      <c r="C228" s="6">
        <v>221</v>
      </c>
      <c r="D228" s="6">
        <v>3</v>
      </c>
      <c r="E228" s="6" t="s">
        <v>14</v>
      </c>
      <c r="F228" s="6">
        <v>32</v>
      </c>
      <c r="G228" s="6">
        <v>8</v>
      </c>
      <c r="H228" s="6" t="s">
        <v>24</v>
      </c>
      <c r="I228" s="6">
        <v>3</v>
      </c>
      <c r="J228" s="14">
        <v>11.522235635658491</v>
      </c>
      <c r="K228" s="14">
        <v>80.23627767532389</v>
      </c>
      <c r="L228" s="14">
        <f t="shared" si="86"/>
        <v>924.50129790320682</v>
      </c>
      <c r="M228" s="16">
        <v>0.85346100197246921</v>
      </c>
      <c r="N228" s="14">
        <f t="shared" si="87"/>
        <v>789.0258040333191</v>
      </c>
      <c r="O228" s="14">
        <f t="shared" si="88"/>
        <v>135.47549386988771</v>
      </c>
      <c r="P228" s="14">
        <v>28.456079040207172</v>
      </c>
      <c r="Q228" s="14">
        <v>12.392882056917324</v>
      </c>
      <c r="R228" s="14">
        <f t="shared" si="72"/>
        <v>12.987012987012987</v>
      </c>
      <c r="S228" s="14">
        <v>34.179350169963307</v>
      </c>
      <c r="T228" s="14">
        <f t="shared" si="89"/>
        <v>647.15090853224478</v>
      </c>
      <c r="U228" s="14">
        <f t="shared" si="73"/>
        <v>56.165394372726723</v>
      </c>
      <c r="V228" s="14">
        <v>33.761954478317143</v>
      </c>
      <c r="W228" s="16">
        <f t="shared" si="90"/>
        <v>0.50664789872863636</v>
      </c>
      <c r="X228" s="16">
        <f t="shared" si="91"/>
        <v>0.34127869116873516</v>
      </c>
      <c r="Y228" s="16">
        <f t="shared" si="92"/>
        <v>1.2192300028178131</v>
      </c>
      <c r="Z228" s="16">
        <f t="shared" si="74"/>
        <v>0.20514830821260213</v>
      </c>
      <c r="AA228" s="16">
        <f t="shared" si="75"/>
        <v>1.404758761990694E-2</v>
      </c>
      <c r="AB228" s="14">
        <f t="shared" si="93"/>
        <v>56.165394372726723</v>
      </c>
      <c r="AC228" s="16">
        <f t="shared" si="76"/>
        <v>0.15445484780668819</v>
      </c>
      <c r="AD228" s="16">
        <f t="shared" si="77"/>
        <v>3.0779923299995689E-2</v>
      </c>
      <c r="AE228" s="23" t="str">
        <f t="shared" si="94"/>
        <v/>
      </c>
      <c r="AF228" s="23" t="str">
        <f t="shared" si="78"/>
        <v/>
      </c>
      <c r="AG228" s="23" t="str">
        <f t="shared" si="79"/>
        <v/>
      </c>
      <c r="AH228" s="23" t="str">
        <f t="shared" si="95"/>
        <v/>
      </c>
      <c r="AI228" s="23" t="str">
        <f t="shared" si="80"/>
        <v/>
      </c>
      <c r="AJ228" s="23" t="str">
        <f t="shared" si="81"/>
        <v/>
      </c>
      <c r="AK228" s="23" t="str">
        <f t="shared" si="82"/>
        <v/>
      </c>
      <c r="AL228" s="23" t="str">
        <f t="shared" si="83"/>
        <v/>
      </c>
      <c r="AM228" s="52">
        <f t="shared" si="84"/>
        <v>0</v>
      </c>
      <c r="AN228" s="26">
        <f t="shared" si="85"/>
        <v>135.47549386988771</v>
      </c>
    </row>
    <row r="229" spans="1:40" x14ac:dyDescent="0.2">
      <c r="A229" s="12">
        <v>44783</v>
      </c>
      <c r="B229" s="6">
        <v>10</v>
      </c>
      <c r="C229" s="6">
        <v>222</v>
      </c>
      <c r="D229" s="6">
        <v>4</v>
      </c>
      <c r="E229" s="6" t="s">
        <v>15</v>
      </c>
      <c r="F229" s="6">
        <v>32</v>
      </c>
      <c r="G229" s="6">
        <v>8</v>
      </c>
      <c r="H229" s="6" t="s">
        <v>24</v>
      </c>
      <c r="I229" s="6">
        <v>3</v>
      </c>
      <c r="J229" s="14">
        <v>22.741859876817006</v>
      </c>
      <c r="K229" s="14">
        <v>20.522464338962699</v>
      </c>
      <c r="L229" s="14">
        <f t="shared" si="86"/>
        <v>466.71900832366367</v>
      </c>
      <c r="M229" s="16">
        <v>0.47096259598782891</v>
      </c>
      <c r="N229" s="14">
        <f t="shared" si="87"/>
        <v>219.80719575697776</v>
      </c>
      <c r="O229" s="14">
        <f t="shared" si="88"/>
        <v>246.91181256668591</v>
      </c>
      <c r="P229" s="14">
        <v>39.805902031776981</v>
      </c>
      <c r="Q229" s="14">
        <v>10.905241503259163</v>
      </c>
      <c r="R229" s="14">
        <f t="shared" si="72"/>
        <v>12.987012987012987</v>
      </c>
      <c r="S229" s="14">
        <v>33.780813557828253</v>
      </c>
      <c r="T229" s="14">
        <f t="shared" si="89"/>
        <v>326.70330582656453</v>
      </c>
      <c r="U229" s="14">
        <f t="shared" si="73"/>
        <v>14.365725037273888</v>
      </c>
      <c r="V229" s="14">
        <v>30.888817866890633</v>
      </c>
      <c r="W229" s="16">
        <f t="shared" si="90"/>
        <v>2.7708940501433088</v>
      </c>
      <c r="X229" s="16">
        <f t="shared" si="91"/>
        <v>0.73624895503669441</v>
      </c>
      <c r="Y229" s="16">
        <f t="shared" si="92"/>
        <v>0.67280370855404137</v>
      </c>
      <c r="Z229" s="16">
        <f t="shared" si="74"/>
        <v>1.5830638424312078</v>
      </c>
      <c r="AA229" s="16">
        <f t="shared" si="75"/>
        <v>2.7826192538544861E-2</v>
      </c>
      <c r="AB229" s="14">
        <f t="shared" si="93"/>
        <v>14.365725037273888</v>
      </c>
      <c r="AC229" s="16">
        <f t="shared" si="76"/>
        <v>0.53138070180758634</v>
      </c>
      <c r="AD229" s="16">
        <f t="shared" si="77"/>
        <v>8.5288795446214385E-2</v>
      </c>
      <c r="AE229" s="23" t="str">
        <f t="shared" si="94"/>
        <v/>
      </c>
      <c r="AF229" s="23" t="str">
        <f t="shared" si="78"/>
        <v/>
      </c>
      <c r="AG229" s="23" t="str">
        <f t="shared" si="79"/>
        <v/>
      </c>
      <c r="AH229" s="23">
        <f t="shared" si="95"/>
        <v>300</v>
      </c>
      <c r="AI229" s="23" t="str">
        <f t="shared" si="80"/>
        <v/>
      </c>
      <c r="AJ229" s="23" t="str">
        <f t="shared" si="81"/>
        <v/>
      </c>
      <c r="AK229" s="23" t="str">
        <f t="shared" si="82"/>
        <v/>
      </c>
      <c r="AL229" s="23" t="str">
        <f t="shared" si="83"/>
        <v/>
      </c>
      <c r="AM229" s="52">
        <f t="shared" si="84"/>
        <v>300</v>
      </c>
      <c r="AN229" s="26">
        <f t="shared" si="85"/>
        <v>-53.08818743331409</v>
      </c>
    </row>
    <row r="230" spans="1:40" x14ac:dyDescent="0.2">
      <c r="A230" s="12">
        <v>44784</v>
      </c>
      <c r="B230" s="6">
        <v>11</v>
      </c>
      <c r="C230" s="6">
        <v>223</v>
      </c>
      <c r="D230" s="6">
        <v>5</v>
      </c>
      <c r="E230" s="6" t="s">
        <v>16</v>
      </c>
      <c r="F230" s="6">
        <v>32</v>
      </c>
      <c r="G230" s="6">
        <v>8</v>
      </c>
      <c r="H230" s="6" t="s">
        <v>24</v>
      </c>
      <c r="I230" s="6">
        <v>3</v>
      </c>
      <c r="J230" s="14">
        <v>23.141486333986002</v>
      </c>
      <c r="K230" s="14">
        <v>80.903409137797638</v>
      </c>
      <c r="L230" s="14">
        <f t="shared" si="86"/>
        <v>1872.2251369352223</v>
      </c>
      <c r="M230" s="16">
        <v>0.64985623339526888</v>
      </c>
      <c r="N230" s="14">
        <f t="shared" si="87"/>
        <v>1216.6771755566651</v>
      </c>
      <c r="O230" s="14">
        <f t="shared" si="88"/>
        <v>655.54796137855715</v>
      </c>
      <c r="P230" s="14">
        <v>35.404325692577807</v>
      </c>
      <c r="Q230" s="14">
        <v>13.23894218040285</v>
      </c>
      <c r="R230" s="14">
        <f t="shared" si="72"/>
        <v>12.987012987012987</v>
      </c>
      <c r="S230" s="14">
        <v>28.901262542953365</v>
      </c>
      <c r="T230" s="14">
        <f t="shared" si="89"/>
        <v>1310.5575958546556</v>
      </c>
      <c r="U230" s="14">
        <f t="shared" si="73"/>
        <v>56.632386396458344</v>
      </c>
      <c r="V230" s="14">
        <v>33.379101708997894</v>
      </c>
      <c r="W230" s="16">
        <f t="shared" si="90"/>
        <v>0.62516040635702241</v>
      </c>
      <c r="X230" s="16">
        <f t="shared" si="91"/>
        <v>0.69329266364732123</v>
      </c>
      <c r="Y230" s="16">
        <f t="shared" si="92"/>
        <v>0.92836604770752706</v>
      </c>
      <c r="Z230" s="16">
        <f t="shared" si="74"/>
        <v>0.40862636746371006</v>
      </c>
      <c r="AA230" s="16">
        <f t="shared" si="75"/>
        <v>6.9366726953962099E-3</v>
      </c>
      <c r="AB230" s="14">
        <f t="shared" si="93"/>
        <v>56.632386396458344</v>
      </c>
      <c r="AC230" s="16">
        <f t="shared" si="76"/>
        <v>0.16363886666201916</v>
      </c>
      <c r="AD230" s="16">
        <f t="shared" si="77"/>
        <v>1.8910292888457664E-2</v>
      </c>
      <c r="AE230" s="23" t="str">
        <f t="shared" si="94"/>
        <v/>
      </c>
      <c r="AF230" s="23" t="str">
        <f t="shared" si="78"/>
        <v/>
      </c>
      <c r="AG230" s="23" t="str">
        <f t="shared" si="79"/>
        <v/>
      </c>
      <c r="AH230" s="23" t="str">
        <f t="shared" si="95"/>
        <v/>
      </c>
      <c r="AI230" s="23" t="str">
        <f t="shared" si="80"/>
        <v/>
      </c>
      <c r="AJ230" s="23" t="str">
        <f t="shared" si="81"/>
        <v/>
      </c>
      <c r="AK230" s="23" t="str">
        <f t="shared" si="82"/>
        <v/>
      </c>
      <c r="AL230" s="23" t="str">
        <f t="shared" si="83"/>
        <v/>
      </c>
      <c r="AM230" s="52">
        <f t="shared" si="84"/>
        <v>0</v>
      </c>
      <c r="AN230" s="26">
        <f t="shared" si="85"/>
        <v>655.54796137855715</v>
      </c>
    </row>
    <row r="231" spans="1:40" x14ac:dyDescent="0.2">
      <c r="A231" s="12">
        <v>44785</v>
      </c>
      <c r="B231" s="6">
        <v>12</v>
      </c>
      <c r="C231" s="6">
        <v>224</v>
      </c>
      <c r="D231" s="6">
        <v>6</v>
      </c>
      <c r="E231" s="6" t="s">
        <v>17</v>
      </c>
      <c r="F231" s="6">
        <v>32</v>
      </c>
      <c r="G231" s="6">
        <v>8</v>
      </c>
      <c r="H231" s="6" t="s">
        <v>24</v>
      </c>
      <c r="I231" s="6">
        <v>3</v>
      </c>
      <c r="J231" s="14">
        <v>27.165190760767242</v>
      </c>
      <c r="K231" s="14">
        <v>44.617619759526256</v>
      </c>
      <c r="L231" s="14">
        <f t="shared" si="86"/>
        <v>1212.0461520589085</v>
      </c>
      <c r="M231" s="16">
        <v>0.67488450335316041</v>
      </c>
      <c r="N231" s="14">
        <f t="shared" si="87"/>
        <v>817.99116537338568</v>
      </c>
      <c r="O231" s="14">
        <f t="shared" si="88"/>
        <v>394.05498668552286</v>
      </c>
      <c r="P231" s="14">
        <v>24.879844731630037</v>
      </c>
      <c r="Q231" s="14">
        <v>15.036510146095058</v>
      </c>
      <c r="R231" s="14">
        <f t="shared" si="72"/>
        <v>12.987012987012987</v>
      </c>
      <c r="S231" s="14">
        <v>35.763779266867822</v>
      </c>
      <c r="T231" s="14">
        <f t="shared" si="89"/>
        <v>848.43230644123594</v>
      </c>
      <c r="U231" s="14">
        <f t="shared" si="73"/>
        <v>31.232333831668377</v>
      </c>
      <c r="V231" s="14">
        <v>36.207395327103804</v>
      </c>
      <c r="W231" s="16">
        <f t="shared" si="90"/>
        <v>0.79660536627598533</v>
      </c>
      <c r="X231" s="16">
        <f t="shared" si="91"/>
        <v>0.75026636175710126</v>
      </c>
      <c r="Y231" s="16">
        <f t="shared" si="92"/>
        <v>0.96412071907594354</v>
      </c>
      <c r="Z231" s="16">
        <f t="shared" si="74"/>
        <v>0.86977780486012835</v>
      </c>
      <c r="AA231" s="16">
        <f t="shared" si="75"/>
        <v>1.0714949232710229E-2</v>
      </c>
      <c r="AB231" s="14">
        <f t="shared" si="93"/>
        <v>31.232333831668377</v>
      </c>
      <c r="AC231" s="16">
        <f t="shared" si="76"/>
        <v>0.33700834394879681</v>
      </c>
      <c r="AD231" s="16">
        <f t="shared" si="77"/>
        <v>2.0527143037718923E-2</v>
      </c>
      <c r="AE231" s="23" t="str">
        <f t="shared" si="94"/>
        <v/>
      </c>
      <c r="AF231" s="23" t="str">
        <f t="shared" si="78"/>
        <v/>
      </c>
      <c r="AG231" s="23" t="str">
        <f t="shared" si="79"/>
        <v/>
      </c>
      <c r="AH231" s="23" t="str">
        <f t="shared" si="95"/>
        <v/>
      </c>
      <c r="AI231" s="23" t="str">
        <f t="shared" si="80"/>
        <v/>
      </c>
      <c r="AJ231" s="23">
        <f t="shared" si="81"/>
        <v>480</v>
      </c>
      <c r="AK231" s="23" t="str">
        <f t="shared" si="82"/>
        <v/>
      </c>
      <c r="AL231" s="23" t="str">
        <f t="shared" si="83"/>
        <v/>
      </c>
      <c r="AM231" s="52">
        <f t="shared" si="84"/>
        <v>480</v>
      </c>
      <c r="AN231" s="26">
        <f t="shared" si="85"/>
        <v>-85.945013314477137</v>
      </c>
    </row>
    <row r="232" spans="1:40" x14ac:dyDescent="0.2">
      <c r="A232" s="12">
        <v>44786</v>
      </c>
      <c r="B232" s="6">
        <v>13</v>
      </c>
      <c r="C232" s="6">
        <v>225</v>
      </c>
      <c r="D232" s="6">
        <v>7</v>
      </c>
      <c r="E232" s="6" t="s">
        <v>10</v>
      </c>
      <c r="F232" s="6">
        <v>32</v>
      </c>
      <c r="G232" s="6">
        <v>8</v>
      </c>
      <c r="H232" s="6" t="s">
        <v>24</v>
      </c>
      <c r="I232" s="6">
        <v>3</v>
      </c>
      <c r="J232" s="14">
        <v>24.93210507095802</v>
      </c>
      <c r="K232" s="14">
        <v>28.983291128010173</v>
      </c>
      <c r="L232" s="14">
        <f t="shared" si="86"/>
        <v>722.61445970571503</v>
      </c>
      <c r="M232" s="16">
        <v>0.71793203355551427</v>
      </c>
      <c r="N232" s="14">
        <f t="shared" si="87"/>
        <v>518.78806853314325</v>
      </c>
      <c r="O232" s="14">
        <f t="shared" si="88"/>
        <v>203.82639117257179</v>
      </c>
      <c r="P232" s="14">
        <v>33.114878525368006</v>
      </c>
      <c r="Q232" s="14">
        <v>11.4798880212619</v>
      </c>
      <c r="R232" s="14">
        <f t="shared" si="72"/>
        <v>12.987012987012987</v>
      </c>
      <c r="S232" s="14">
        <v>42.949873999257591</v>
      </c>
      <c r="T232" s="14">
        <f t="shared" si="89"/>
        <v>505.83012179400049</v>
      </c>
      <c r="U232" s="14">
        <f t="shared" si="73"/>
        <v>20.28830378960712</v>
      </c>
      <c r="V232" s="14">
        <v>35.642950730442337</v>
      </c>
      <c r="W232" s="16">
        <f t="shared" si="90"/>
        <v>1.6322152343919172</v>
      </c>
      <c r="X232" s="16">
        <f t="shared" si="91"/>
        <v>0.69949610119298355</v>
      </c>
      <c r="Y232" s="16">
        <f t="shared" si="92"/>
        <v>1.025617190793592</v>
      </c>
      <c r="Z232" s="16">
        <f t="shared" si="74"/>
        <v>1.2288905632283431</v>
      </c>
      <c r="AA232" s="16">
        <f t="shared" si="75"/>
        <v>1.7972257284059819E-2</v>
      </c>
      <c r="AB232" s="14">
        <f t="shared" si="93"/>
        <v>20.28830378960712</v>
      </c>
      <c r="AC232" s="16">
        <f t="shared" si="76"/>
        <v>0.3960864199499915</v>
      </c>
      <c r="AD232" s="16">
        <f t="shared" si="77"/>
        <v>4.5826481992699189E-2</v>
      </c>
      <c r="AE232" s="23" t="str">
        <f t="shared" si="94"/>
        <v/>
      </c>
      <c r="AF232" s="23" t="str">
        <f t="shared" si="78"/>
        <v/>
      </c>
      <c r="AG232" s="23" t="str">
        <f t="shared" si="79"/>
        <v/>
      </c>
      <c r="AH232" s="23" t="str">
        <f t="shared" si="95"/>
        <v/>
      </c>
      <c r="AI232" s="23" t="str">
        <f t="shared" si="80"/>
        <v/>
      </c>
      <c r="AJ232" s="23" t="str">
        <f t="shared" si="81"/>
        <v/>
      </c>
      <c r="AK232" s="23" t="str">
        <f t="shared" si="82"/>
        <v/>
      </c>
      <c r="AL232" s="23" t="str">
        <f t="shared" si="83"/>
        <v/>
      </c>
      <c r="AM232" s="52">
        <f t="shared" si="84"/>
        <v>0</v>
      </c>
      <c r="AN232" s="26">
        <f t="shared" si="85"/>
        <v>203.82639117257179</v>
      </c>
    </row>
    <row r="233" spans="1:40" x14ac:dyDescent="0.2">
      <c r="A233" s="12">
        <v>44787</v>
      </c>
      <c r="B233" s="6">
        <v>14</v>
      </c>
      <c r="C233" s="6">
        <v>226</v>
      </c>
      <c r="D233" s="6">
        <v>1</v>
      </c>
      <c r="E233" s="6" t="s">
        <v>12</v>
      </c>
      <c r="F233" s="6">
        <v>33</v>
      </c>
      <c r="G233" s="6">
        <v>8</v>
      </c>
      <c r="H233" s="6" t="s">
        <v>24</v>
      </c>
      <c r="I233" s="6">
        <v>3</v>
      </c>
      <c r="J233" s="14">
        <v>11.479351545542597</v>
      </c>
      <c r="K233" s="14">
        <v>22.500010418516698</v>
      </c>
      <c r="L233" s="14">
        <f t="shared" si="86"/>
        <v>258.28552937252419</v>
      </c>
      <c r="M233" s="16">
        <v>0.3044037828339281</v>
      </c>
      <c r="N233" s="14">
        <f t="shared" si="87"/>
        <v>78.623092192260017</v>
      </c>
      <c r="O233" s="14">
        <f t="shared" si="88"/>
        <v>179.66243718026419</v>
      </c>
      <c r="P233" s="14">
        <v>22.833841992448122</v>
      </c>
      <c r="Q233" s="14">
        <v>5.0111047406191265</v>
      </c>
      <c r="R233" s="14">
        <f t="shared" si="72"/>
        <v>28.571428571428573</v>
      </c>
      <c r="S233" s="14">
        <v>16.08245988814604</v>
      </c>
      <c r="T233" s="14">
        <f t="shared" si="89"/>
        <v>180.79987056076692</v>
      </c>
      <c r="U233" s="14">
        <f t="shared" si="73"/>
        <v>15.750007292961687</v>
      </c>
      <c r="V233" s="14">
        <v>14.799070270367945</v>
      </c>
      <c r="W233" s="16">
        <f t="shared" si="90"/>
        <v>1.4497670742445965</v>
      </c>
      <c r="X233" s="16">
        <f t="shared" si="91"/>
        <v>0.77568058910616888</v>
      </c>
      <c r="Y233" s="16">
        <f t="shared" si="92"/>
        <v>0.43486254690561166</v>
      </c>
      <c r="Z233" s="16">
        <f t="shared" si="74"/>
        <v>0.72884737968803692</v>
      </c>
      <c r="AA233" s="16">
        <f t="shared" si="75"/>
        <v>0.1106195482218445</v>
      </c>
      <c r="AB233" s="14">
        <f t="shared" si="93"/>
        <v>15.750007292961687</v>
      </c>
      <c r="AC233" s="16">
        <f t="shared" si="76"/>
        <v>0.22271566312232316</v>
      </c>
      <c r="AD233" s="16">
        <f t="shared" si="77"/>
        <v>8.8405424988075743E-2</v>
      </c>
      <c r="AE233" s="23" t="str">
        <f t="shared" si="94"/>
        <v/>
      </c>
      <c r="AF233" s="23">
        <f t="shared" si="78"/>
        <v>1000</v>
      </c>
      <c r="AG233" s="23" t="str">
        <f t="shared" si="79"/>
        <v/>
      </c>
      <c r="AH233" s="23" t="str">
        <f t="shared" si="95"/>
        <v/>
      </c>
      <c r="AI233" s="23" t="str">
        <f t="shared" si="80"/>
        <v/>
      </c>
      <c r="AJ233" s="23" t="str">
        <f t="shared" si="81"/>
        <v/>
      </c>
      <c r="AK233" s="23" t="str">
        <f t="shared" si="82"/>
        <v/>
      </c>
      <c r="AL233" s="23" t="str">
        <f t="shared" si="83"/>
        <v/>
      </c>
      <c r="AM233" s="52">
        <f t="shared" si="84"/>
        <v>1000</v>
      </c>
      <c r="AN233" s="26">
        <f t="shared" si="85"/>
        <v>-820.33756281973581</v>
      </c>
    </row>
    <row r="234" spans="1:40" x14ac:dyDescent="0.2">
      <c r="A234" s="12">
        <v>44788</v>
      </c>
      <c r="B234" s="6">
        <v>15</v>
      </c>
      <c r="C234" s="6">
        <v>227</v>
      </c>
      <c r="D234" s="6">
        <v>2</v>
      </c>
      <c r="E234" s="6" t="s">
        <v>13</v>
      </c>
      <c r="F234" s="6">
        <v>33</v>
      </c>
      <c r="G234" s="6">
        <v>8</v>
      </c>
      <c r="H234" s="6" t="s">
        <v>24</v>
      </c>
      <c r="I234" s="6">
        <v>3</v>
      </c>
      <c r="J234" s="14">
        <v>9.2992492500171391</v>
      </c>
      <c r="K234" s="14">
        <v>76.921988061928531</v>
      </c>
      <c r="L234" s="14">
        <f t="shared" si="86"/>
        <v>715.31673979471623</v>
      </c>
      <c r="M234" s="16">
        <v>0.70696412490727911</v>
      </c>
      <c r="N234" s="14">
        <f t="shared" si="87"/>
        <v>505.70327298049943</v>
      </c>
      <c r="O234" s="14">
        <f t="shared" si="88"/>
        <v>209.61346681421679</v>
      </c>
      <c r="P234" s="14">
        <v>43.993660329488954</v>
      </c>
      <c r="Q234" s="14">
        <v>15.165250445332958</v>
      </c>
      <c r="R234" s="14">
        <f t="shared" si="72"/>
        <v>12.987012987012987</v>
      </c>
      <c r="S234" s="14">
        <v>37.964248337087703</v>
      </c>
      <c r="T234" s="14">
        <f t="shared" si="89"/>
        <v>500.72171785630132</v>
      </c>
      <c r="U234" s="14">
        <f t="shared" si="73"/>
        <v>53.84539164334997</v>
      </c>
      <c r="V234" s="14">
        <v>36.558449726387636</v>
      </c>
      <c r="W234" s="16">
        <f t="shared" si="90"/>
        <v>0.81703668571834542</v>
      </c>
      <c r="X234" s="16">
        <f t="shared" si="91"/>
        <v>0.25436661892435242</v>
      </c>
      <c r="Y234" s="16">
        <f t="shared" si="92"/>
        <v>1.0099487498675417</v>
      </c>
      <c r="Z234" s="16">
        <f t="shared" si="74"/>
        <v>0.17270278785623092</v>
      </c>
      <c r="AA234" s="16">
        <f t="shared" si="75"/>
        <v>1.8155611723472374E-2</v>
      </c>
      <c r="AB234" s="14">
        <f t="shared" si="93"/>
        <v>53.84539164334997</v>
      </c>
      <c r="AC234" s="16">
        <f t="shared" si="76"/>
        <v>0.19715104650082216</v>
      </c>
      <c r="AD234" s="16">
        <f t="shared" si="77"/>
        <v>6.1502349773212894E-2</v>
      </c>
      <c r="AE234" s="23" t="str">
        <f t="shared" si="94"/>
        <v/>
      </c>
      <c r="AF234" s="23" t="str">
        <f t="shared" si="78"/>
        <v/>
      </c>
      <c r="AG234" s="23">
        <f t="shared" si="79"/>
        <v>300</v>
      </c>
      <c r="AH234" s="23" t="str">
        <f t="shared" si="95"/>
        <v/>
      </c>
      <c r="AI234" s="23" t="str">
        <f t="shared" si="80"/>
        <v/>
      </c>
      <c r="AJ234" s="23" t="str">
        <f t="shared" si="81"/>
        <v/>
      </c>
      <c r="AK234" s="23" t="str">
        <f t="shared" si="82"/>
        <v/>
      </c>
      <c r="AL234" s="23" t="str">
        <f t="shared" si="83"/>
        <v/>
      </c>
      <c r="AM234" s="52">
        <f t="shared" si="84"/>
        <v>300</v>
      </c>
      <c r="AN234" s="26">
        <f t="shared" si="85"/>
        <v>-90.386533185783208</v>
      </c>
    </row>
    <row r="235" spans="1:40" x14ac:dyDescent="0.2">
      <c r="A235" s="12">
        <v>44789</v>
      </c>
      <c r="B235" s="6">
        <v>16</v>
      </c>
      <c r="C235" s="6">
        <v>228</v>
      </c>
      <c r="D235" s="6">
        <v>3</v>
      </c>
      <c r="E235" s="6" t="s">
        <v>14</v>
      </c>
      <c r="F235" s="6">
        <v>33</v>
      </c>
      <c r="G235" s="6">
        <v>8</v>
      </c>
      <c r="H235" s="6" t="s">
        <v>24</v>
      </c>
      <c r="I235" s="6">
        <v>3</v>
      </c>
      <c r="J235" s="14">
        <v>19.590827993141044</v>
      </c>
      <c r="K235" s="14">
        <v>92.502014969121277</v>
      </c>
      <c r="L235" s="14">
        <f t="shared" si="86"/>
        <v>1812.1910642790131</v>
      </c>
      <c r="M235" s="16">
        <v>0.45469876251568586</v>
      </c>
      <c r="N235" s="14">
        <f t="shared" si="87"/>
        <v>824.00103436965094</v>
      </c>
      <c r="O235" s="14">
        <f t="shared" si="88"/>
        <v>988.19002990936212</v>
      </c>
      <c r="P235" s="14">
        <v>29.763750355469771</v>
      </c>
      <c r="Q235" s="14">
        <v>11.856559704239405</v>
      </c>
      <c r="R235" s="14">
        <f t="shared" si="72"/>
        <v>12.987012987012987</v>
      </c>
      <c r="S235" s="14">
        <v>39.310382607081266</v>
      </c>
      <c r="T235" s="14">
        <f t="shared" si="89"/>
        <v>1268.533744995309</v>
      </c>
      <c r="U235" s="14">
        <f t="shared" si="73"/>
        <v>64.751410478384884</v>
      </c>
      <c r="V235" s="14">
        <v>35.573775795461799</v>
      </c>
      <c r="W235" s="16">
        <f t="shared" si="90"/>
        <v>0.45966180714172111</v>
      </c>
      <c r="X235" s="16">
        <f t="shared" si="91"/>
        <v>0.55070982922314016</v>
      </c>
      <c r="Y235" s="16">
        <f t="shared" si="92"/>
        <v>0.64956966073669409</v>
      </c>
      <c r="Z235" s="16">
        <f t="shared" si="74"/>
        <v>0.30255445940719383</v>
      </c>
      <c r="AA235" s="16">
        <f t="shared" si="75"/>
        <v>7.1664700499888614E-3</v>
      </c>
      <c r="AB235" s="14">
        <f t="shared" si="93"/>
        <v>64.751410478384884</v>
      </c>
      <c r="AC235" s="16">
        <f t="shared" si="76"/>
        <v>0.12817623170908574</v>
      </c>
      <c r="AD235" s="16">
        <f t="shared" si="77"/>
        <v>1.6424178963332096E-2</v>
      </c>
      <c r="AE235" s="23" t="str">
        <f t="shared" si="94"/>
        <v/>
      </c>
      <c r="AF235" s="23" t="str">
        <f t="shared" si="78"/>
        <v/>
      </c>
      <c r="AG235" s="23" t="str">
        <f t="shared" si="79"/>
        <v/>
      </c>
      <c r="AH235" s="23" t="str">
        <f t="shared" si="95"/>
        <v/>
      </c>
      <c r="AI235" s="23" t="str">
        <f t="shared" si="80"/>
        <v/>
      </c>
      <c r="AJ235" s="23" t="str">
        <f t="shared" si="81"/>
        <v/>
      </c>
      <c r="AK235" s="23" t="str">
        <f t="shared" si="82"/>
        <v/>
      </c>
      <c r="AL235" s="23" t="str">
        <f t="shared" si="83"/>
        <v/>
      </c>
      <c r="AM235" s="52">
        <f t="shared" si="84"/>
        <v>0</v>
      </c>
      <c r="AN235" s="26">
        <f t="shared" si="85"/>
        <v>988.19002990936212</v>
      </c>
    </row>
    <row r="236" spans="1:40" x14ac:dyDescent="0.2">
      <c r="A236" s="12">
        <v>44790</v>
      </c>
      <c r="B236" s="6">
        <v>17</v>
      </c>
      <c r="C236" s="6">
        <v>229</v>
      </c>
      <c r="D236" s="6">
        <v>4</v>
      </c>
      <c r="E236" s="6" t="s">
        <v>15</v>
      </c>
      <c r="F236" s="6">
        <v>33</v>
      </c>
      <c r="G236" s="6">
        <v>8</v>
      </c>
      <c r="H236" s="6" t="s">
        <v>24</v>
      </c>
      <c r="I236" s="6">
        <v>3</v>
      </c>
      <c r="J236" s="14">
        <v>15.892071107631928</v>
      </c>
      <c r="K236" s="14">
        <v>99.80349486015659</v>
      </c>
      <c r="L236" s="14">
        <f t="shared" si="86"/>
        <v>1586.0842371077861</v>
      </c>
      <c r="M236" s="16">
        <v>0.38623706203092045</v>
      </c>
      <c r="N236" s="14">
        <f t="shared" si="87"/>
        <v>612.6045158740651</v>
      </c>
      <c r="O236" s="14">
        <f t="shared" si="88"/>
        <v>973.47972123372097</v>
      </c>
      <c r="P236" s="14">
        <v>38.806817042400475</v>
      </c>
      <c r="Q236" s="14">
        <v>7.6010243606697347</v>
      </c>
      <c r="R236" s="14">
        <f t="shared" si="72"/>
        <v>12.987012987012987</v>
      </c>
      <c r="S236" s="14">
        <v>31.138580479490276</v>
      </c>
      <c r="T236" s="14">
        <f t="shared" si="89"/>
        <v>1110.2589659754501</v>
      </c>
      <c r="U236" s="14">
        <f t="shared" si="73"/>
        <v>69.862446402109597</v>
      </c>
      <c r="V236" s="14">
        <v>29.06405105364458</v>
      </c>
      <c r="W236" s="16">
        <f t="shared" si="90"/>
        <v>0.55547463681759424</v>
      </c>
      <c r="X236" s="16">
        <f t="shared" si="91"/>
        <v>0.54679476987909748</v>
      </c>
      <c r="Y236" s="16">
        <f t="shared" si="92"/>
        <v>0.55176723147274354</v>
      </c>
      <c r="Z236" s="16">
        <f t="shared" si="74"/>
        <v>0.22747659044404783</v>
      </c>
      <c r="AA236" s="16">
        <f t="shared" si="75"/>
        <v>8.188097884822762E-3</v>
      </c>
      <c r="AB236" s="14">
        <f t="shared" si="93"/>
        <v>69.862446402109597</v>
      </c>
      <c r="AC236" s="16">
        <f t="shared" si="76"/>
        <v>7.6159901728092741E-2</v>
      </c>
      <c r="AD236" s="16">
        <f t="shared" si="77"/>
        <v>2.4467059273701908E-2</v>
      </c>
      <c r="AE236" s="23" t="str">
        <f t="shared" si="94"/>
        <v/>
      </c>
      <c r="AF236" s="23" t="str">
        <f t="shared" si="78"/>
        <v/>
      </c>
      <c r="AG236" s="23" t="str">
        <f t="shared" si="79"/>
        <v/>
      </c>
      <c r="AH236" s="23" t="str">
        <f t="shared" si="95"/>
        <v/>
      </c>
      <c r="AI236" s="23" t="str">
        <f t="shared" si="80"/>
        <v/>
      </c>
      <c r="AJ236" s="23" t="str">
        <f t="shared" si="81"/>
        <v/>
      </c>
      <c r="AK236" s="23" t="str">
        <f t="shared" si="82"/>
        <v/>
      </c>
      <c r="AL236" s="23" t="str">
        <f t="shared" si="83"/>
        <v/>
      </c>
      <c r="AM236" s="52">
        <f t="shared" si="84"/>
        <v>0</v>
      </c>
      <c r="AN236" s="26">
        <f t="shared" si="85"/>
        <v>973.47972123372097</v>
      </c>
    </row>
    <row r="237" spans="1:40" x14ac:dyDescent="0.2">
      <c r="A237" s="12">
        <v>44791</v>
      </c>
      <c r="B237" s="6">
        <v>18</v>
      </c>
      <c r="C237" s="6">
        <v>230</v>
      </c>
      <c r="D237" s="6">
        <v>5</v>
      </c>
      <c r="E237" s="6" t="s">
        <v>16</v>
      </c>
      <c r="F237" s="6">
        <v>33</v>
      </c>
      <c r="G237" s="6">
        <v>8</v>
      </c>
      <c r="H237" s="6" t="s">
        <v>24</v>
      </c>
      <c r="I237" s="6">
        <v>3</v>
      </c>
      <c r="J237" s="14">
        <v>20.160573105532723</v>
      </c>
      <c r="K237" s="14">
        <v>61.792719374764587</v>
      </c>
      <c r="L237" s="14">
        <f t="shared" si="86"/>
        <v>1245.7766363446099</v>
      </c>
      <c r="M237" s="16">
        <v>0.81004333178121013</v>
      </c>
      <c r="N237" s="14">
        <f t="shared" si="87"/>
        <v>1009.1330571597767</v>
      </c>
      <c r="O237" s="14">
        <f t="shared" si="88"/>
        <v>236.64357918483313</v>
      </c>
      <c r="P237" s="14">
        <v>26.234077797186757</v>
      </c>
      <c r="Q237" s="14">
        <v>13.127919152206669</v>
      </c>
      <c r="R237" s="14">
        <f t="shared" si="72"/>
        <v>12.987012987012987</v>
      </c>
      <c r="S237" s="14">
        <v>30.098238245940404</v>
      </c>
      <c r="T237" s="14">
        <f t="shared" si="89"/>
        <v>872.04364544122689</v>
      </c>
      <c r="U237" s="14">
        <f t="shared" si="73"/>
        <v>43.254903562335215</v>
      </c>
      <c r="V237" s="14">
        <v>33.499636590547325</v>
      </c>
      <c r="W237" s="16">
        <f t="shared" si="90"/>
        <v>0.60649950957307019</v>
      </c>
      <c r="X237" s="16">
        <f t="shared" si="91"/>
        <v>0.60181468091571722</v>
      </c>
      <c r="Y237" s="16">
        <f t="shared" si="92"/>
        <v>1.1572047596874431</v>
      </c>
      <c r="Z237" s="16">
        <f t="shared" si="74"/>
        <v>0.46608757493769587</v>
      </c>
      <c r="AA237" s="16">
        <f t="shared" si="75"/>
        <v>1.0424832677164196E-2</v>
      </c>
      <c r="AB237" s="14">
        <f t="shared" si="93"/>
        <v>43.254903562335215</v>
      </c>
      <c r="AC237" s="16">
        <f t="shared" si="76"/>
        <v>0.21245090497777891</v>
      </c>
      <c r="AD237" s="16">
        <f t="shared" si="77"/>
        <v>2.1058412103604277E-2</v>
      </c>
      <c r="AE237" s="23" t="str">
        <f t="shared" si="94"/>
        <v/>
      </c>
      <c r="AF237" s="23" t="str">
        <f t="shared" si="78"/>
        <v/>
      </c>
      <c r="AG237" s="23" t="str">
        <f t="shared" si="79"/>
        <v/>
      </c>
      <c r="AH237" s="23" t="str">
        <f t="shared" si="95"/>
        <v/>
      </c>
      <c r="AI237" s="23" t="str">
        <f t="shared" si="80"/>
        <v/>
      </c>
      <c r="AJ237" s="23" t="str">
        <f t="shared" si="81"/>
        <v/>
      </c>
      <c r="AK237" s="23" t="str">
        <f t="shared" si="82"/>
        <v/>
      </c>
      <c r="AL237" s="23" t="str">
        <f t="shared" si="83"/>
        <v/>
      </c>
      <c r="AM237" s="52">
        <f t="shared" si="84"/>
        <v>0</v>
      </c>
      <c r="AN237" s="26">
        <f t="shared" si="85"/>
        <v>236.64357918483313</v>
      </c>
    </row>
    <row r="238" spans="1:40" x14ac:dyDescent="0.2">
      <c r="A238" s="12">
        <v>44792</v>
      </c>
      <c r="B238" s="6">
        <v>19</v>
      </c>
      <c r="C238" s="6">
        <v>231</v>
      </c>
      <c r="D238" s="6">
        <v>6</v>
      </c>
      <c r="E238" s="6" t="s">
        <v>17</v>
      </c>
      <c r="F238" s="6">
        <v>33</v>
      </c>
      <c r="G238" s="6">
        <v>8</v>
      </c>
      <c r="H238" s="6" t="s">
        <v>24</v>
      </c>
      <c r="I238" s="6">
        <v>3</v>
      </c>
      <c r="J238" s="14">
        <v>12.767125825425913</v>
      </c>
      <c r="K238" s="14">
        <v>1.1521835129324378</v>
      </c>
      <c r="L238" s="14">
        <f t="shared" si="86"/>
        <v>14.710071883589677</v>
      </c>
      <c r="M238" s="16">
        <v>0.23912014399423909</v>
      </c>
      <c r="N238" s="14">
        <f t="shared" si="87"/>
        <v>3.5174745069695712</v>
      </c>
      <c r="O238" s="14">
        <f t="shared" si="88"/>
        <v>11.192597376620107</v>
      </c>
      <c r="P238" s="14">
        <v>19.706983917843065</v>
      </c>
      <c r="Q238" s="14">
        <v>21.709494744150444</v>
      </c>
      <c r="R238" s="14">
        <f t="shared" si="72"/>
        <v>12.987012987012987</v>
      </c>
      <c r="S238" s="14">
        <v>34.265146029079183</v>
      </c>
      <c r="T238" s="14">
        <f t="shared" si="89"/>
        <v>10.297050318512774</v>
      </c>
      <c r="U238" s="14">
        <f t="shared" si="73"/>
        <v>0.80652845905270643</v>
      </c>
      <c r="V238" s="14">
        <v>32.779391378177984</v>
      </c>
      <c r="W238" s="16">
        <f t="shared" si="90"/>
        <v>24.434331729582798</v>
      </c>
      <c r="X238" s="16">
        <f t="shared" si="91"/>
        <v>0.38948635983294339</v>
      </c>
      <c r="Y238" s="16">
        <f t="shared" si="92"/>
        <v>0.34160020570605582</v>
      </c>
      <c r="Z238" s="16">
        <f t="shared" si="74"/>
        <v>15.829727621045526</v>
      </c>
      <c r="AA238" s="16">
        <f t="shared" si="75"/>
        <v>0.88286536529444781</v>
      </c>
      <c r="AB238" s="14">
        <f t="shared" si="93"/>
        <v>0.80652845905270643</v>
      </c>
      <c r="AC238" s="16">
        <f t="shared" si="76"/>
        <v>18.842045993955697</v>
      </c>
      <c r="AD238" s="16">
        <f t="shared" si="77"/>
        <v>1.3396932437718312</v>
      </c>
      <c r="AE238" s="23" t="str">
        <f t="shared" si="94"/>
        <v/>
      </c>
      <c r="AF238" s="23" t="str">
        <f t="shared" si="78"/>
        <v/>
      </c>
      <c r="AG238" s="23" t="str">
        <f t="shared" si="79"/>
        <v/>
      </c>
      <c r="AH238" s="23" t="str">
        <f t="shared" si="95"/>
        <v/>
      </c>
      <c r="AI238" s="23" t="str">
        <f t="shared" si="80"/>
        <v/>
      </c>
      <c r="AJ238" s="23" t="str">
        <f t="shared" si="81"/>
        <v/>
      </c>
      <c r="AK238" s="23" t="str">
        <f t="shared" si="82"/>
        <v/>
      </c>
      <c r="AL238" s="23" t="str">
        <f t="shared" si="83"/>
        <v/>
      </c>
      <c r="AM238" s="52">
        <f t="shared" si="84"/>
        <v>0</v>
      </c>
      <c r="AN238" s="26">
        <f t="shared" si="85"/>
        <v>11.192597376620107</v>
      </c>
    </row>
    <row r="239" spans="1:40" x14ac:dyDescent="0.2">
      <c r="A239" s="12">
        <v>44793</v>
      </c>
      <c r="B239" s="6">
        <v>20</v>
      </c>
      <c r="C239" s="6">
        <v>232</v>
      </c>
      <c r="D239" s="6">
        <v>7</v>
      </c>
      <c r="E239" s="6" t="s">
        <v>10</v>
      </c>
      <c r="F239" s="6">
        <v>33</v>
      </c>
      <c r="G239" s="6">
        <v>8</v>
      </c>
      <c r="H239" s="6" t="s">
        <v>24</v>
      </c>
      <c r="I239" s="6">
        <v>3</v>
      </c>
      <c r="J239" s="14">
        <v>20.386209793858349</v>
      </c>
      <c r="K239" s="14">
        <v>103.55547985796457</v>
      </c>
      <c r="L239" s="14">
        <f t="shared" si="86"/>
        <v>2111.1037376881382</v>
      </c>
      <c r="M239" s="16">
        <v>0.3974960269881383</v>
      </c>
      <c r="N239" s="14">
        <f t="shared" si="87"/>
        <v>839.15534829084379</v>
      </c>
      <c r="O239" s="14">
        <f t="shared" si="88"/>
        <v>1271.9483893972942</v>
      </c>
      <c r="P239" s="14">
        <v>50.359835509224439</v>
      </c>
      <c r="Q239" s="14">
        <v>13.965980066352273</v>
      </c>
      <c r="R239" s="14">
        <f t="shared" si="72"/>
        <v>12.987012987012987</v>
      </c>
      <c r="S239" s="14">
        <v>31.979867651341646</v>
      </c>
      <c r="T239" s="14">
        <f t="shared" si="89"/>
        <v>1477.7726163816967</v>
      </c>
      <c r="U239" s="14">
        <f t="shared" si="73"/>
        <v>72.488835900575197</v>
      </c>
      <c r="V239" s="14">
        <v>31.30250825133546</v>
      </c>
      <c r="W239" s="16">
        <f t="shared" si="90"/>
        <v>0.69472539989878412</v>
      </c>
      <c r="X239" s="16">
        <f t="shared" si="91"/>
        <v>0.65126441722089834</v>
      </c>
      <c r="Y239" s="16">
        <f t="shared" si="92"/>
        <v>0.56785146712591184</v>
      </c>
      <c r="Z239" s="16">
        <f t="shared" si="74"/>
        <v>0.28123240690221352</v>
      </c>
      <c r="AA239" s="16">
        <f t="shared" si="75"/>
        <v>6.1517644799563556E-3</v>
      </c>
      <c r="AB239" s="14">
        <f t="shared" si="93"/>
        <v>72.488835900575197</v>
      </c>
      <c r="AC239" s="16">
        <f t="shared" si="76"/>
        <v>0.13486471295877187</v>
      </c>
      <c r="AD239" s="16">
        <f t="shared" si="77"/>
        <v>2.385474224226106E-2</v>
      </c>
      <c r="AE239" s="23" t="str">
        <f t="shared" si="94"/>
        <v/>
      </c>
      <c r="AF239" s="23" t="str">
        <f t="shared" si="78"/>
        <v/>
      </c>
      <c r="AG239" s="23" t="str">
        <f t="shared" si="79"/>
        <v/>
      </c>
      <c r="AH239" s="23" t="str">
        <f t="shared" si="95"/>
        <v/>
      </c>
      <c r="AI239" s="23">
        <f t="shared" si="80"/>
        <v>100</v>
      </c>
      <c r="AJ239" s="23" t="str">
        <f t="shared" si="81"/>
        <v/>
      </c>
      <c r="AK239" s="23" t="str">
        <f t="shared" si="82"/>
        <v/>
      </c>
      <c r="AL239" s="23" t="str">
        <f t="shared" si="83"/>
        <v/>
      </c>
      <c r="AM239" s="52">
        <f t="shared" si="84"/>
        <v>100</v>
      </c>
      <c r="AN239" s="26">
        <f t="shared" si="85"/>
        <v>1171.9483893972942</v>
      </c>
    </row>
    <row r="240" spans="1:40" x14ac:dyDescent="0.2">
      <c r="A240" s="12">
        <v>44794</v>
      </c>
      <c r="B240" s="6">
        <v>21</v>
      </c>
      <c r="C240" s="6">
        <v>233</v>
      </c>
      <c r="D240" s="6">
        <v>1</v>
      </c>
      <c r="E240" s="6" t="s">
        <v>12</v>
      </c>
      <c r="F240" s="6">
        <v>34</v>
      </c>
      <c r="G240" s="6">
        <v>8</v>
      </c>
      <c r="H240" s="6" t="s">
        <v>24</v>
      </c>
      <c r="I240" s="6">
        <v>3</v>
      </c>
      <c r="J240" s="14">
        <v>0.1636216020131176</v>
      </c>
      <c r="K240" s="14">
        <v>34.552553924988956</v>
      </c>
      <c r="L240" s="14">
        <f t="shared" si="86"/>
        <v>5.6535442268513272</v>
      </c>
      <c r="M240" s="16">
        <v>0.29734570171473429</v>
      </c>
      <c r="N240" s="14">
        <f t="shared" si="87"/>
        <v>1.6810570753083929</v>
      </c>
      <c r="O240" s="14">
        <f t="shared" si="88"/>
        <v>3.9724871515429343</v>
      </c>
      <c r="P240" s="14">
        <v>15.257303836572813</v>
      </c>
      <c r="Q240" s="14">
        <v>5.1539615466841955</v>
      </c>
      <c r="R240" s="14">
        <f t="shared" si="72"/>
        <v>28.571428571428573</v>
      </c>
      <c r="S240" s="14">
        <v>17.101137057851808</v>
      </c>
      <c r="T240" s="14">
        <f t="shared" si="89"/>
        <v>3.9574809587959288</v>
      </c>
      <c r="U240" s="14">
        <f t="shared" si="73"/>
        <v>24.186787747492268</v>
      </c>
      <c r="V240" s="14">
        <v>14.773831967960533</v>
      </c>
      <c r="W240" s="16">
        <f t="shared" si="90"/>
        <v>0.63081149906542344</v>
      </c>
      <c r="X240" s="16">
        <f t="shared" si="91"/>
        <v>1.1075095639909657E-2</v>
      </c>
      <c r="Y240" s="16">
        <f t="shared" si="92"/>
        <v>0.42477957387819187</v>
      </c>
      <c r="Z240" s="16">
        <f t="shared" si="74"/>
        <v>6.764916603284047E-3</v>
      </c>
      <c r="AA240" s="16">
        <f t="shared" si="75"/>
        <v>5.0537198304259281</v>
      </c>
      <c r="AB240" s="14">
        <f t="shared" si="93"/>
        <v>24.186787747492268</v>
      </c>
      <c r="AC240" s="16">
        <f t="shared" si="76"/>
        <v>0.14916296948332866</v>
      </c>
      <c r="AD240" s="16">
        <f t="shared" si="77"/>
        <v>2.6987148635202565</v>
      </c>
      <c r="AE240" s="23" t="str">
        <f t="shared" si="94"/>
        <v/>
      </c>
      <c r="AF240" s="23">
        <f t="shared" si="78"/>
        <v>1000</v>
      </c>
      <c r="AG240" s="23" t="str">
        <f t="shared" si="79"/>
        <v/>
      </c>
      <c r="AH240" s="23" t="str">
        <f t="shared" si="95"/>
        <v/>
      </c>
      <c r="AI240" s="23" t="str">
        <f t="shared" si="80"/>
        <v/>
      </c>
      <c r="AJ240" s="23" t="str">
        <f t="shared" si="81"/>
        <v/>
      </c>
      <c r="AK240" s="23" t="str">
        <f t="shared" si="82"/>
        <v/>
      </c>
      <c r="AL240" s="23" t="str">
        <f t="shared" si="83"/>
        <v/>
      </c>
      <c r="AM240" s="52">
        <f t="shared" si="84"/>
        <v>1000</v>
      </c>
      <c r="AN240" s="26">
        <f t="shared" si="85"/>
        <v>-996.02751284845704</v>
      </c>
    </row>
    <row r="241" spans="1:40" x14ac:dyDescent="0.2">
      <c r="A241" s="12">
        <v>44795</v>
      </c>
      <c r="B241" s="6">
        <v>22</v>
      </c>
      <c r="C241" s="6">
        <v>234</v>
      </c>
      <c r="D241" s="6">
        <v>2</v>
      </c>
      <c r="E241" s="6" t="s">
        <v>13</v>
      </c>
      <c r="F241" s="6">
        <v>34</v>
      </c>
      <c r="G241" s="6">
        <v>8</v>
      </c>
      <c r="H241" s="6" t="s">
        <v>24</v>
      </c>
      <c r="I241" s="6">
        <v>3</v>
      </c>
      <c r="J241" s="14">
        <v>12.795943516955862</v>
      </c>
      <c r="K241" s="14">
        <v>24.295341254242363</v>
      </c>
      <c r="L241" s="14">
        <f t="shared" si="86"/>
        <v>310.88181441445289</v>
      </c>
      <c r="M241" s="16">
        <v>0.59284423361344729</v>
      </c>
      <c r="N241" s="14">
        <f t="shared" si="87"/>
        <v>184.30449101089428</v>
      </c>
      <c r="O241" s="14">
        <f t="shared" si="88"/>
        <v>126.57732340355861</v>
      </c>
      <c r="P241" s="14">
        <v>29.903304380006489</v>
      </c>
      <c r="Q241" s="14">
        <v>12.334176382844181</v>
      </c>
      <c r="R241" s="14">
        <f t="shared" si="72"/>
        <v>12.987012987012987</v>
      </c>
      <c r="S241" s="14">
        <v>35.856763362864335</v>
      </c>
      <c r="T241" s="14">
        <f t="shared" si="89"/>
        <v>217.61727009011702</v>
      </c>
      <c r="U241" s="14">
        <f t="shared" si="73"/>
        <v>17.006738877969653</v>
      </c>
      <c r="V241" s="14">
        <v>29.720937779540932</v>
      </c>
      <c r="W241" s="16">
        <f t="shared" si="90"/>
        <v>1.7583208982377514</v>
      </c>
      <c r="X241" s="16">
        <f t="shared" si="91"/>
        <v>0.43053633138602493</v>
      </c>
      <c r="Y241" s="16">
        <f t="shared" si="92"/>
        <v>0.84692033373349618</v>
      </c>
      <c r="Z241" s="16">
        <f t="shared" si="74"/>
        <v>0.75240430330423846</v>
      </c>
      <c r="AA241" s="16">
        <f t="shared" si="75"/>
        <v>4.1774759361444404E-2</v>
      </c>
      <c r="AB241" s="14">
        <f t="shared" si="93"/>
        <v>17.006738877969653</v>
      </c>
      <c r="AC241" s="16">
        <f t="shared" si="76"/>
        <v>0.50767660572334761</v>
      </c>
      <c r="AD241" s="16">
        <f t="shared" si="77"/>
        <v>9.6188657533183397E-2</v>
      </c>
      <c r="AE241" s="23" t="str">
        <f t="shared" si="94"/>
        <v/>
      </c>
      <c r="AF241" s="23" t="str">
        <f t="shared" si="78"/>
        <v/>
      </c>
      <c r="AG241" s="23" t="str">
        <f t="shared" si="79"/>
        <v/>
      </c>
      <c r="AH241" s="23" t="str">
        <f t="shared" si="95"/>
        <v/>
      </c>
      <c r="AI241" s="23" t="str">
        <f t="shared" si="80"/>
        <v/>
      </c>
      <c r="AJ241" s="23" t="str">
        <f t="shared" si="81"/>
        <v/>
      </c>
      <c r="AK241" s="23" t="str">
        <f t="shared" si="82"/>
        <v/>
      </c>
      <c r="AL241" s="23" t="str">
        <f t="shared" si="83"/>
        <v/>
      </c>
      <c r="AM241" s="52">
        <f t="shared" si="84"/>
        <v>0</v>
      </c>
      <c r="AN241" s="26">
        <f t="shared" si="85"/>
        <v>126.57732340355861</v>
      </c>
    </row>
    <row r="242" spans="1:40" x14ac:dyDescent="0.2">
      <c r="A242" s="12">
        <v>44796</v>
      </c>
      <c r="B242" s="6">
        <v>23</v>
      </c>
      <c r="C242" s="6">
        <v>235</v>
      </c>
      <c r="D242" s="6">
        <v>3</v>
      </c>
      <c r="E242" s="6" t="s">
        <v>14</v>
      </c>
      <c r="F242" s="6">
        <v>34</v>
      </c>
      <c r="G242" s="6">
        <v>8</v>
      </c>
      <c r="H242" s="6" t="s">
        <v>24</v>
      </c>
      <c r="I242" s="6">
        <v>3</v>
      </c>
      <c r="J242" s="14">
        <v>10.960151738023832</v>
      </c>
      <c r="K242" s="14">
        <v>22.359190730490855</v>
      </c>
      <c r="L242" s="14">
        <f t="shared" si="86"/>
        <v>245.0601231455957</v>
      </c>
      <c r="M242" s="16">
        <v>0.44195348896880104</v>
      </c>
      <c r="N242" s="14">
        <f t="shared" si="87"/>
        <v>108.30517643132005</v>
      </c>
      <c r="O242" s="14">
        <f t="shared" si="88"/>
        <v>136.75494671427566</v>
      </c>
      <c r="P242" s="14">
        <v>37.084530068829316</v>
      </c>
      <c r="Q242" s="14">
        <v>14.933163054396609</v>
      </c>
      <c r="R242" s="14">
        <f t="shared" si="72"/>
        <v>12.987012987012987</v>
      </c>
      <c r="S242" s="14">
        <v>36.256651042240406</v>
      </c>
      <c r="T242" s="14">
        <f t="shared" si="89"/>
        <v>171.54208620191699</v>
      </c>
      <c r="U242" s="14">
        <f t="shared" si="73"/>
        <v>15.651433511343598</v>
      </c>
      <c r="V242" s="14">
        <v>37.170743359661586</v>
      </c>
      <c r="W242" s="16">
        <f t="shared" si="90"/>
        <v>2.3694015019104659</v>
      </c>
      <c r="X242" s="16">
        <f t="shared" si="91"/>
        <v>0.29485963280244759</v>
      </c>
      <c r="Y242" s="16">
        <f t="shared" si="92"/>
        <v>0.63136212709828721</v>
      </c>
      <c r="Z242" s="16">
        <f t="shared" si="74"/>
        <v>0.70026504154270008</v>
      </c>
      <c r="AA242" s="16">
        <f t="shared" si="75"/>
        <v>5.2995211217196331E-2</v>
      </c>
      <c r="AB242" s="14">
        <f t="shared" si="93"/>
        <v>15.651433511343598</v>
      </c>
      <c r="AC242" s="16">
        <f t="shared" si="76"/>
        <v>0.66787582942492207</v>
      </c>
      <c r="AD242" s="16">
        <f t="shared" si="77"/>
        <v>0.15132829279938201</v>
      </c>
      <c r="AE242" s="23" t="str">
        <f t="shared" si="94"/>
        <v/>
      </c>
      <c r="AF242" s="23" t="str">
        <f t="shared" si="78"/>
        <v/>
      </c>
      <c r="AG242" s="23" t="str">
        <f t="shared" si="79"/>
        <v/>
      </c>
      <c r="AH242" s="23" t="str">
        <f t="shared" si="95"/>
        <v/>
      </c>
      <c r="AI242" s="23" t="str">
        <f t="shared" si="80"/>
        <v/>
      </c>
      <c r="AJ242" s="23" t="str">
        <f t="shared" si="81"/>
        <v/>
      </c>
      <c r="AK242" s="23" t="str">
        <f t="shared" si="82"/>
        <v/>
      </c>
      <c r="AL242" s="23" t="str">
        <f t="shared" si="83"/>
        <v/>
      </c>
      <c r="AM242" s="52">
        <f t="shared" si="84"/>
        <v>0</v>
      </c>
      <c r="AN242" s="26">
        <f t="shared" si="85"/>
        <v>136.75494671427566</v>
      </c>
    </row>
    <row r="243" spans="1:40" x14ac:dyDescent="0.2">
      <c r="A243" s="12">
        <v>44797</v>
      </c>
      <c r="B243" s="6">
        <v>24</v>
      </c>
      <c r="C243" s="6">
        <v>236</v>
      </c>
      <c r="D243" s="6">
        <v>4</v>
      </c>
      <c r="E243" s="6" t="s">
        <v>15</v>
      </c>
      <c r="F243" s="6">
        <v>34</v>
      </c>
      <c r="G243" s="6">
        <v>8</v>
      </c>
      <c r="H243" s="6" t="s">
        <v>24</v>
      </c>
      <c r="I243" s="6">
        <v>3</v>
      </c>
      <c r="J243" s="14">
        <v>25.736480893730327</v>
      </c>
      <c r="K243" s="14">
        <v>69.211879323233916</v>
      </c>
      <c r="L243" s="14">
        <f t="shared" si="86"/>
        <v>1781.2702098215789</v>
      </c>
      <c r="M243" s="16">
        <v>0.82385728492990118</v>
      </c>
      <c r="N243" s="14">
        <f t="shared" si="87"/>
        <v>1467.5124387901215</v>
      </c>
      <c r="O243" s="14">
        <f t="shared" si="88"/>
        <v>313.75777103145742</v>
      </c>
      <c r="P243" s="14">
        <v>27.130978883211</v>
      </c>
      <c r="Q243" s="14">
        <v>11.635810740480297</v>
      </c>
      <c r="R243" s="14">
        <f t="shared" si="72"/>
        <v>12.987012987012987</v>
      </c>
      <c r="S243" s="14">
        <v>41.292423118600873</v>
      </c>
      <c r="T243" s="14">
        <f t="shared" si="89"/>
        <v>1246.8891468751051</v>
      </c>
      <c r="U243" s="14">
        <f t="shared" si="73"/>
        <v>48.448315526263741</v>
      </c>
      <c r="V243" s="14">
        <v>34.337897730125725</v>
      </c>
      <c r="W243" s="16">
        <f t="shared" si="90"/>
        <v>0.55999839392771766</v>
      </c>
      <c r="X243" s="16">
        <f t="shared" si="91"/>
        <v>0.74950659752099202</v>
      </c>
      <c r="Y243" s="16">
        <f t="shared" si="92"/>
        <v>1.1769389784712876</v>
      </c>
      <c r="Z243" s="16">
        <f t="shared" si="74"/>
        <v>0.53121518496919939</v>
      </c>
      <c r="AA243" s="16">
        <f t="shared" si="75"/>
        <v>7.2908719381288211E-3</v>
      </c>
      <c r="AB243" s="14">
        <f t="shared" si="93"/>
        <v>48.448315526263741</v>
      </c>
      <c r="AC243" s="16">
        <f t="shared" si="76"/>
        <v>0.16811869370196744</v>
      </c>
      <c r="AD243" s="16">
        <f t="shared" si="77"/>
        <v>1.5231253929704791E-2</v>
      </c>
      <c r="AE243" s="23" t="str">
        <f t="shared" si="94"/>
        <v/>
      </c>
      <c r="AF243" s="23" t="str">
        <f t="shared" si="78"/>
        <v/>
      </c>
      <c r="AG243" s="23" t="str">
        <f t="shared" si="79"/>
        <v/>
      </c>
      <c r="AH243" s="23" t="str">
        <f t="shared" si="95"/>
        <v/>
      </c>
      <c r="AI243" s="23" t="str">
        <f t="shared" si="80"/>
        <v/>
      </c>
      <c r="AJ243" s="23" t="str">
        <f t="shared" si="81"/>
        <v/>
      </c>
      <c r="AK243" s="23" t="str">
        <f t="shared" si="82"/>
        <v/>
      </c>
      <c r="AL243" s="23" t="str">
        <f t="shared" si="83"/>
        <v/>
      </c>
      <c r="AM243" s="52">
        <f t="shared" si="84"/>
        <v>0</v>
      </c>
      <c r="AN243" s="26">
        <f t="shared" si="85"/>
        <v>313.75777103145742</v>
      </c>
    </row>
    <row r="244" spans="1:40" x14ac:dyDescent="0.2">
      <c r="A244" s="12">
        <v>44798</v>
      </c>
      <c r="B244" s="6">
        <v>25</v>
      </c>
      <c r="C244" s="6">
        <v>237</v>
      </c>
      <c r="D244" s="6">
        <v>5</v>
      </c>
      <c r="E244" s="6" t="s">
        <v>16</v>
      </c>
      <c r="F244" s="6">
        <v>34</v>
      </c>
      <c r="G244" s="6">
        <v>8</v>
      </c>
      <c r="H244" s="6" t="s">
        <v>24</v>
      </c>
      <c r="I244" s="6">
        <v>3</v>
      </c>
      <c r="J244" s="14">
        <v>8.4600146612912859</v>
      </c>
      <c r="K244" s="14">
        <v>30.597263575736854</v>
      </c>
      <c r="L244" s="14">
        <f t="shared" si="86"/>
        <v>258.85329844612761</v>
      </c>
      <c r="M244" s="16">
        <v>0.85868840427681636</v>
      </c>
      <c r="N244" s="14">
        <f t="shared" si="87"/>
        <v>222.27432578449583</v>
      </c>
      <c r="O244" s="14">
        <f t="shared" si="88"/>
        <v>36.578972661631781</v>
      </c>
      <c r="P244" s="14">
        <v>43.203952141197448</v>
      </c>
      <c r="Q244" s="14">
        <v>18.416757557029658</v>
      </c>
      <c r="R244" s="14">
        <f t="shared" si="72"/>
        <v>12.987012987012987</v>
      </c>
      <c r="S244" s="14">
        <v>33.642681883637103</v>
      </c>
      <c r="T244" s="14">
        <f t="shared" si="89"/>
        <v>181.19730891228932</v>
      </c>
      <c r="U244" s="14">
        <f t="shared" si="73"/>
        <v>21.418084503015795</v>
      </c>
      <c r="V244" s="14">
        <v>31.890922623662878</v>
      </c>
      <c r="W244" s="16">
        <f t="shared" si="90"/>
        <v>2.0171716165894327</v>
      </c>
      <c r="X244" s="16">
        <f t="shared" si="91"/>
        <v>0.26527970862197647</v>
      </c>
      <c r="Y244" s="16">
        <f t="shared" si="92"/>
        <v>1.2266977203954521</v>
      </c>
      <c r="Z244" s="16">
        <f t="shared" si="74"/>
        <v>0.39499399024688997</v>
      </c>
      <c r="AA244" s="16">
        <f t="shared" si="75"/>
        <v>5.0171325090206782E-2</v>
      </c>
      <c r="AB244" s="14">
        <f t="shared" si="93"/>
        <v>21.418084503015795</v>
      </c>
      <c r="AC244" s="16">
        <f t="shared" si="76"/>
        <v>0.6019086481849264</v>
      </c>
      <c r="AD244" s="16">
        <f t="shared" si="77"/>
        <v>0.16690516366044694</v>
      </c>
      <c r="AE244" s="23" t="str">
        <f t="shared" si="94"/>
        <v/>
      </c>
      <c r="AF244" s="23" t="str">
        <f t="shared" si="78"/>
        <v/>
      </c>
      <c r="AG244" s="23" t="str">
        <f t="shared" si="79"/>
        <v/>
      </c>
      <c r="AH244" s="23" t="str">
        <f t="shared" si="95"/>
        <v/>
      </c>
      <c r="AI244" s="23" t="str">
        <f t="shared" si="80"/>
        <v/>
      </c>
      <c r="AJ244" s="23" t="str">
        <f t="shared" si="81"/>
        <v/>
      </c>
      <c r="AK244" s="23">
        <f t="shared" si="82"/>
        <v>83</v>
      </c>
      <c r="AL244" s="23" t="str">
        <f t="shared" si="83"/>
        <v/>
      </c>
      <c r="AM244" s="52">
        <f t="shared" si="84"/>
        <v>83</v>
      </c>
      <c r="AN244" s="26">
        <f t="shared" si="85"/>
        <v>-46.421027338368219</v>
      </c>
    </row>
    <row r="245" spans="1:40" x14ac:dyDescent="0.2">
      <c r="A245" s="12">
        <v>44799</v>
      </c>
      <c r="B245" s="6">
        <v>26</v>
      </c>
      <c r="C245" s="6">
        <v>238</v>
      </c>
      <c r="D245" s="6">
        <v>6</v>
      </c>
      <c r="E245" s="6" t="s">
        <v>17</v>
      </c>
      <c r="F245" s="6">
        <v>34</v>
      </c>
      <c r="G245" s="6">
        <v>8</v>
      </c>
      <c r="H245" s="6" t="s">
        <v>24</v>
      </c>
      <c r="I245" s="6">
        <v>3</v>
      </c>
      <c r="J245" s="14">
        <v>23.382002902759051</v>
      </c>
      <c r="K245" s="14">
        <v>84.203870828538854</v>
      </c>
      <c r="L245" s="14">
        <f t="shared" si="86"/>
        <v>1968.8551521364436</v>
      </c>
      <c r="M245" s="16">
        <v>0.53604694830157296</v>
      </c>
      <c r="N245" s="14">
        <f t="shared" si="87"/>
        <v>1055.3987959505698</v>
      </c>
      <c r="O245" s="14">
        <f t="shared" si="88"/>
        <v>913.4563561858738</v>
      </c>
      <c r="P245" s="14">
        <v>29.194844676315075</v>
      </c>
      <c r="Q245" s="14">
        <v>13.756182790077336</v>
      </c>
      <c r="R245" s="14">
        <f t="shared" si="72"/>
        <v>12.987012987012987</v>
      </c>
      <c r="S245" s="14">
        <v>31.962144013155612</v>
      </c>
      <c r="T245" s="14">
        <f t="shared" si="89"/>
        <v>1378.1986064955104</v>
      </c>
      <c r="U245" s="14">
        <f t="shared" si="73"/>
        <v>58.942709579977191</v>
      </c>
      <c r="V245" s="14">
        <v>32.70579643779481</v>
      </c>
      <c r="W245" s="16">
        <f t="shared" si="90"/>
        <v>0.49530883266745085</v>
      </c>
      <c r="X245" s="16">
        <f t="shared" si="91"/>
        <v>0.71491923296320692</v>
      </c>
      <c r="Y245" s="16">
        <f t="shared" si="92"/>
        <v>0.76578135471653297</v>
      </c>
      <c r="Z245" s="16">
        <f t="shared" si="74"/>
        <v>0.39669032980292285</v>
      </c>
      <c r="AA245" s="16">
        <f t="shared" si="75"/>
        <v>6.5962257167169061E-3</v>
      </c>
      <c r="AB245" s="14">
        <f t="shared" si="93"/>
        <v>58.942709579977191</v>
      </c>
      <c r="AC245" s="16">
        <f t="shared" si="76"/>
        <v>0.16336758221113765</v>
      </c>
      <c r="AD245" s="16">
        <f t="shared" si="77"/>
        <v>1.4828335464208819E-2</v>
      </c>
      <c r="AE245" s="23" t="str">
        <f t="shared" si="94"/>
        <v/>
      </c>
      <c r="AF245" s="23" t="str">
        <f t="shared" si="78"/>
        <v/>
      </c>
      <c r="AG245" s="23" t="str">
        <f t="shared" si="79"/>
        <v/>
      </c>
      <c r="AH245" s="23" t="str">
        <f t="shared" si="95"/>
        <v/>
      </c>
      <c r="AI245" s="23" t="str">
        <f t="shared" si="80"/>
        <v/>
      </c>
      <c r="AJ245" s="23" t="str">
        <f t="shared" si="81"/>
        <v/>
      </c>
      <c r="AK245" s="23" t="str">
        <f t="shared" si="82"/>
        <v/>
      </c>
      <c r="AL245" s="23" t="str">
        <f t="shared" si="83"/>
        <v/>
      </c>
      <c r="AM245" s="52">
        <f t="shared" si="84"/>
        <v>0</v>
      </c>
      <c r="AN245" s="26">
        <f t="shared" si="85"/>
        <v>913.4563561858738</v>
      </c>
    </row>
    <row r="246" spans="1:40" x14ac:dyDescent="0.2">
      <c r="A246" s="12">
        <v>44800</v>
      </c>
      <c r="B246" s="6">
        <v>27</v>
      </c>
      <c r="C246" s="6">
        <v>239</v>
      </c>
      <c r="D246" s="6">
        <v>7</v>
      </c>
      <c r="E246" s="6" t="s">
        <v>10</v>
      </c>
      <c r="F246" s="6">
        <v>34</v>
      </c>
      <c r="G246" s="6">
        <v>8</v>
      </c>
      <c r="H246" s="6" t="s">
        <v>24</v>
      </c>
      <c r="I246" s="6">
        <v>3</v>
      </c>
      <c r="J246" s="14">
        <v>11.420557755740752</v>
      </c>
      <c r="K246" s="14">
        <v>2.6480425683529232</v>
      </c>
      <c r="L246" s="14">
        <f t="shared" si="86"/>
        <v>30.242123091534637</v>
      </c>
      <c r="M246" s="16">
        <v>0.6426762848407418</v>
      </c>
      <c r="N246" s="14">
        <f t="shared" si="87"/>
        <v>19.43589531416389</v>
      </c>
      <c r="O246" s="14">
        <f t="shared" si="88"/>
        <v>10.806227777370747</v>
      </c>
      <c r="P246" s="14">
        <v>22.079243095934729</v>
      </c>
      <c r="Q246" s="14">
        <v>19.565159912899134</v>
      </c>
      <c r="R246" s="14">
        <f t="shared" si="72"/>
        <v>12.987012987012987</v>
      </c>
      <c r="S246" s="14">
        <v>30.438577449112202</v>
      </c>
      <c r="T246" s="14">
        <f t="shared" si="89"/>
        <v>21.169486164074243</v>
      </c>
      <c r="U246" s="14">
        <f t="shared" si="73"/>
        <v>1.853629797847046</v>
      </c>
      <c r="V246" s="14">
        <v>29.064384084379665</v>
      </c>
      <c r="W246" s="16">
        <f t="shared" si="90"/>
        <v>11.91135528873097</v>
      </c>
      <c r="X246" s="16">
        <f t="shared" si="91"/>
        <v>0.39293995436423529</v>
      </c>
      <c r="Y246" s="16">
        <f t="shared" si="92"/>
        <v>0.91810897834391703</v>
      </c>
      <c r="Z246" s="16">
        <f t="shared" si="74"/>
        <v>6.1611858899794889</v>
      </c>
      <c r="AA246" s="16">
        <f t="shared" si="75"/>
        <v>0.42943456541410302</v>
      </c>
      <c r="AB246" s="14">
        <f t="shared" si="93"/>
        <v>1.853629797847046</v>
      </c>
      <c r="AC246" s="16">
        <f t="shared" si="76"/>
        <v>7.3885367806109787</v>
      </c>
      <c r="AD246" s="16">
        <f t="shared" si="77"/>
        <v>0.73008244259527999</v>
      </c>
      <c r="AE246" s="23" t="str">
        <f t="shared" si="94"/>
        <v/>
      </c>
      <c r="AF246" s="23" t="str">
        <f t="shared" si="78"/>
        <v/>
      </c>
      <c r="AG246" s="23" t="str">
        <f t="shared" si="79"/>
        <v/>
      </c>
      <c r="AH246" s="23" t="str">
        <f t="shared" si="95"/>
        <v/>
      </c>
      <c r="AI246" s="23" t="str">
        <f t="shared" si="80"/>
        <v/>
      </c>
      <c r="AJ246" s="23" t="str">
        <f t="shared" si="81"/>
        <v/>
      </c>
      <c r="AK246" s="23" t="str">
        <f t="shared" si="82"/>
        <v/>
      </c>
      <c r="AL246" s="23" t="str">
        <f t="shared" si="83"/>
        <v/>
      </c>
      <c r="AM246" s="52">
        <f t="shared" si="84"/>
        <v>0</v>
      </c>
      <c r="AN246" s="26">
        <f t="shared" si="85"/>
        <v>10.806227777370747</v>
      </c>
    </row>
    <row r="247" spans="1:40" x14ac:dyDescent="0.2">
      <c r="A247" s="12">
        <v>44801</v>
      </c>
      <c r="B247" s="6">
        <v>28</v>
      </c>
      <c r="C247" s="6">
        <v>240</v>
      </c>
      <c r="D247" s="6">
        <v>1</v>
      </c>
      <c r="E247" s="6" t="s">
        <v>12</v>
      </c>
      <c r="F247" s="6">
        <v>35</v>
      </c>
      <c r="G247" s="6">
        <v>8</v>
      </c>
      <c r="H247" s="6" t="s">
        <v>24</v>
      </c>
      <c r="I247" s="6">
        <v>3</v>
      </c>
      <c r="J247" s="14">
        <v>2.4804413942352377</v>
      </c>
      <c r="K247" s="14">
        <v>61.504028761556746</v>
      </c>
      <c r="L247" s="14">
        <f t="shared" si="86"/>
        <v>152.55713885239999</v>
      </c>
      <c r="M247" s="16">
        <v>0.27578796835008662</v>
      </c>
      <c r="N247" s="14">
        <f t="shared" si="87"/>
        <v>42.073423381405455</v>
      </c>
      <c r="O247" s="14">
        <f t="shared" si="88"/>
        <v>110.48371547099453</v>
      </c>
      <c r="P247" s="14">
        <v>16.297626849049017</v>
      </c>
      <c r="Q247" s="14">
        <v>7.4632306816784046</v>
      </c>
      <c r="R247" s="14">
        <f t="shared" si="72"/>
        <v>28.571428571428573</v>
      </c>
      <c r="S247" s="14">
        <v>12.598175405378903</v>
      </c>
      <c r="T247" s="14">
        <f t="shared" si="89"/>
        <v>106.78999719667999</v>
      </c>
      <c r="U247" s="14">
        <f t="shared" si="73"/>
        <v>43.052820133089725</v>
      </c>
      <c r="V247" s="14">
        <v>16.818444093268134</v>
      </c>
      <c r="W247" s="16">
        <f t="shared" si="90"/>
        <v>0.37854957697702402</v>
      </c>
      <c r="X247" s="16">
        <f t="shared" si="91"/>
        <v>0.14748340455750458</v>
      </c>
      <c r="Y247" s="16">
        <f t="shared" si="92"/>
        <v>0.39398281192869516</v>
      </c>
      <c r="Z247" s="16">
        <f t="shared" si="74"/>
        <v>5.7613912086767326E-2</v>
      </c>
      <c r="AA247" s="16">
        <f t="shared" si="75"/>
        <v>0.18728345842321817</v>
      </c>
      <c r="AB247" s="14">
        <f t="shared" si="93"/>
        <v>43.052820133089725</v>
      </c>
      <c r="AC247" s="16">
        <f t="shared" si="76"/>
        <v>0.12134539528479338</v>
      </c>
      <c r="AD247" s="16">
        <f t="shared" si="77"/>
        <v>0.10682965721333484</v>
      </c>
      <c r="AE247" s="23" t="str">
        <f t="shared" si="94"/>
        <v/>
      </c>
      <c r="AF247" s="23">
        <f t="shared" si="78"/>
        <v>1000</v>
      </c>
      <c r="AG247" s="23" t="str">
        <f t="shared" si="79"/>
        <v/>
      </c>
      <c r="AH247" s="23" t="str">
        <f t="shared" si="95"/>
        <v/>
      </c>
      <c r="AI247" s="23" t="str">
        <f t="shared" si="80"/>
        <v/>
      </c>
      <c r="AJ247" s="23" t="str">
        <f t="shared" si="81"/>
        <v/>
      </c>
      <c r="AK247" s="23" t="str">
        <f t="shared" si="82"/>
        <v/>
      </c>
      <c r="AL247" s="23" t="str">
        <f t="shared" si="83"/>
        <v/>
      </c>
      <c r="AM247" s="52">
        <f t="shared" si="84"/>
        <v>1000</v>
      </c>
      <c r="AN247" s="26">
        <f t="shared" si="85"/>
        <v>-889.51628452900547</v>
      </c>
    </row>
    <row r="248" spans="1:40" x14ac:dyDescent="0.2">
      <c r="A248" s="12">
        <v>44802</v>
      </c>
      <c r="B248" s="6">
        <v>29</v>
      </c>
      <c r="C248" s="6">
        <v>241</v>
      </c>
      <c r="D248" s="6">
        <v>2</v>
      </c>
      <c r="E248" s="6" t="s">
        <v>13</v>
      </c>
      <c r="F248" s="6">
        <v>35</v>
      </c>
      <c r="G248" s="6">
        <v>8</v>
      </c>
      <c r="H248" s="6" t="s">
        <v>24</v>
      </c>
      <c r="I248" s="6">
        <v>3</v>
      </c>
      <c r="J248" s="14">
        <v>21.916993620943682</v>
      </c>
      <c r="K248" s="14">
        <v>72.677497664616297</v>
      </c>
      <c r="L248" s="14">
        <f t="shared" si="86"/>
        <v>1592.8722527015448</v>
      </c>
      <c r="M248" s="16">
        <v>0.52451302619749041</v>
      </c>
      <c r="N248" s="14">
        <f t="shared" si="87"/>
        <v>835.48224561050085</v>
      </c>
      <c r="O248" s="14">
        <f t="shared" si="88"/>
        <v>757.39000709104391</v>
      </c>
      <c r="P248" s="14">
        <v>40.655746525788977</v>
      </c>
      <c r="Q248" s="14">
        <v>10.131775855168407</v>
      </c>
      <c r="R248" s="14">
        <f t="shared" si="72"/>
        <v>12.987012987012987</v>
      </c>
      <c r="S248" s="14">
        <v>27.77427428229943</v>
      </c>
      <c r="T248" s="14">
        <f t="shared" si="89"/>
        <v>1115.0105768910812</v>
      </c>
      <c r="U248" s="14">
        <f t="shared" si="73"/>
        <v>50.874248365231402</v>
      </c>
      <c r="V248" s="14">
        <v>45.03993226292296</v>
      </c>
      <c r="W248" s="16">
        <f t="shared" si="90"/>
        <v>0.79914195948247213</v>
      </c>
      <c r="X248" s="16">
        <f t="shared" si="91"/>
        <v>0.48661249073382451</v>
      </c>
      <c r="Y248" s="16">
        <f t="shared" si="92"/>
        <v>0.74930432313927209</v>
      </c>
      <c r="Z248" s="16">
        <f t="shared" si="74"/>
        <v>0.43080722222369472</v>
      </c>
      <c r="AA248" s="16">
        <f t="shared" si="75"/>
        <v>8.1532043545781783E-3</v>
      </c>
      <c r="AB248" s="14">
        <f t="shared" si="93"/>
        <v>50.874248365231402</v>
      </c>
      <c r="AC248" s="16">
        <f t="shared" si="76"/>
        <v>0.13940732937618949</v>
      </c>
      <c r="AD248" s="16">
        <f t="shared" si="77"/>
        <v>2.5523544940177077E-2</v>
      </c>
      <c r="AE248" s="23" t="str">
        <f t="shared" si="94"/>
        <v/>
      </c>
      <c r="AF248" s="23" t="str">
        <f t="shared" si="78"/>
        <v/>
      </c>
      <c r="AG248" s="23" t="str">
        <f t="shared" si="79"/>
        <v/>
      </c>
      <c r="AH248" s="23" t="str">
        <f t="shared" si="95"/>
        <v/>
      </c>
      <c r="AI248" s="23" t="str">
        <f t="shared" si="80"/>
        <v/>
      </c>
      <c r="AJ248" s="23" t="str">
        <f t="shared" si="81"/>
        <v/>
      </c>
      <c r="AK248" s="23" t="str">
        <f t="shared" si="82"/>
        <v/>
      </c>
      <c r="AL248" s="23" t="str">
        <f t="shared" si="83"/>
        <v/>
      </c>
      <c r="AM248" s="52">
        <f t="shared" si="84"/>
        <v>0</v>
      </c>
      <c r="AN248" s="26">
        <f t="shared" si="85"/>
        <v>757.39000709104391</v>
      </c>
    </row>
    <row r="249" spans="1:40" x14ac:dyDescent="0.2">
      <c r="A249" s="12">
        <v>44803</v>
      </c>
      <c r="B249" s="6">
        <v>30</v>
      </c>
      <c r="C249" s="6">
        <v>242</v>
      </c>
      <c r="D249" s="6">
        <v>3</v>
      </c>
      <c r="E249" s="6" t="s">
        <v>14</v>
      </c>
      <c r="F249" s="6">
        <v>35</v>
      </c>
      <c r="G249" s="6">
        <v>8</v>
      </c>
      <c r="H249" s="6" t="s">
        <v>24</v>
      </c>
      <c r="I249" s="6">
        <v>3</v>
      </c>
      <c r="J249" s="14">
        <v>8.6522729903513884</v>
      </c>
      <c r="K249" s="14">
        <v>15.588901527825815</v>
      </c>
      <c r="L249" s="14">
        <f t="shared" si="86"/>
        <v>134.8794316384548</v>
      </c>
      <c r="M249" s="16">
        <v>0.54544528391186464</v>
      </c>
      <c r="N249" s="14">
        <f t="shared" si="87"/>
        <v>73.569349883907918</v>
      </c>
      <c r="O249" s="14">
        <f t="shared" si="88"/>
        <v>61.310081754546886</v>
      </c>
      <c r="P249" s="14">
        <v>41.502599584611929</v>
      </c>
      <c r="Q249" s="14">
        <v>15.838750469377029</v>
      </c>
      <c r="R249" s="14">
        <f t="shared" si="72"/>
        <v>12.987012987012987</v>
      </c>
      <c r="S249" s="14">
        <v>29.025566613270524</v>
      </c>
      <c r="T249" s="14">
        <f t="shared" si="89"/>
        <v>94.41560214691836</v>
      </c>
      <c r="U249" s="14">
        <f t="shared" si="73"/>
        <v>10.912231069478072</v>
      </c>
      <c r="V249" s="14">
        <v>29.031290661022517</v>
      </c>
      <c r="W249" s="16">
        <f t="shared" si="90"/>
        <v>3.803310186557201</v>
      </c>
      <c r="X249" s="16">
        <f t="shared" si="91"/>
        <v>0.29803266728226974</v>
      </c>
      <c r="Y249" s="16">
        <f t="shared" si="92"/>
        <v>0.77920754844552098</v>
      </c>
      <c r="Z249" s="16">
        <f t="shared" si="74"/>
        <v>0.79289679033210059</v>
      </c>
      <c r="AA249" s="16">
        <f t="shared" si="75"/>
        <v>9.6286089207617359E-2</v>
      </c>
      <c r="AB249" s="14">
        <f t="shared" si="93"/>
        <v>10.912231069478072</v>
      </c>
      <c r="AC249" s="16">
        <f t="shared" si="76"/>
        <v>1.0160273603053582</v>
      </c>
      <c r="AD249" s="16">
        <f t="shared" si="77"/>
        <v>0.30770147145830151</v>
      </c>
      <c r="AE249" s="23" t="str">
        <f t="shared" si="94"/>
        <v/>
      </c>
      <c r="AF249" s="23" t="str">
        <f t="shared" si="78"/>
        <v/>
      </c>
      <c r="AG249" s="23" t="str">
        <f t="shared" si="79"/>
        <v/>
      </c>
      <c r="AH249" s="23" t="str">
        <f t="shared" si="95"/>
        <v/>
      </c>
      <c r="AI249" s="23" t="str">
        <f t="shared" si="80"/>
        <v/>
      </c>
      <c r="AJ249" s="23" t="str">
        <f t="shared" si="81"/>
        <v/>
      </c>
      <c r="AK249" s="23" t="str">
        <f t="shared" si="82"/>
        <v/>
      </c>
      <c r="AL249" s="23" t="str">
        <f t="shared" si="83"/>
        <v/>
      </c>
      <c r="AM249" s="52">
        <f t="shared" si="84"/>
        <v>0</v>
      </c>
      <c r="AN249" s="26">
        <f t="shared" si="85"/>
        <v>61.310081754546886</v>
      </c>
    </row>
    <row r="250" spans="1:40" x14ac:dyDescent="0.2">
      <c r="A250" s="12">
        <v>44804</v>
      </c>
      <c r="B250" s="6">
        <v>31</v>
      </c>
      <c r="C250" s="6">
        <v>243</v>
      </c>
      <c r="D250" s="6">
        <v>4</v>
      </c>
      <c r="E250" s="6" t="s">
        <v>15</v>
      </c>
      <c r="F250" s="6">
        <v>35</v>
      </c>
      <c r="G250" s="6">
        <v>8</v>
      </c>
      <c r="H250" s="6" t="s">
        <v>24</v>
      </c>
      <c r="I250" s="6">
        <v>3</v>
      </c>
      <c r="J250" s="14">
        <v>26.978112753139438</v>
      </c>
      <c r="K250" s="14">
        <v>38.394875020541875</v>
      </c>
      <c r="L250" s="14">
        <f t="shared" si="86"/>
        <v>1035.8212674468757</v>
      </c>
      <c r="M250" s="16">
        <v>0.41146680708562144</v>
      </c>
      <c r="N250" s="14">
        <f t="shared" si="87"/>
        <v>426.20606962774752</v>
      </c>
      <c r="O250" s="14">
        <f t="shared" si="88"/>
        <v>609.61519781912818</v>
      </c>
      <c r="P250" s="14">
        <v>34.858132761700027</v>
      </c>
      <c r="Q250" s="14">
        <v>7.6094068669661494</v>
      </c>
      <c r="R250" s="14">
        <f t="shared" si="72"/>
        <v>12.987012987012987</v>
      </c>
      <c r="S250" s="14">
        <v>38.079647906884531</v>
      </c>
      <c r="T250" s="14">
        <f t="shared" si="89"/>
        <v>725.074887212813</v>
      </c>
      <c r="U250" s="14">
        <f t="shared" si="73"/>
        <v>26.876412514379314</v>
      </c>
      <c r="V250" s="14">
        <v>33.104694242975455</v>
      </c>
      <c r="W250" s="16">
        <f t="shared" si="90"/>
        <v>1.2969786329574442</v>
      </c>
      <c r="X250" s="16">
        <f t="shared" si="91"/>
        <v>0.8149331498164788</v>
      </c>
      <c r="Y250" s="16">
        <f t="shared" si="92"/>
        <v>0.5878097244080307</v>
      </c>
      <c r="Z250" s="16">
        <f t="shared" si="74"/>
        <v>1.0037839960487924</v>
      </c>
      <c r="AA250" s="16">
        <f t="shared" si="75"/>
        <v>1.2537889880388127E-2</v>
      </c>
      <c r="AB250" s="14">
        <f t="shared" si="93"/>
        <v>26.876412514379314</v>
      </c>
      <c r="AC250" s="16">
        <f t="shared" si="76"/>
        <v>0.19818808793868958</v>
      </c>
      <c r="AD250" s="16">
        <f t="shared" si="77"/>
        <v>3.3652652110165132E-2</v>
      </c>
      <c r="AE250" s="23" t="str">
        <f t="shared" si="94"/>
        <v/>
      </c>
      <c r="AF250" s="23" t="str">
        <f t="shared" si="78"/>
        <v/>
      </c>
      <c r="AG250" s="23" t="str">
        <f t="shared" si="79"/>
        <v/>
      </c>
      <c r="AH250" s="23" t="str">
        <f t="shared" si="95"/>
        <v/>
      </c>
      <c r="AI250" s="23" t="str">
        <f t="shared" si="80"/>
        <v/>
      </c>
      <c r="AJ250" s="23" t="str">
        <f t="shared" si="81"/>
        <v/>
      </c>
      <c r="AK250" s="23" t="str">
        <f t="shared" si="82"/>
        <v/>
      </c>
      <c r="AL250" s="23" t="str">
        <f t="shared" si="83"/>
        <v/>
      </c>
      <c r="AM250" s="52">
        <f t="shared" si="84"/>
        <v>0</v>
      </c>
      <c r="AN250" s="26">
        <f t="shared" si="85"/>
        <v>609.61519781912818</v>
      </c>
    </row>
    <row r="251" spans="1:40" x14ac:dyDescent="0.2">
      <c r="A251" s="12">
        <v>44805</v>
      </c>
      <c r="B251" s="6">
        <v>1</v>
      </c>
      <c r="C251" s="6">
        <v>244</v>
      </c>
      <c r="D251" s="6">
        <v>5</v>
      </c>
      <c r="E251" s="6" t="s">
        <v>16</v>
      </c>
      <c r="F251" s="6">
        <v>35</v>
      </c>
      <c r="G251" s="6">
        <v>9</v>
      </c>
      <c r="H251" s="6" t="s">
        <v>25</v>
      </c>
      <c r="I251" s="6">
        <v>3</v>
      </c>
      <c r="J251" s="14">
        <v>19.238752520173509</v>
      </c>
      <c r="K251" s="14">
        <v>65.336648219782205</v>
      </c>
      <c r="L251" s="14">
        <f t="shared" si="86"/>
        <v>1256.9956055980249</v>
      </c>
      <c r="M251" s="16">
        <v>0.56977346921394278</v>
      </c>
      <c r="N251" s="14">
        <f t="shared" si="87"/>
        <v>716.20274698826756</v>
      </c>
      <c r="O251" s="14">
        <f t="shared" si="88"/>
        <v>540.79285860975733</v>
      </c>
      <c r="P251" s="14">
        <v>44.933110146996377</v>
      </c>
      <c r="Q251" s="14">
        <v>13.904009902822336</v>
      </c>
      <c r="R251" s="14">
        <f t="shared" si="72"/>
        <v>12.987012987012987</v>
      </c>
      <c r="S251" s="14">
        <v>36.243163677338643</v>
      </c>
      <c r="T251" s="14">
        <f t="shared" si="89"/>
        <v>879.8969239186174</v>
      </c>
      <c r="U251" s="14">
        <f t="shared" si="73"/>
        <v>45.735653753847544</v>
      </c>
      <c r="V251" s="14">
        <v>30.136676238076689</v>
      </c>
      <c r="W251" s="16">
        <f t="shared" si="90"/>
        <v>0.98245256072711873</v>
      </c>
      <c r="X251" s="16">
        <f t="shared" si="91"/>
        <v>0.63838335615345609</v>
      </c>
      <c r="Y251" s="16">
        <f t="shared" si="92"/>
        <v>0.81396209887706106</v>
      </c>
      <c r="Z251" s="16">
        <f t="shared" si="74"/>
        <v>0.4206510881798653</v>
      </c>
      <c r="AA251" s="16">
        <f t="shared" si="75"/>
        <v>1.0331788694547043E-2</v>
      </c>
      <c r="AB251" s="14">
        <f t="shared" si="93"/>
        <v>45.735653753847544</v>
      </c>
      <c r="AC251" s="16">
        <f t="shared" si="76"/>
        <v>0.21280568075747372</v>
      </c>
      <c r="AD251" s="16">
        <f t="shared" si="77"/>
        <v>3.5746433755923214E-2</v>
      </c>
      <c r="AE251" s="23">
        <f t="shared" si="94"/>
        <v>3000</v>
      </c>
      <c r="AF251" s="23" t="str">
        <f t="shared" si="78"/>
        <v/>
      </c>
      <c r="AG251" s="23" t="str">
        <f t="shared" si="79"/>
        <v/>
      </c>
      <c r="AH251" s="23" t="str">
        <f t="shared" si="95"/>
        <v/>
      </c>
      <c r="AI251" s="23" t="str">
        <f t="shared" si="80"/>
        <v/>
      </c>
      <c r="AJ251" s="23" t="str">
        <f t="shared" si="81"/>
        <v/>
      </c>
      <c r="AK251" s="23" t="str">
        <f t="shared" si="82"/>
        <v/>
      </c>
      <c r="AL251" s="23" t="str">
        <f t="shared" si="83"/>
        <v/>
      </c>
      <c r="AM251" s="52">
        <f t="shared" si="84"/>
        <v>3000</v>
      </c>
      <c r="AN251" s="26">
        <f t="shared" si="85"/>
        <v>-2459.2071413902427</v>
      </c>
    </row>
    <row r="252" spans="1:40" x14ac:dyDescent="0.2">
      <c r="A252" s="12">
        <v>44806</v>
      </c>
      <c r="B252" s="6">
        <v>2</v>
      </c>
      <c r="C252" s="6">
        <v>245</v>
      </c>
      <c r="D252" s="6">
        <v>6</v>
      </c>
      <c r="E252" s="6" t="s">
        <v>17</v>
      </c>
      <c r="F252" s="6">
        <v>35</v>
      </c>
      <c r="G252" s="6">
        <v>9</v>
      </c>
      <c r="H252" s="6" t="s">
        <v>25</v>
      </c>
      <c r="I252" s="6">
        <v>3</v>
      </c>
      <c r="J252" s="14">
        <v>9.2585196529079514</v>
      </c>
      <c r="K252" s="14">
        <v>69.896731379854685</v>
      </c>
      <c r="L252" s="14">
        <f t="shared" si="86"/>
        <v>647.14026115441254</v>
      </c>
      <c r="M252" s="16">
        <v>0.75149852692271824</v>
      </c>
      <c r="N252" s="14">
        <f t="shared" si="87"/>
        <v>486.3249529699242</v>
      </c>
      <c r="O252" s="14">
        <f t="shared" si="88"/>
        <v>160.81530818448834</v>
      </c>
      <c r="P252" s="14">
        <v>33.162885624072352</v>
      </c>
      <c r="Q252" s="14">
        <v>17.16596580373</v>
      </c>
      <c r="R252" s="14">
        <f t="shared" si="72"/>
        <v>12.987012987012987</v>
      </c>
      <c r="S252" s="14">
        <v>33.01487951040594</v>
      </c>
      <c r="T252" s="14">
        <f t="shared" si="89"/>
        <v>452.99818280808876</v>
      </c>
      <c r="U252" s="14">
        <f t="shared" si="73"/>
        <v>48.927711965898283</v>
      </c>
      <c r="V252" s="14">
        <v>30.477889285632045</v>
      </c>
      <c r="W252" s="16">
        <f t="shared" si="90"/>
        <v>0.67779350988630482</v>
      </c>
      <c r="X252" s="16">
        <f t="shared" si="91"/>
        <v>0.30377824284809063</v>
      </c>
      <c r="Y252" s="16">
        <f t="shared" si="92"/>
        <v>1.0735693241753117</v>
      </c>
      <c r="Z252" s="16">
        <f t="shared" si="74"/>
        <v>0.18922854310786022</v>
      </c>
      <c r="AA252" s="16">
        <f t="shared" si="75"/>
        <v>2.0068312492018153E-2</v>
      </c>
      <c r="AB252" s="14">
        <f t="shared" si="93"/>
        <v>48.927711965898283</v>
      </c>
      <c r="AC252" s="16">
        <f t="shared" si="76"/>
        <v>0.24559039406923533</v>
      </c>
      <c r="AD252" s="16">
        <f t="shared" si="77"/>
        <v>5.1245282691752408E-2</v>
      </c>
      <c r="AE252" s="23" t="str">
        <f t="shared" si="94"/>
        <v/>
      </c>
      <c r="AF252" s="23" t="str">
        <f t="shared" si="78"/>
        <v/>
      </c>
      <c r="AG252" s="23" t="str">
        <f t="shared" si="79"/>
        <v/>
      </c>
      <c r="AH252" s="23" t="str">
        <f t="shared" si="95"/>
        <v/>
      </c>
      <c r="AI252" s="23" t="str">
        <f t="shared" si="80"/>
        <v/>
      </c>
      <c r="AJ252" s="23" t="str">
        <f t="shared" si="81"/>
        <v/>
      </c>
      <c r="AK252" s="23" t="str">
        <f t="shared" si="82"/>
        <v/>
      </c>
      <c r="AL252" s="23" t="str">
        <f t="shared" si="83"/>
        <v/>
      </c>
      <c r="AM252" s="52">
        <f t="shared" si="84"/>
        <v>0</v>
      </c>
      <c r="AN252" s="26">
        <f t="shared" si="85"/>
        <v>160.81530818448834</v>
      </c>
    </row>
    <row r="253" spans="1:40" x14ac:dyDescent="0.2">
      <c r="A253" s="12">
        <v>44807</v>
      </c>
      <c r="B253" s="6">
        <v>3</v>
      </c>
      <c r="C253" s="6">
        <v>246</v>
      </c>
      <c r="D253" s="6">
        <v>7</v>
      </c>
      <c r="E253" s="6" t="s">
        <v>10</v>
      </c>
      <c r="F253" s="6">
        <v>35</v>
      </c>
      <c r="G253" s="6">
        <v>9</v>
      </c>
      <c r="H253" s="6" t="s">
        <v>25</v>
      </c>
      <c r="I253" s="6">
        <v>3</v>
      </c>
      <c r="J253" s="14">
        <v>17.38376199540248</v>
      </c>
      <c r="K253" s="14">
        <v>70.843645525148148</v>
      </c>
      <c r="L253" s="14">
        <f t="shared" si="86"/>
        <v>1231.5290726958353</v>
      </c>
      <c r="M253" s="16">
        <v>0.36593374082188801</v>
      </c>
      <c r="N253" s="14">
        <f t="shared" si="87"/>
        <v>450.6580405024979</v>
      </c>
      <c r="O253" s="14">
        <f t="shared" si="88"/>
        <v>780.87103219333744</v>
      </c>
      <c r="P253" s="14">
        <v>37.291972837422627</v>
      </c>
      <c r="Q253" s="14">
        <v>7.2056413565368684</v>
      </c>
      <c r="R253" s="14">
        <f t="shared" si="72"/>
        <v>12.987012987012987</v>
      </c>
      <c r="S253" s="14">
        <v>35.695938783432887</v>
      </c>
      <c r="T253" s="14">
        <f t="shared" si="89"/>
        <v>862.07035088708471</v>
      </c>
      <c r="U253" s="14">
        <f t="shared" si="73"/>
        <v>49.5905518676037</v>
      </c>
      <c r="V253" s="14">
        <v>38.150194555918318</v>
      </c>
      <c r="W253" s="16">
        <f t="shared" si="90"/>
        <v>0.75199753648606926</v>
      </c>
      <c r="X253" s="16">
        <f t="shared" si="91"/>
        <v>0.45566640479178633</v>
      </c>
      <c r="Y253" s="16">
        <f t="shared" si="92"/>
        <v>0.52276248688841143</v>
      </c>
      <c r="Z253" s="16">
        <f t="shared" si="74"/>
        <v>0.35054584675349959</v>
      </c>
      <c r="AA253" s="16">
        <f t="shared" si="75"/>
        <v>1.0545437598630313E-2</v>
      </c>
      <c r="AB253" s="14">
        <f t="shared" si="93"/>
        <v>49.5905518676037</v>
      </c>
      <c r="AC253" s="16">
        <f t="shared" si="76"/>
        <v>0.10171189389144299</v>
      </c>
      <c r="AD253" s="16">
        <f t="shared" si="77"/>
        <v>3.0281033281487985E-2</v>
      </c>
      <c r="AE253" s="23" t="str">
        <f t="shared" si="94"/>
        <v/>
      </c>
      <c r="AF253" s="23" t="str">
        <f t="shared" si="78"/>
        <v/>
      </c>
      <c r="AG253" s="23" t="str">
        <f t="shared" si="79"/>
        <v/>
      </c>
      <c r="AH253" s="23" t="str">
        <f t="shared" si="95"/>
        <v/>
      </c>
      <c r="AI253" s="23" t="str">
        <f t="shared" si="80"/>
        <v/>
      </c>
      <c r="AJ253" s="23" t="str">
        <f t="shared" si="81"/>
        <v/>
      </c>
      <c r="AK253" s="23" t="str">
        <f t="shared" si="82"/>
        <v/>
      </c>
      <c r="AL253" s="23" t="str">
        <f t="shared" si="83"/>
        <v/>
      </c>
      <c r="AM253" s="52">
        <f t="shared" si="84"/>
        <v>0</v>
      </c>
      <c r="AN253" s="26">
        <f t="shared" si="85"/>
        <v>780.87103219333744</v>
      </c>
    </row>
    <row r="254" spans="1:40" x14ac:dyDescent="0.2">
      <c r="A254" s="12">
        <v>44808</v>
      </c>
      <c r="B254" s="6">
        <v>4</v>
      </c>
      <c r="C254" s="6">
        <v>247</v>
      </c>
      <c r="D254" s="6">
        <v>1</v>
      </c>
      <c r="E254" s="6" t="s">
        <v>12</v>
      </c>
      <c r="F254" s="6">
        <v>36</v>
      </c>
      <c r="G254" s="6">
        <v>9</v>
      </c>
      <c r="H254" s="6" t="s">
        <v>25</v>
      </c>
      <c r="I254" s="6">
        <v>3</v>
      </c>
      <c r="J254" s="14">
        <v>7.2610183645875708</v>
      </c>
      <c r="K254" s="14">
        <v>24.711915272786257</v>
      </c>
      <c r="L254" s="14">
        <f t="shared" si="86"/>
        <v>179.43367061983309</v>
      </c>
      <c r="M254" s="16">
        <v>0.39085272663211129</v>
      </c>
      <c r="N254" s="14">
        <f t="shared" si="87"/>
        <v>70.13213941136992</v>
      </c>
      <c r="O254" s="14">
        <f t="shared" si="88"/>
        <v>109.30153120846317</v>
      </c>
      <c r="P254" s="14">
        <v>21.737175587463181</v>
      </c>
      <c r="Q254" s="14">
        <v>8.9769177142972794</v>
      </c>
      <c r="R254" s="14">
        <f t="shared" si="72"/>
        <v>28.571428571428573</v>
      </c>
      <c r="S254" s="14">
        <v>14.523547117848075</v>
      </c>
      <c r="T254" s="14">
        <f t="shared" si="89"/>
        <v>125.60356943388315</v>
      </c>
      <c r="U254" s="14">
        <f t="shared" si="73"/>
        <v>17.298340690950379</v>
      </c>
      <c r="V254" s="14">
        <v>12.241245174797459</v>
      </c>
      <c r="W254" s="16">
        <f t="shared" si="90"/>
        <v>1.2566046637545401</v>
      </c>
      <c r="X254" s="16">
        <f t="shared" si="91"/>
        <v>0.59316011246443401</v>
      </c>
      <c r="Y254" s="16">
        <f t="shared" si="92"/>
        <v>0.55836103804587334</v>
      </c>
      <c r="Z254" s="16">
        <f t="shared" si="74"/>
        <v>0.41975230424188431</v>
      </c>
      <c r="AA254" s="16">
        <f t="shared" si="75"/>
        <v>0.15923114359045235</v>
      </c>
      <c r="AB254" s="14">
        <f t="shared" si="93"/>
        <v>17.298340690950379</v>
      </c>
      <c r="AC254" s="16">
        <f t="shared" si="76"/>
        <v>0.36326272630851147</v>
      </c>
      <c r="AD254" s="16">
        <f t="shared" si="77"/>
        <v>0.12114323645263787</v>
      </c>
      <c r="AE254" s="23" t="str">
        <f t="shared" si="94"/>
        <v/>
      </c>
      <c r="AF254" s="23">
        <f t="shared" si="78"/>
        <v>1000</v>
      </c>
      <c r="AG254" s="23" t="str">
        <f t="shared" si="79"/>
        <v/>
      </c>
      <c r="AH254" s="23" t="str">
        <f t="shared" si="95"/>
        <v/>
      </c>
      <c r="AI254" s="23" t="str">
        <f t="shared" si="80"/>
        <v/>
      </c>
      <c r="AJ254" s="23" t="str">
        <f t="shared" si="81"/>
        <v/>
      </c>
      <c r="AK254" s="23" t="str">
        <f t="shared" si="82"/>
        <v/>
      </c>
      <c r="AL254" s="23" t="str">
        <f t="shared" si="83"/>
        <v/>
      </c>
      <c r="AM254" s="52">
        <f t="shared" si="84"/>
        <v>1000</v>
      </c>
      <c r="AN254" s="26">
        <f t="shared" si="85"/>
        <v>-890.69846879153681</v>
      </c>
    </row>
    <row r="255" spans="1:40" x14ac:dyDescent="0.2">
      <c r="A255" s="12">
        <v>44809</v>
      </c>
      <c r="B255" s="6">
        <v>5</v>
      </c>
      <c r="C255" s="6">
        <v>248</v>
      </c>
      <c r="D255" s="6">
        <v>2</v>
      </c>
      <c r="E255" s="6" t="s">
        <v>13</v>
      </c>
      <c r="F255" s="6">
        <v>36</v>
      </c>
      <c r="G255" s="6">
        <v>9</v>
      </c>
      <c r="H255" s="6" t="s">
        <v>25</v>
      </c>
      <c r="I255" s="6">
        <v>3</v>
      </c>
      <c r="J255" s="14">
        <v>23.111846320589699</v>
      </c>
      <c r="K255" s="14">
        <v>52.307536605070247</v>
      </c>
      <c r="L255" s="14">
        <f t="shared" si="86"/>
        <v>1208.9237474250037</v>
      </c>
      <c r="M255" s="16">
        <v>0.77149546821072013</v>
      </c>
      <c r="N255" s="14">
        <f t="shared" si="87"/>
        <v>932.6791925507116</v>
      </c>
      <c r="O255" s="14">
        <f t="shared" si="88"/>
        <v>276.24455487429213</v>
      </c>
      <c r="P255" s="14">
        <v>36.064822439868685</v>
      </c>
      <c r="Q255" s="14">
        <v>20.829557917202749</v>
      </c>
      <c r="R255" s="14">
        <f t="shared" si="72"/>
        <v>12.987012987012987</v>
      </c>
      <c r="S255" s="14">
        <v>30.904014616089889</v>
      </c>
      <c r="T255" s="14">
        <f t="shared" si="89"/>
        <v>846.24662319750257</v>
      </c>
      <c r="U255" s="14">
        <f t="shared" si="73"/>
        <v>36.615275623549174</v>
      </c>
      <c r="V255" s="14">
        <v>32.265374041977651</v>
      </c>
      <c r="W255" s="16">
        <f t="shared" si="90"/>
        <v>0.98496656998188858</v>
      </c>
      <c r="X255" s="16">
        <f t="shared" si="91"/>
        <v>0.71630492460806128</v>
      </c>
      <c r="Y255" s="16">
        <f t="shared" si="92"/>
        <v>1.1021363831581716</v>
      </c>
      <c r="Z255" s="16">
        <f t="shared" si="74"/>
        <v>0.63120776580267712</v>
      </c>
      <c r="AA255" s="16">
        <f t="shared" si="75"/>
        <v>1.0742623771495268E-2</v>
      </c>
      <c r="AB255" s="14">
        <f t="shared" si="93"/>
        <v>36.615275623549174</v>
      </c>
      <c r="AC255" s="16">
        <f t="shared" si="76"/>
        <v>0.39821332200116855</v>
      </c>
      <c r="AD255" s="16">
        <f t="shared" si="77"/>
        <v>2.9832173052011277E-2</v>
      </c>
      <c r="AE255" s="23" t="str">
        <f t="shared" si="94"/>
        <v/>
      </c>
      <c r="AF255" s="23" t="str">
        <f t="shared" si="78"/>
        <v/>
      </c>
      <c r="AG255" s="23" t="str">
        <f t="shared" si="79"/>
        <v/>
      </c>
      <c r="AH255" s="23" t="str">
        <f t="shared" si="95"/>
        <v/>
      </c>
      <c r="AI255" s="23" t="str">
        <f t="shared" si="80"/>
        <v/>
      </c>
      <c r="AJ255" s="23" t="str">
        <f t="shared" si="81"/>
        <v/>
      </c>
      <c r="AK255" s="23" t="str">
        <f t="shared" si="82"/>
        <v/>
      </c>
      <c r="AL255" s="23">
        <f t="shared" si="83"/>
        <v>1000</v>
      </c>
      <c r="AM255" s="52">
        <f t="shared" si="84"/>
        <v>1000</v>
      </c>
      <c r="AN255" s="26">
        <f t="shared" si="85"/>
        <v>-723.75544512570787</v>
      </c>
    </row>
    <row r="256" spans="1:40" x14ac:dyDescent="0.2">
      <c r="A256" s="12">
        <v>44810</v>
      </c>
      <c r="B256" s="6">
        <v>6</v>
      </c>
      <c r="C256" s="6">
        <v>249</v>
      </c>
      <c r="D256" s="6">
        <v>3</v>
      </c>
      <c r="E256" s="6" t="s">
        <v>14</v>
      </c>
      <c r="F256" s="6">
        <v>36</v>
      </c>
      <c r="G256" s="6">
        <v>9</v>
      </c>
      <c r="H256" s="6" t="s">
        <v>25</v>
      </c>
      <c r="I256" s="6">
        <v>3</v>
      </c>
      <c r="J256" s="14">
        <v>13.532986950590708</v>
      </c>
      <c r="K256" s="14">
        <v>73.665359244407981</v>
      </c>
      <c r="L256" s="14">
        <f t="shared" si="86"/>
        <v>996.9123453651498</v>
      </c>
      <c r="M256" s="16">
        <v>0.90382172931622784</v>
      </c>
      <c r="N256" s="14">
        <f t="shared" si="87"/>
        <v>901.0310399646263</v>
      </c>
      <c r="O256" s="14">
        <f t="shared" si="88"/>
        <v>95.881305400523502</v>
      </c>
      <c r="P256" s="14">
        <v>30.405603273950764</v>
      </c>
      <c r="Q256" s="14">
        <v>26.834479082949791</v>
      </c>
      <c r="R256" s="14">
        <f t="shared" si="72"/>
        <v>12.987012987012987</v>
      </c>
      <c r="S256" s="14">
        <v>38.465574493639799</v>
      </c>
      <c r="T256" s="14">
        <f t="shared" si="89"/>
        <v>697.83864175560484</v>
      </c>
      <c r="U256" s="14">
        <f t="shared" si="73"/>
        <v>51.565751471085591</v>
      </c>
      <c r="V256" s="14">
        <v>33.023127308417919</v>
      </c>
      <c r="W256" s="16">
        <f t="shared" si="90"/>
        <v>0.58964724466393292</v>
      </c>
      <c r="X256" s="16">
        <f t="shared" si="91"/>
        <v>0.40980331221207555</v>
      </c>
      <c r="Y256" s="16">
        <f t="shared" si="92"/>
        <v>1.2911738990231827</v>
      </c>
      <c r="Z256" s="16">
        <f t="shared" si="74"/>
        <v>0.26244137949156127</v>
      </c>
      <c r="AA256" s="16">
        <f t="shared" si="75"/>
        <v>1.3027236594463171E-2</v>
      </c>
      <c r="AB256" s="14">
        <f t="shared" si="93"/>
        <v>51.565751471085591</v>
      </c>
      <c r="AC256" s="16">
        <f t="shared" si="76"/>
        <v>0.36427541191943386</v>
      </c>
      <c r="AD256" s="16">
        <f t="shared" si="77"/>
        <v>3.0499776048829825E-2</v>
      </c>
      <c r="AE256" s="23" t="str">
        <f t="shared" si="94"/>
        <v/>
      </c>
      <c r="AF256" s="23" t="str">
        <f t="shared" si="78"/>
        <v/>
      </c>
      <c r="AG256" s="23" t="str">
        <f t="shared" si="79"/>
        <v/>
      </c>
      <c r="AH256" s="23" t="str">
        <f t="shared" si="95"/>
        <v/>
      </c>
      <c r="AI256" s="23" t="str">
        <f t="shared" si="80"/>
        <v/>
      </c>
      <c r="AJ256" s="23" t="str">
        <f t="shared" si="81"/>
        <v/>
      </c>
      <c r="AK256" s="23" t="str">
        <f t="shared" si="82"/>
        <v/>
      </c>
      <c r="AL256" s="23" t="str">
        <f t="shared" si="83"/>
        <v/>
      </c>
      <c r="AM256" s="52">
        <f t="shared" si="84"/>
        <v>0</v>
      </c>
      <c r="AN256" s="26">
        <f t="shared" si="85"/>
        <v>95.881305400523502</v>
      </c>
    </row>
    <row r="257" spans="1:40" x14ac:dyDescent="0.2">
      <c r="A257" s="12">
        <v>44811</v>
      </c>
      <c r="B257" s="6">
        <v>7</v>
      </c>
      <c r="C257" s="6">
        <v>250</v>
      </c>
      <c r="D257" s="6">
        <v>4</v>
      </c>
      <c r="E257" s="6" t="s">
        <v>15</v>
      </c>
      <c r="F257" s="6">
        <v>36</v>
      </c>
      <c r="G257" s="6">
        <v>9</v>
      </c>
      <c r="H257" s="6" t="s">
        <v>25</v>
      </c>
      <c r="I257" s="6">
        <v>3</v>
      </c>
      <c r="J257" s="14">
        <v>9.0650215536079433</v>
      </c>
      <c r="K257" s="14">
        <v>71.172520718819754</v>
      </c>
      <c r="L257" s="14">
        <f t="shared" si="86"/>
        <v>645.18043434070898</v>
      </c>
      <c r="M257" s="16">
        <v>0.62469670994530746</v>
      </c>
      <c r="N257" s="14">
        <f t="shared" si="87"/>
        <v>403.04209465372537</v>
      </c>
      <c r="O257" s="14">
        <f t="shared" si="88"/>
        <v>242.13833968698361</v>
      </c>
      <c r="P257" s="14">
        <v>43.596966007804866</v>
      </c>
      <c r="Q257" s="14">
        <v>15.3201463985693</v>
      </c>
      <c r="R257" s="14">
        <f t="shared" si="72"/>
        <v>12.987012987012987</v>
      </c>
      <c r="S257" s="14">
        <v>38.692477992767081</v>
      </c>
      <c r="T257" s="14">
        <f t="shared" si="89"/>
        <v>451.62630403849624</v>
      </c>
      <c r="U257" s="14">
        <f t="shared" si="73"/>
        <v>49.820764503173827</v>
      </c>
      <c r="V257" s="14">
        <v>30.496350518190653</v>
      </c>
      <c r="W257" s="16">
        <f t="shared" si="90"/>
        <v>0.8750762145576374</v>
      </c>
      <c r="X257" s="16">
        <f t="shared" si="91"/>
        <v>0.29724938884738955</v>
      </c>
      <c r="Y257" s="16">
        <f t="shared" si="92"/>
        <v>0.89242387135043932</v>
      </c>
      <c r="Z257" s="16">
        <f t="shared" si="74"/>
        <v>0.18195267864728285</v>
      </c>
      <c r="AA257" s="16">
        <f t="shared" si="75"/>
        <v>2.0129272829366E-2</v>
      </c>
      <c r="AB257" s="14">
        <f t="shared" si="93"/>
        <v>49.820764503173827</v>
      </c>
      <c r="AC257" s="16">
        <f t="shared" si="76"/>
        <v>0.21525367155526751</v>
      </c>
      <c r="AD257" s="16">
        <f t="shared" si="77"/>
        <v>6.7573292194384862E-2</v>
      </c>
      <c r="AE257" s="23" t="str">
        <f t="shared" si="94"/>
        <v/>
      </c>
      <c r="AF257" s="23" t="str">
        <f t="shared" si="78"/>
        <v/>
      </c>
      <c r="AG257" s="23" t="str">
        <f t="shared" si="79"/>
        <v/>
      </c>
      <c r="AH257" s="23" t="str">
        <f t="shared" si="95"/>
        <v/>
      </c>
      <c r="AI257" s="23" t="str">
        <f t="shared" si="80"/>
        <v/>
      </c>
      <c r="AJ257" s="23" t="str">
        <f t="shared" si="81"/>
        <v/>
      </c>
      <c r="AK257" s="23" t="str">
        <f t="shared" si="82"/>
        <v/>
      </c>
      <c r="AL257" s="23" t="str">
        <f t="shared" si="83"/>
        <v/>
      </c>
      <c r="AM257" s="52">
        <f t="shared" si="84"/>
        <v>0</v>
      </c>
      <c r="AN257" s="26">
        <f t="shared" si="85"/>
        <v>242.13833968698361</v>
      </c>
    </row>
    <row r="258" spans="1:40" x14ac:dyDescent="0.2">
      <c r="A258" s="12">
        <v>44812</v>
      </c>
      <c r="B258" s="6">
        <v>8</v>
      </c>
      <c r="C258" s="6">
        <v>251</v>
      </c>
      <c r="D258" s="6">
        <v>5</v>
      </c>
      <c r="E258" s="6" t="s">
        <v>16</v>
      </c>
      <c r="F258" s="6">
        <v>36</v>
      </c>
      <c r="G258" s="6">
        <v>9</v>
      </c>
      <c r="H258" s="6" t="s">
        <v>25</v>
      </c>
      <c r="I258" s="6">
        <v>3</v>
      </c>
      <c r="J258" s="14">
        <v>13.681707662762335</v>
      </c>
      <c r="K258" s="14">
        <v>69.516216290456299</v>
      </c>
      <c r="L258" s="14">
        <f t="shared" si="86"/>
        <v>951.10054910737983</v>
      </c>
      <c r="M258" s="16">
        <v>0.61054566827910217</v>
      </c>
      <c r="N258" s="14">
        <f t="shared" si="87"/>
        <v>580.69032035538623</v>
      </c>
      <c r="O258" s="14">
        <f t="shared" si="88"/>
        <v>370.4102287519936</v>
      </c>
      <c r="P258" s="14">
        <v>36.002168390594001</v>
      </c>
      <c r="Q258" s="14">
        <v>17.323677813917136</v>
      </c>
      <c r="R258" s="14">
        <f t="shared" si="72"/>
        <v>12.987012987012987</v>
      </c>
      <c r="S258" s="14">
        <v>34.339975235473368</v>
      </c>
      <c r="T258" s="14">
        <f t="shared" si="89"/>
        <v>665.7703843751658</v>
      </c>
      <c r="U258" s="14">
        <f t="shared" si="73"/>
        <v>48.661351403319408</v>
      </c>
      <c r="V258" s="14">
        <v>34.400872745552988</v>
      </c>
      <c r="W258" s="16">
        <f t="shared" si="90"/>
        <v>0.73985138826494101</v>
      </c>
      <c r="X258" s="16">
        <f t="shared" si="91"/>
        <v>0.39771396975767059</v>
      </c>
      <c r="Y258" s="16">
        <f t="shared" si="92"/>
        <v>0.87220809754157458</v>
      </c>
      <c r="Z258" s="16">
        <f t="shared" si="74"/>
        <v>0.28116168721588453</v>
      </c>
      <c r="AA258" s="16">
        <f t="shared" si="75"/>
        <v>1.3654721363794255E-2</v>
      </c>
      <c r="AB258" s="14">
        <f t="shared" si="93"/>
        <v>48.661351403319408</v>
      </c>
      <c r="AC258" s="16">
        <f t="shared" si="76"/>
        <v>0.24920340516714024</v>
      </c>
      <c r="AD258" s="16">
        <f t="shared" si="77"/>
        <v>3.7853167495679088E-2</v>
      </c>
      <c r="AE258" s="23" t="str">
        <f t="shared" si="94"/>
        <v/>
      </c>
      <c r="AF258" s="23" t="str">
        <f t="shared" si="78"/>
        <v/>
      </c>
      <c r="AG258" s="23" t="str">
        <f t="shared" si="79"/>
        <v/>
      </c>
      <c r="AH258" s="23" t="str">
        <f t="shared" si="95"/>
        <v/>
      </c>
      <c r="AI258" s="23" t="str">
        <f t="shared" si="80"/>
        <v/>
      </c>
      <c r="AJ258" s="23" t="str">
        <f t="shared" si="81"/>
        <v/>
      </c>
      <c r="AK258" s="23" t="str">
        <f t="shared" si="82"/>
        <v/>
      </c>
      <c r="AL258" s="23" t="str">
        <f t="shared" si="83"/>
        <v/>
      </c>
      <c r="AM258" s="52">
        <f t="shared" si="84"/>
        <v>0</v>
      </c>
      <c r="AN258" s="26">
        <f t="shared" si="85"/>
        <v>370.4102287519936</v>
      </c>
    </row>
    <row r="259" spans="1:40" x14ac:dyDescent="0.2">
      <c r="A259" s="12">
        <v>44813</v>
      </c>
      <c r="B259" s="6">
        <v>9</v>
      </c>
      <c r="C259" s="6">
        <v>252</v>
      </c>
      <c r="D259" s="6">
        <v>6</v>
      </c>
      <c r="E259" s="6" t="s">
        <v>17</v>
      </c>
      <c r="F259" s="6">
        <v>36</v>
      </c>
      <c r="G259" s="6">
        <v>9</v>
      </c>
      <c r="H259" s="6" t="s">
        <v>25</v>
      </c>
      <c r="I259" s="6">
        <v>3</v>
      </c>
      <c r="J259" s="14">
        <v>30.050511296272543</v>
      </c>
      <c r="K259" s="14">
        <v>30.881148382064907</v>
      </c>
      <c r="L259" s="14">
        <f t="shared" si="86"/>
        <v>927.99429829711005</v>
      </c>
      <c r="M259" s="16">
        <v>0.58842707209582101</v>
      </c>
      <c r="N259" s="14">
        <f t="shared" si="87"/>
        <v>546.05696786858437</v>
      </c>
      <c r="O259" s="14">
        <f t="shared" si="88"/>
        <v>381.93733042852568</v>
      </c>
      <c r="P259" s="14">
        <v>46.929945030813805</v>
      </c>
      <c r="Q259" s="14">
        <v>8.9142688790800477</v>
      </c>
      <c r="R259" s="14">
        <f t="shared" si="72"/>
        <v>12.987012987012987</v>
      </c>
      <c r="S259" s="14">
        <v>38.052217681834385</v>
      </c>
      <c r="T259" s="14">
        <f t="shared" si="89"/>
        <v>649.596008807977</v>
      </c>
      <c r="U259" s="14">
        <f t="shared" si="73"/>
        <v>21.616803867445434</v>
      </c>
      <c r="V259" s="14">
        <v>29.277056202327177</v>
      </c>
      <c r="W259" s="16">
        <f t="shared" si="90"/>
        <v>2.1709937009462146</v>
      </c>
      <c r="X259" s="16">
        <f t="shared" si="91"/>
        <v>1.0264184721510314</v>
      </c>
      <c r="Y259" s="16">
        <f t="shared" si="92"/>
        <v>0.84061010299403005</v>
      </c>
      <c r="Z259" s="16">
        <f t="shared" si="74"/>
        <v>1.3901459013341071</v>
      </c>
      <c r="AA259" s="16">
        <f t="shared" si="75"/>
        <v>1.3994712048171461E-2</v>
      </c>
      <c r="AB259" s="14">
        <f t="shared" si="93"/>
        <v>21.616803867445434</v>
      </c>
      <c r="AC259" s="16">
        <f t="shared" si="76"/>
        <v>0.2886637753490171</v>
      </c>
      <c r="AD259" s="16">
        <f t="shared" si="77"/>
        <v>5.0571372169992086E-2</v>
      </c>
      <c r="AE259" s="23" t="str">
        <f t="shared" si="94"/>
        <v/>
      </c>
      <c r="AF259" s="23" t="str">
        <f t="shared" si="78"/>
        <v/>
      </c>
      <c r="AG259" s="23" t="str">
        <f t="shared" si="79"/>
        <v/>
      </c>
      <c r="AH259" s="23" t="str">
        <f t="shared" si="95"/>
        <v/>
      </c>
      <c r="AI259" s="23" t="str">
        <f t="shared" si="80"/>
        <v/>
      </c>
      <c r="AJ259" s="23" t="str">
        <f t="shared" si="81"/>
        <v/>
      </c>
      <c r="AK259" s="23" t="str">
        <f t="shared" si="82"/>
        <v/>
      </c>
      <c r="AL259" s="23" t="str">
        <f t="shared" si="83"/>
        <v/>
      </c>
      <c r="AM259" s="52">
        <f t="shared" si="84"/>
        <v>0</v>
      </c>
      <c r="AN259" s="26">
        <f t="shared" si="85"/>
        <v>381.93733042852568</v>
      </c>
    </row>
    <row r="260" spans="1:40" x14ac:dyDescent="0.2">
      <c r="A260" s="12">
        <v>44814</v>
      </c>
      <c r="B260" s="6">
        <v>10</v>
      </c>
      <c r="C260" s="6">
        <v>253</v>
      </c>
      <c r="D260" s="6">
        <v>7</v>
      </c>
      <c r="E260" s="6" t="s">
        <v>10</v>
      </c>
      <c r="F260" s="6">
        <v>36</v>
      </c>
      <c r="G260" s="6">
        <v>9</v>
      </c>
      <c r="H260" s="6" t="s">
        <v>25</v>
      </c>
      <c r="I260" s="6">
        <v>3</v>
      </c>
      <c r="J260" s="14">
        <v>15.4645484805738</v>
      </c>
      <c r="K260" s="14">
        <v>16.703969102051168</v>
      </c>
      <c r="L260" s="14">
        <f t="shared" si="86"/>
        <v>258.31933999667712</v>
      </c>
      <c r="M260" s="16">
        <v>0.28265579692555826</v>
      </c>
      <c r="N260" s="14">
        <f t="shared" si="87"/>
        <v>73.015458908045005</v>
      </c>
      <c r="O260" s="14">
        <f t="shared" si="88"/>
        <v>185.30388108863212</v>
      </c>
      <c r="P260" s="14">
        <v>34.224697909645137</v>
      </c>
      <c r="Q260" s="14">
        <v>16.420553749073253</v>
      </c>
      <c r="R260" s="14">
        <f t="shared" si="72"/>
        <v>12.987012987012987</v>
      </c>
      <c r="S260" s="14">
        <v>36.836966396923366</v>
      </c>
      <c r="T260" s="14">
        <f t="shared" si="89"/>
        <v>180.82353799767398</v>
      </c>
      <c r="U260" s="14">
        <f t="shared" si="73"/>
        <v>11.692778371435818</v>
      </c>
      <c r="V260" s="14">
        <v>29.802785106218828</v>
      </c>
      <c r="W260" s="16">
        <f t="shared" si="90"/>
        <v>2.9269944937340417</v>
      </c>
      <c r="X260" s="16">
        <f t="shared" si="91"/>
        <v>0.51889608388804154</v>
      </c>
      <c r="Y260" s="16">
        <f t="shared" si="92"/>
        <v>0.40379399560794038</v>
      </c>
      <c r="Z260" s="16">
        <f t="shared" si="74"/>
        <v>1.3225726161330489</v>
      </c>
      <c r="AA260" s="16">
        <f t="shared" si="75"/>
        <v>5.0275031622409865E-2</v>
      </c>
      <c r="AB260" s="14">
        <f t="shared" si="93"/>
        <v>11.692778371435818</v>
      </c>
      <c r="AC260" s="16">
        <f t="shared" si="76"/>
        <v>0.98303305332724111</v>
      </c>
      <c r="AD260" s="16">
        <f t="shared" si="77"/>
        <v>0.13248987826496222</v>
      </c>
      <c r="AE260" s="23" t="str">
        <f t="shared" si="94"/>
        <v/>
      </c>
      <c r="AF260" s="23" t="str">
        <f t="shared" si="78"/>
        <v/>
      </c>
      <c r="AG260" s="23" t="str">
        <f t="shared" si="79"/>
        <v/>
      </c>
      <c r="AH260" s="23">
        <f t="shared" si="95"/>
        <v>300</v>
      </c>
      <c r="AI260" s="23" t="str">
        <f t="shared" si="80"/>
        <v/>
      </c>
      <c r="AJ260" s="23" t="str">
        <f t="shared" si="81"/>
        <v/>
      </c>
      <c r="AK260" s="23" t="str">
        <f t="shared" si="82"/>
        <v/>
      </c>
      <c r="AL260" s="23" t="str">
        <f t="shared" si="83"/>
        <v/>
      </c>
      <c r="AM260" s="52">
        <f t="shared" si="84"/>
        <v>300</v>
      </c>
      <c r="AN260" s="26">
        <f t="shared" si="85"/>
        <v>-114.69611891136788</v>
      </c>
    </row>
    <row r="261" spans="1:40" x14ac:dyDescent="0.2">
      <c r="A261" s="12">
        <v>44815</v>
      </c>
      <c r="B261" s="6">
        <v>11</v>
      </c>
      <c r="C261" s="6">
        <v>254</v>
      </c>
      <c r="D261" s="6">
        <v>1</v>
      </c>
      <c r="E261" s="6" t="s">
        <v>12</v>
      </c>
      <c r="F261" s="6">
        <v>37</v>
      </c>
      <c r="G261" s="6">
        <v>9</v>
      </c>
      <c r="H261" s="6" t="s">
        <v>25</v>
      </c>
      <c r="I261" s="6">
        <v>3</v>
      </c>
      <c r="J261" s="14">
        <v>10.015005866335585</v>
      </c>
      <c r="K261" s="14">
        <v>45.345945335478213</v>
      </c>
      <c r="L261" s="14">
        <f t="shared" si="86"/>
        <v>454.13990854934707</v>
      </c>
      <c r="M261" s="16">
        <v>0.26317216218872802</v>
      </c>
      <c r="N261" s="14">
        <f t="shared" si="87"/>
        <v>119.51698166912288</v>
      </c>
      <c r="O261" s="14">
        <f t="shared" si="88"/>
        <v>334.62292688022421</v>
      </c>
      <c r="P261" s="14">
        <v>19.027024684989811</v>
      </c>
      <c r="Q261" s="14">
        <v>7.4294183587977534</v>
      </c>
      <c r="R261" s="14">
        <f t="shared" si="72"/>
        <v>28.571428571428573</v>
      </c>
      <c r="S261" s="14">
        <v>17.787473515076343</v>
      </c>
      <c r="T261" s="14">
        <f t="shared" si="89"/>
        <v>317.89793598454293</v>
      </c>
      <c r="U261" s="14">
        <f t="shared" si="73"/>
        <v>31.742161734834749</v>
      </c>
      <c r="V261" s="14">
        <v>17.737280554181197</v>
      </c>
      <c r="W261" s="16">
        <f t="shared" si="90"/>
        <v>0.59942435061406085</v>
      </c>
      <c r="X261" s="16">
        <f t="shared" si="91"/>
        <v>0.56463029018136346</v>
      </c>
      <c r="Y261" s="16">
        <f t="shared" si="92"/>
        <v>0.37596023169818293</v>
      </c>
      <c r="Z261" s="16">
        <f t="shared" si="74"/>
        <v>0.31551114728726348</v>
      </c>
      <c r="AA261" s="16">
        <f t="shared" si="75"/>
        <v>6.2913274155301388E-2</v>
      </c>
      <c r="AB261" s="14">
        <f t="shared" si="93"/>
        <v>31.742161734834749</v>
      </c>
      <c r="AC261" s="16">
        <f t="shared" si="76"/>
        <v>0.16383864761961531</v>
      </c>
      <c r="AD261" s="16">
        <f t="shared" si="77"/>
        <v>4.1896834712825785E-2</v>
      </c>
      <c r="AE261" s="23" t="str">
        <f t="shared" si="94"/>
        <v/>
      </c>
      <c r="AF261" s="23">
        <f t="shared" si="78"/>
        <v>1000</v>
      </c>
      <c r="AG261" s="23" t="str">
        <f t="shared" si="79"/>
        <v/>
      </c>
      <c r="AH261" s="23" t="str">
        <f t="shared" si="95"/>
        <v/>
      </c>
      <c r="AI261" s="23" t="str">
        <f t="shared" si="80"/>
        <v/>
      </c>
      <c r="AJ261" s="23" t="str">
        <f t="shared" si="81"/>
        <v/>
      </c>
      <c r="AK261" s="23" t="str">
        <f t="shared" si="82"/>
        <v/>
      </c>
      <c r="AL261" s="23" t="str">
        <f t="shared" si="83"/>
        <v/>
      </c>
      <c r="AM261" s="52">
        <f t="shared" si="84"/>
        <v>1000</v>
      </c>
      <c r="AN261" s="26">
        <f t="shared" si="85"/>
        <v>-665.37707311977579</v>
      </c>
    </row>
    <row r="262" spans="1:40" x14ac:dyDescent="0.2">
      <c r="A262" s="12">
        <v>44816</v>
      </c>
      <c r="B262" s="6">
        <v>12</v>
      </c>
      <c r="C262" s="6">
        <v>255</v>
      </c>
      <c r="D262" s="6">
        <v>2</v>
      </c>
      <c r="E262" s="6" t="s">
        <v>13</v>
      </c>
      <c r="F262" s="6">
        <v>37</v>
      </c>
      <c r="G262" s="6">
        <v>9</v>
      </c>
      <c r="H262" s="6" t="s">
        <v>25</v>
      </c>
      <c r="I262" s="6">
        <v>3</v>
      </c>
      <c r="J262" s="14">
        <v>4.5377060429834248</v>
      </c>
      <c r="K262" s="14">
        <v>133.70358416042913</v>
      </c>
      <c r="L262" s="14">
        <f t="shared" si="86"/>
        <v>606.70756181332217</v>
      </c>
      <c r="M262" s="16">
        <v>0.50523502065250803</v>
      </c>
      <c r="N262" s="14">
        <f t="shared" si="87"/>
        <v>306.52990752278663</v>
      </c>
      <c r="O262" s="14">
        <f t="shared" si="88"/>
        <v>300.17765429053554</v>
      </c>
      <c r="P262" s="14">
        <v>45.663203092804018</v>
      </c>
      <c r="Q262" s="14">
        <v>17.769643591666032</v>
      </c>
      <c r="R262" s="14">
        <f t="shared" si="72"/>
        <v>12.987012987012987</v>
      </c>
      <c r="S262" s="14">
        <v>34.605445738966381</v>
      </c>
      <c r="T262" s="14">
        <f t="shared" si="89"/>
        <v>424.69529326932548</v>
      </c>
      <c r="U262" s="14">
        <f t="shared" si="73"/>
        <v>93.592508912300374</v>
      </c>
      <c r="V262" s="14">
        <v>30.882365004332058</v>
      </c>
      <c r="W262" s="16">
        <f t="shared" si="90"/>
        <v>0.48789378149475743</v>
      </c>
      <c r="X262" s="16">
        <f t="shared" si="91"/>
        <v>0.146935185901303</v>
      </c>
      <c r="Y262" s="16">
        <f t="shared" si="92"/>
        <v>0.72176431521786877</v>
      </c>
      <c r="Z262" s="16">
        <f t="shared" si="74"/>
        <v>4.8483645707536514E-2</v>
      </c>
      <c r="AA262" s="16">
        <f t="shared" si="75"/>
        <v>2.1405721313572421E-2</v>
      </c>
      <c r="AB262" s="14">
        <f t="shared" si="93"/>
        <v>93.592508912300374</v>
      </c>
      <c r="AC262" s="16">
        <f t="shared" si="76"/>
        <v>0.13290327034423008</v>
      </c>
      <c r="AD262" s="16">
        <f t="shared" si="77"/>
        <v>7.526394257610082E-2</v>
      </c>
      <c r="AE262" s="23" t="str">
        <f t="shared" si="94"/>
        <v/>
      </c>
      <c r="AF262" s="23" t="str">
        <f t="shared" si="78"/>
        <v/>
      </c>
      <c r="AG262" s="23" t="str">
        <f t="shared" si="79"/>
        <v/>
      </c>
      <c r="AH262" s="23" t="str">
        <f t="shared" si="95"/>
        <v/>
      </c>
      <c r="AI262" s="23" t="str">
        <f t="shared" si="80"/>
        <v/>
      </c>
      <c r="AJ262" s="23">
        <f t="shared" si="81"/>
        <v>480</v>
      </c>
      <c r="AK262" s="23" t="str">
        <f t="shared" si="82"/>
        <v/>
      </c>
      <c r="AL262" s="23" t="str">
        <f t="shared" si="83"/>
        <v/>
      </c>
      <c r="AM262" s="52">
        <f t="shared" si="84"/>
        <v>480</v>
      </c>
      <c r="AN262" s="26">
        <f t="shared" si="85"/>
        <v>-179.82234570946446</v>
      </c>
    </row>
    <row r="263" spans="1:40" x14ac:dyDescent="0.2">
      <c r="A263" s="12">
        <v>44817</v>
      </c>
      <c r="B263" s="6">
        <v>13</v>
      </c>
      <c r="C263" s="6">
        <v>256</v>
      </c>
      <c r="D263" s="6">
        <v>3</v>
      </c>
      <c r="E263" s="6" t="s">
        <v>14</v>
      </c>
      <c r="F263" s="6">
        <v>37</v>
      </c>
      <c r="G263" s="6">
        <v>9</v>
      </c>
      <c r="H263" s="6" t="s">
        <v>25</v>
      </c>
      <c r="I263" s="6">
        <v>3</v>
      </c>
      <c r="J263" s="14">
        <v>1.2301846212962171</v>
      </c>
      <c r="K263" s="14">
        <v>69.09762408567542</v>
      </c>
      <c r="L263" s="14">
        <f t="shared" si="86"/>
        <v>85.002834518304979</v>
      </c>
      <c r="M263" s="16">
        <v>0.42816207174340393</v>
      </c>
      <c r="N263" s="14">
        <f t="shared" si="87"/>
        <v>36.394989731419187</v>
      </c>
      <c r="O263" s="14">
        <f t="shared" si="88"/>
        <v>48.607844786885792</v>
      </c>
      <c r="P263" s="14">
        <v>38.248181802657918</v>
      </c>
      <c r="Q263" s="14">
        <v>13.174312897335799</v>
      </c>
      <c r="R263" s="14">
        <f t="shared" si="72"/>
        <v>12.987012987012987</v>
      </c>
      <c r="S263" s="14">
        <v>30.124447661446695</v>
      </c>
      <c r="T263" s="14">
        <f t="shared" si="89"/>
        <v>59.501984162813478</v>
      </c>
      <c r="U263" s="14">
        <f t="shared" si="73"/>
        <v>48.368336859972786</v>
      </c>
      <c r="V263" s="14">
        <v>40.736933145684986</v>
      </c>
      <c r="W263" s="16">
        <f t="shared" si="90"/>
        <v>0.79076900893630264</v>
      </c>
      <c r="X263" s="16">
        <f t="shared" si="91"/>
        <v>3.0198263008577097E-2</v>
      </c>
      <c r="Y263" s="16">
        <f t="shared" si="92"/>
        <v>0.61166010249057712</v>
      </c>
      <c r="Z263" s="16">
        <f t="shared" si="74"/>
        <v>2.5433676267547174E-2</v>
      </c>
      <c r="AA263" s="16">
        <f t="shared" si="75"/>
        <v>0.15278329317613865</v>
      </c>
      <c r="AB263" s="14">
        <f t="shared" si="93"/>
        <v>48.368336859972786</v>
      </c>
      <c r="AC263" s="16">
        <f t="shared" si="76"/>
        <v>0.19066231396032843</v>
      </c>
      <c r="AD263" s="16">
        <f t="shared" si="77"/>
        <v>0.44996360438334965</v>
      </c>
      <c r="AE263" s="23" t="str">
        <f t="shared" si="94"/>
        <v/>
      </c>
      <c r="AF263" s="23" t="str">
        <f t="shared" si="78"/>
        <v/>
      </c>
      <c r="AG263" s="23" t="str">
        <f t="shared" si="79"/>
        <v/>
      </c>
      <c r="AH263" s="23" t="str">
        <f t="shared" si="95"/>
        <v/>
      </c>
      <c r="AI263" s="23" t="str">
        <f t="shared" si="80"/>
        <v/>
      </c>
      <c r="AJ263" s="23" t="str">
        <f t="shared" si="81"/>
        <v/>
      </c>
      <c r="AK263" s="23" t="str">
        <f t="shared" si="82"/>
        <v/>
      </c>
      <c r="AL263" s="23" t="str">
        <f t="shared" si="83"/>
        <v/>
      </c>
      <c r="AM263" s="52">
        <f t="shared" si="84"/>
        <v>0</v>
      </c>
      <c r="AN263" s="26">
        <f t="shared" si="85"/>
        <v>48.607844786885792</v>
      </c>
    </row>
    <row r="264" spans="1:40" x14ac:dyDescent="0.2">
      <c r="A264" s="12">
        <v>44818</v>
      </c>
      <c r="B264" s="6">
        <v>14</v>
      </c>
      <c r="C264" s="6">
        <v>257</v>
      </c>
      <c r="D264" s="6">
        <v>4</v>
      </c>
      <c r="E264" s="6" t="s">
        <v>15</v>
      </c>
      <c r="F264" s="6">
        <v>37</v>
      </c>
      <c r="G264" s="6">
        <v>9</v>
      </c>
      <c r="H264" s="6" t="s">
        <v>25</v>
      </c>
      <c r="I264" s="6">
        <v>3</v>
      </c>
      <c r="J264" s="14">
        <v>7.1115461990086475</v>
      </c>
      <c r="K264" s="14">
        <v>36.322920033005225</v>
      </c>
      <c r="L264" s="14">
        <f t="shared" si="86"/>
        <v>258.31212389761339</v>
      </c>
      <c r="M264" s="16">
        <v>0.49644807946457636</v>
      </c>
      <c r="N264" s="14">
        <f t="shared" si="87"/>
        <v>128.23855781138587</v>
      </c>
      <c r="O264" s="14">
        <f t="shared" si="88"/>
        <v>130.07356608622752</v>
      </c>
      <c r="P264" s="14">
        <v>31.169591452423237</v>
      </c>
      <c r="Q264" s="14">
        <v>16.30918697416444</v>
      </c>
      <c r="R264" s="14">
        <f t="shared" ref="R264:R327" si="96">IF(E264=$AF$6,$R$2/5,$R$2/11)</f>
        <v>12.987012987012987</v>
      </c>
      <c r="S264" s="14">
        <v>28.878737010597039</v>
      </c>
      <c r="T264" s="14">
        <f t="shared" si="89"/>
        <v>180.81848672832936</v>
      </c>
      <c r="U264" s="14">
        <f t="shared" ref="U264:U327" si="97">T264/J264</f>
        <v>25.426044023103657</v>
      </c>
      <c r="V264" s="14">
        <v>30.299347458194234</v>
      </c>
      <c r="W264" s="16">
        <f t="shared" si="90"/>
        <v>1.2258922946920348</v>
      </c>
      <c r="X264" s="16">
        <f t="shared" si="91"/>
        <v>0.23470954972944089</v>
      </c>
      <c r="Y264" s="16">
        <f t="shared" si="92"/>
        <v>0.70921154209225201</v>
      </c>
      <c r="Z264" s="16">
        <f t="shared" ref="Z264:Z327" si="98">J264/U264</f>
        <v>0.2796953467297808</v>
      </c>
      <c r="AA264" s="16">
        <f t="shared" ref="AA264:AA327" si="99">R264/L264</f>
        <v>5.0276436084589746E-2</v>
      </c>
      <c r="AB264" s="14">
        <f t="shared" si="93"/>
        <v>25.426044023103657</v>
      </c>
      <c r="AC264" s="16">
        <f t="shared" ref="AC264:AC327" si="100">Q264/K264</f>
        <v>0.449005392720214</v>
      </c>
      <c r="AD264" s="16">
        <f t="shared" ref="AD264:AD327" si="101">P264/L264</f>
        <v>0.12066638987792094</v>
      </c>
      <c r="AE264" s="23" t="str">
        <f t="shared" si="94"/>
        <v/>
      </c>
      <c r="AF264" s="23" t="str">
        <f t="shared" ref="AF264:AF327" si="102">IF(E264=$AF$6,$AF$5,"")</f>
        <v/>
      </c>
      <c r="AG264" s="23" t="str">
        <f t="shared" ref="AG264:AG327" si="103">IF(B264=$AG$6,$AG$5,"")</f>
        <v/>
      </c>
      <c r="AH264" s="23" t="str">
        <f t="shared" si="95"/>
        <v/>
      </c>
      <c r="AI264" s="23" t="str">
        <f t="shared" ref="AI264:AI327" si="104">IF($B264=$AI$6,$AI$5,"")</f>
        <v/>
      </c>
      <c r="AJ264" s="23" t="str">
        <f t="shared" ref="AJ264:AJ327" si="105">IF($B264=$AJ$6,$AJ$5,"")</f>
        <v/>
      </c>
      <c r="AK264" s="23" t="str">
        <f t="shared" ref="AK264:AK327" si="106">IF($B264=$AK$6,$AK$5,"")</f>
        <v/>
      </c>
      <c r="AL264" s="23" t="str">
        <f t="shared" ref="AL264:AL327" si="107">IF($B264=$AL$6,$AL$5,"")</f>
        <v/>
      </c>
      <c r="AM264" s="52">
        <f t="shared" ref="AM264:AM327" si="108">SUM(AE264:AL264)</f>
        <v>0</v>
      </c>
      <c r="AN264" s="26">
        <f t="shared" ref="AN264:AN327" si="109">O264-AM264</f>
        <v>130.07356608622752</v>
      </c>
    </row>
    <row r="265" spans="1:40" x14ac:dyDescent="0.2">
      <c r="A265" s="12">
        <v>44819</v>
      </c>
      <c r="B265" s="6">
        <v>15</v>
      </c>
      <c r="C265" s="6">
        <v>258</v>
      </c>
      <c r="D265" s="6">
        <v>5</v>
      </c>
      <c r="E265" s="6" t="s">
        <v>16</v>
      </c>
      <c r="F265" s="6">
        <v>37</v>
      </c>
      <c r="G265" s="6">
        <v>9</v>
      </c>
      <c r="H265" s="6" t="s">
        <v>25</v>
      </c>
      <c r="I265" s="6">
        <v>3</v>
      </c>
      <c r="J265" s="14">
        <v>14.472650092857414</v>
      </c>
      <c r="K265" s="14">
        <v>90.998260864252813</v>
      </c>
      <c r="L265" s="14">
        <f t="shared" ref="L265:L328" si="110">J265*K265</f>
        <v>1316.9859885468916</v>
      </c>
      <c r="M265" s="16">
        <v>0.76466966358126831</v>
      </c>
      <c r="N265" s="14">
        <f t="shared" ref="N265:N328" si="111">L265*M265</f>
        <v>1007.0592328033956</v>
      </c>
      <c r="O265" s="14">
        <f t="shared" ref="O265:O328" si="112">L265-N265</f>
        <v>309.92675574349596</v>
      </c>
      <c r="P265" s="14">
        <v>40.907929483211191</v>
      </c>
      <c r="Q265" s="14">
        <v>23.307938480501974</v>
      </c>
      <c r="R265" s="14">
        <f t="shared" si="96"/>
        <v>12.987012987012987</v>
      </c>
      <c r="S265" s="14">
        <v>35.032682973884711</v>
      </c>
      <c r="T265" s="14">
        <f t="shared" ref="T265:T328" si="113">L265*0.7</f>
        <v>921.89019198282404</v>
      </c>
      <c r="U265" s="14">
        <f t="shared" si="97"/>
        <v>63.698782604976962</v>
      </c>
      <c r="V265" s="14">
        <v>36.61251734610353</v>
      </c>
      <c r="W265" s="16">
        <f t="shared" ref="W265:W328" si="114">P265/U265</f>
        <v>0.64220896868466903</v>
      </c>
      <c r="X265" s="16">
        <f t="shared" ref="X265:X328" si="115">J265/V265</f>
        <v>0.39529240658448356</v>
      </c>
      <c r="Y265" s="16">
        <f t="shared" ref="Y265:Y328" si="116">N265/T265</f>
        <v>1.0923852336875262</v>
      </c>
      <c r="Z265" s="16">
        <f t="shared" si="98"/>
        <v>0.22720450063556827</v>
      </c>
      <c r="AA265" s="16">
        <f t="shared" si="99"/>
        <v>9.8611626091347597E-3</v>
      </c>
      <c r="AB265" s="14">
        <f t="shared" ref="AB265:AB328" si="117">T265/J265</f>
        <v>63.698782604976962</v>
      </c>
      <c r="AC265" s="16">
        <f t="shared" si="100"/>
        <v>0.25613608720799319</v>
      </c>
      <c r="AD265" s="16">
        <f t="shared" si="101"/>
        <v>3.1061780337046201E-2</v>
      </c>
      <c r="AE265" s="23" t="str">
        <f t="shared" ref="AE265:AE328" si="118">IF(B265=$AE$6,$AE$5, "")</f>
        <v/>
      </c>
      <c r="AF265" s="23" t="str">
        <f t="shared" si="102"/>
        <v/>
      </c>
      <c r="AG265" s="23">
        <f t="shared" si="103"/>
        <v>300</v>
      </c>
      <c r="AH265" s="23" t="str">
        <f t="shared" ref="AH265:AH328" si="119">IF(B265=$AH$6,$AH$5,"")</f>
        <v/>
      </c>
      <c r="AI265" s="23" t="str">
        <f t="shared" si="104"/>
        <v/>
      </c>
      <c r="AJ265" s="23" t="str">
        <f t="shared" si="105"/>
        <v/>
      </c>
      <c r="AK265" s="23" t="str">
        <f t="shared" si="106"/>
        <v/>
      </c>
      <c r="AL265" s="23" t="str">
        <f t="shared" si="107"/>
        <v/>
      </c>
      <c r="AM265" s="52">
        <f t="shared" si="108"/>
        <v>300</v>
      </c>
      <c r="AN265" s="26">
        <f t="shared" si="109"/>
        <v>9.9267557434959599</v>
      </c>
    </row>
    <row r="266" spans="1:40" x14ac:dyDescent="0.2">
      <c r="A266" s="12">
        <v>44820</v>
      </c>
      <c r="B266" s="6">
        <v>16</v>
      </c>
      <c r="C266" s="6">
        <v>259</v>
      </c>
      <c r="D266" s="6">
        <v>6</v>
      </c>
      <c r="E266" s="6" t="s">
        <v>17</v>
      </c>
      <c r="F266" s="6">
        <v>37</v>
      </c>
      <c r="G266" s="6">
        <v>9</v>
      </c>
      <c r="H266" s="6" t="s">
        <v>25</v>
      </c>
      <c r="I266" s="6">
        <v>3</v>
      </c>
      <c r="J266" s="14">
        <v>13.194071679123983</v>
      </c>
      <c r="K266" s="14">
        <v>31.161838168315221</v>
      </c>
      <c r="L266" s="14">
        <f t="shared" si="110"/>
        <v>411.15152644601261</v>
      </c>
      <c r="M266" s="16">
        <v>0.45745683920824937</v>
      </c>
      <c r="N266" s="14">
        <f t="shared" si="111"/>
        <v>188.08407772363987</v>
      </c>
      <c r="O266" s="14">
        <f t="shared" si="112"/>
        <v>223.06744872237275</v>
      </c>
      <c r="P266" s="14">
        <v>38.32948727508095</v>
      </c>
      <c r="Q266" s="14">
        <v>5.7491166397810254</v>
      </c>
      <c r="R266" s="14">
        <f t="shared" si="96"/>
        <v>12.987012987012987</v>
      </c>
      <c r="S266" s="14">
        <v>37.953801114125923</v>
      </c>
      <c r="T266" s="14">
        <f t="shared" si="113"/>
        <v>287.80606851220881</v>
      </c>
      <c r="U266" s="14">
        <f t="shared" si="97"/>
        <v>21.813286717820652</v>
      </c>
      <c r="V266" s="14">
        <v>38.590076114166024</v>
      </c>
      <c r="W266" s="16">
        <f t="shared" si="114"/>
        <v>1.7571624015635925</v>
      </c>
      <c r="X266" s="16">
        <f t="shared" si="115"/>
        <v>0.34190323025252012</v>
      </c>
      <c r="Y266" s="16">
        <f t="shared" si="116"/>
        <v>0.65350977029749913</v>
      </c>
      <c r="Z266" s="16">
        <f t="shared" si="98"/>
        <v>0.60486399183232264</v>
      </c>
      <c r="AA266" s="16">
        <f t="shared" si="99"/>
        <v>3.1586926356014108E-2</v>
      </c>
      <c r="AB266" s="14">
        <f t="shared" si="117"/>
        <v>21.813286717820652</v>
      </c>
      <c r="AC266" s="16">
        <f t="shared" si="100"/>
        <v>0.18449221797277096</v>
      </c>
      <c r="AD266" s="16">
        <f t="shared" si="101"/>
        <v>9.3224723270275658E-2</v>
      </c>
      <c r="AE266" s="23" t="str">
        <f t="shared" si="118"/>
        <v/>
      </c>
      <c r="AF266" s="23" t="str">
        <f t="shared" si="102"/>
        <v/>
      </c>
      <c r="AG266" s="23" t="str">
        <f t="shared" si="103"/>
        <v/>
      </c>
      <c r="AH266" s="23" t="str">
        <f t="shared" si="119"/>
        <v/>
      </c>
      <c r="AI266" s="23" t="str">
        <f t="shared" si="104"/>
        <v/>
      </c>
      <c r="AJ266" s="23" t="str">
        <f t="shared" si="105"/>
        <v/>
      </c>
      <c r="AK266" s="23" t="str">
        <f t="shared" si="106"/>
        <v/>
      </c>
      <c r="AL266" s="23" t="str">
        <f t="shared" si="107"/>
        <v/>
      </c>
      <c r="AM266" s="52">
        <f t="shared" si="108"/>
        <v>0</v>
      </c>
      <c r="AN266" s="26">
        <f t="shared" si="109"/>
        <v>223.06744872237275</v>
      </c>
    </row>
    <row r="267" spans="1:40" x14ac:dyDescent="0.2">
      <c r="A267" s="12">
        <v>44821</v>
      </c>
      <c r="B267" s="6">
        <v>17</v>
      </c>
      <c r="C267" s="6">
        <v>260</v>
      </c>
      <c r="D267" s="6">
        <v>7</v>
      </c>
      <c r="E267" s="6" t="s">
        <v>10</v>
      </c>
      <c r="F267" s="6">
        <v>37</v>
      </c>
      <c r="G267" s="6">
        <v>9</v>
      </c>
      <c r="H267" s="6" t="s">
        <v>25</v>
      </c>
      <c r="I267" s="6">
        <v>3</v>
      </c>
      <c r="J267" s="14">
        <v>25.615950892500479</v>
      </c>
      <c r="K267" s="14">
        <v>57.89273973891423</v>
      </c>
      <c r="L267" s="14">
        <f t="shared" si="110"/>
        <v>1482.977578184338</v>
      </c>
      <c r="M267" s="16">
        <v>0.76892469886394088</v>
      </c>
      <c r="N267" s="14">
        <f t="shared" si="111"/>
        <v>1140.2980877273685</v>
      </c>
      <c r="O267" s="14">
        <f t="shared" si="112"/>
        <v>342.67949045696946</v>
      </c>
      <c r="P267" s="14">
        <v>41.400538953282016</v>
      </c>
      <c r="Q267" s="14">
        <v>6.0230076725670223</v>
      </c>
      <c r="R267" s="14">
        <f t="shared" si="96"/>
        <v>12.987012987012987</v>
      </c>
      <c r="S267" s="14">
        <v>38.351233009201842</v>
      </c>
      <c r="T267" s="14">
        <f t="shared" si="113"/>
        <v>1038.0843047290366</v>
      </c>
      <c r="U267" s="14">
        <f t="shared" si="97"/>
        <v>40.524917817239967</v>
      </c>
      <c r="V267" s="14">
        <v>26.621761903291695</v>
      </c>
      <c r="W267" s="16">
        <f t="shared" si="114"/>
        <v>1.0216069811662776</v>
      </c>
      <c r="X267" s="16">
        <f t="shared" si="115"/>
        <v>0.96221846568814628</v>
      </c>
      <c r="Y267" s="16">
        <f t="shared" si="116"/>
        <v>1.0984638555199155</v>
      </c>
      <c r="Z267" s="16">
        <f t="shared" si="98"/>
        <v>0.63210370982178854</v>
      </c>
      <c r="AA267" s="16">
        <f t="shared" si="99"/>
        <v>8.7573899821961221E-3</v>
      </c>
      <c r="AB267" s="14">
        <f t="shared" si="117"/>
        <v>40.524917817239967</v>
      </c>
      <c r="AC267" s="16">
        <f t="shared" si="100"/>
        <v>0.10403735770201403</v>
      </c>
      <c r="AD267" s="16">
        <f t="shared" si="101"/>
        <v>2.7917171211698403E-2</v>
      </c>
      <c r="AE267" s="23" t="str">
        <f t="shared" si="118"/>
        <v/>
      </c>
      <c r="AF267" s="23" t="str">
        <f t="shared" si="102"/>
        <v/>
      </c>
      <c r="AG267" s="23" t="str">
        <f t="shared" si="103"/>
        <v/>
      </c>
      <c r="AH267" s="23" t="str">
        <f t="shared" si="119"/>
        <v/>
      </c>
      <c r="AI267" s="23" t="str">
        <f t="shared" si="104"/>
        <v/>
      </c>
      <c r="AJ267" s="23" t="str">
        <f t="shared" si="105"/>
        <v/>
      </c>
      <c r="AK267" s="23" t="str">
        <f t="shared" si="106"/>
        <v/>
      </c>
      <c r="AL267" s="23" t="str">
        <f t="shared" si="107"/>
        <v/>
      </c>
      <c r="AM267" s="52">
        <f t="shared" si="108"/>
        <v>0</v>
      </c>
      <c r="AN267" s="26">
        <f t="shared" si="109"/>
        <v>342.67949045696946</v>
      </c>
    </row>
    <row r="268" spans="1:40" x14ac:dyDescent="0.2">
      <c r="A268" s="12">
        <v>44822</v>
      </c>
      <c r="B268" s="6">
        <v>18</v>
      </c>
      <c r="C268" s="6">
        <v>261</v>
      </c>
      <c r="D268" s="6">
        <v>1</v>
      </c>
      <c r="E268" s="6" t="s">
        <v>12</v>
      </c>
      <c r="F268" s="6">
        <v>38</v>
      </c>
      <c r="G268" s="6">
        <v>9</v>
      </c>
      <c r="H268" s="6" t="s">
        <v>25</v>
      </c>
      <c r="I268" s="6">
        <v>3</v>
      </c>
      <c r="J268" s="14">
        <v>7.3750648175642244</v>
      </c>
      <c r="K268" s="14">
        <v>44.798293967093159</v>
      </c>
      <c r="L268" s="14">
        <f t="shared" si="110"/>
        <v>330.39032172360839</v>
      </c>
      <c r="M268" s="16">
        <v>0.19149280585271122</v>
      </c>
      <c r="N268" s="14">
        <f t="shared" si="111"/>
        <v>63.267369733433739</v>
      </c>
      <c r="O268" s="14">
        <f t="shared" si="112"/>
        <v>267.12295199017467</v>
      </c>
      <c r="P268" s="14">
        <v>18.907677113878165</v>
      </c>
      <c r="Q268" s="14">
        <v>6.2286905813594737</v>
      </c>
      <c r="R268" s="14">
        <f t="shared" si="96"/>
        <v>28.571428571428573</v>
      </c>
      <c r="S268" s="14">
        <v>12.764747417917564</v>
      </c>
      <c r="T268" s="14">
        <f t="shared" si="113"/>
        <v>231.27322520652586</v>
      </c>
      <c r="U268" s="14">
        <f t="shared" si="97"/>
        <v>31.358805776965209</v>
      </c>
      <c r="V268" s="14">
        <v>12.635944057385194</v>
      </c>
      <c r="W268" s="16">
        <f t="shared" si="114"/>
        <v>0.60294633821058674</v>
      </c>
      <c r="X268" s="16">
        <f t="shared" si="115"/>
        <v>0.58365760279334256</v>
      </c>
      <c r="Y268" s="16">
        <f t="shared" si="116"/>
        <v>0.27356115121815888</v>
      </c>
      <c r="Z268" s="16">
        <f t="shared" si="98"/>
        <v>0.2351832167978036</v>
      </c>
      <c r="AA268" s="16">
        <f t="shared" si="99"/>
        <v>8.6477801233325199E-2</v>
      </c>
      <c r="AB268" s="14">
        <f t="shared" si="117"/>
        <v>31.358805776965209</v>
      </c>
      <c r="AC268" s="16">
        <f t="shared" si="100"/>
        <v>0.13903856664574757</v>
      </c>
      <c r="AD268" s="16">
        <f t="shared" si="101"/>
        <v>5.7228302013324676E-2</v>
      </c>
      <c r="AE268" s="23" t="str">
        <f t="shared" si="118"/>
        <v/>
      </c>
      <c r="AF268" s="23">
        <f t="shared" si="102"/>
        <v>1000</v>
      </c>
      <c r="AG268" s="23" t="str">
        <f t="shared" si="103"/>
        <v/>
      </c>
      <c r="AH268" s="23" t="str">
        <f t="shared" si="119"/>
        <v/>
      </c>
      <c r="AI268" s="23" t="str">
        <f t="shared" si="104"/>
        <v/>
      </c>
      <c r="AJ268" s="23" t="str">
        <f t="shared" si="105"/>
        <v/>
      </c>
      <c r="AK268" s="23" t="str">
        <f t="shared" si="106"/>
        <v/>
      </c>
      <c r="AL268" s="23" t="str">
        <f t="shared" si="107"/>
        <v/>
      </c>
      <c r="AM268" s="52">
        <f t="shared" si="108"/>
        <v>1000</v>
      </c>
      <c r="AN268" s="26">
        <f t="shared" si="109"/>
        <v>-732.87704800982533</v>
      </c>
    </row>
    <row r="269" spans="1:40" x14ac:dyDescent="0.2">
      <c r="A269" s="12">
        <v>44823</v>
      </c>
      <c r="B269" s="6">
        <v>19</v>
      </c>
      <c r="C269" s="6">
        <v>262</v>
      </c>
      <c r="D269" s="6">
        <v>2</v>
      </c>
      <c r="E269" s="6" t="s">
        <v>13</v>
      </c>
      <c r="F269" s="6">
        <v>38</v>
      </c>
      <c r="G269" s="6">
        <v>9</v>
      </c>
      <c r="H269" s="6" t="s">
        <v>25</v>
      </c>
      <c r="I269" s="6">
        <v>3</v>
      </c>
      <c r="J269" s="14">
        <v>15.517459944893746</v>
      </c>
      <c r="K269" s="14">
        <v>80.853444310039606</v>
      </c>
      <c r="L269" s="14">
        <f t="shared" si="110"/>
        <v>1254.6400834877368</v>
      </c>
      <c r="M269" s="16">
        <v>0.60194685860296837</v>
      </c>
      <c r="N269" s="14">
        <f t="shared" si="111"/>
        <v>755.22665693280908</v>
      </c>
      <c r="O269" s="14">
        <f t="shared" si="112"/>
        <v>499.4134265549277</v>
      </c>
      <c r="P269" s="14">
        <v>37.070613171796708</v>
      </c>
      <c r="Q269" s="14">
        <v>7.7752941974805383</v>
      </c>
      <c r="R269" s="14">
        <f t="shared" si="96"/>
        <v>12.987012987012987</v>
      </c>
      <c r="S269" s="14">
        <v>33.470163825516522</v>
      </c>
      <c r="T269" s="14">
        <f t="shared" si="113"/>
        <v>878.24805844141565</v>
      </c>
      <c r="U269" s="14">
        <f t="shared" si="97"/>
        <v>56.597411017027717</v>
      </c>
      <c r="V269" s="14">
        <v>27.201199744572911</v>
      </c>
      <c r="W269" s="16">
        <f t="shared" si="114"/>
        <v>0.65498779017725317</v>
      </c>
      <c r="X269" s="16">
        <f t="shared" si="115"/>
        <v>0.57046968849194735</v>
      </c>
      <c r="Y269" s="16">
        <f t="shared" si="116"/>
        <v>0.85992408371852624</v>
      </c>
      <c r="Z269" s="16">
        <f t="shared" si="98"/>
        <v>0.27417261083241445</v>
      </c>
      <c r="AA269" s="16">
        <f t="shared" si="99"/>
        <v>1.0351186095466338E-2</v>
      </c>
      <c r="AB269" s="14">
        <f t="shared" si="117"/>
        <v>56.597411017027717</v>
      </c>
      <c r="AC269" s="16">
        <f t="shared" si="100"/>
        <v>9.6165281069109348E-2</v>
      </c>
      <c r="AD269" s="16">
        <f t="shared" si="101"/>
        <v>2.9546810802302131E-2</v>
      </c>
      <c r="AE269" s="23" t="str">
        <f t="shared" si="118"/>
        <v/>
      </c>
      <c r="AF269" s="23" t="str">
        <f t="shared" si="102"/>
        <v/>
      </c>
      <c r="AG269" s="23" t="str">
        <f t="shared" si="103"/>
        <v/>
      </c>
      <c r="AH269" s="23" t="str">
        <f t="shared" si="119"/>
        <v/>
      </c>
      <c r="AI269" s="23" t="str">
        <f t="shared" si="104"/>
        <v/>
      </c>
      <c r="AJ269" s="23" t="str">
        <f t="shared" si="105"/>
        <v/>
      </c>
      <c r="AK269" s="23" t="str">
        <f t="shared" si="106"/>
        <v/>
      </c>
      <c r="AL269" s="23" t="str">
        <f t="shared" si="107"/>
        <v/>
      </c>
      <c r="AM269" s="52">
        <f t="shared" si="108"/>
        <v>0</v>
      </c>
      <c r="AN269" s="26">
        <f t="shared" si="109"/>
        <v>499.4134265549277</v>
      </c>
    </row>
    <row r="270" spans="1:40" x14ac:dyDescent="0.2">
      <c r="A270" s="12">
        <v>44824</v>
      </c>
      <c r="B270" s="6">
        <v>20</v>
      </c>
      <c r="C270" s="6">
        <v>263</v>
      </c>
      <c r="D270" s="6">
        <v>3</v>
      </c>
      <c r="E270" s="6" t="s">
        <v>14</v>
      </c>
      <c r="F270" s="6">
        <v>38</v>
      </c>
      <c r="G270" s="6">
        <v>9</v>
      </c>
      <c r="H270" s="6" t="s">
        <v>25</v>
      </c>
      <c r="I270" s="6">
        <v>3</v>
      </c>
      <c r="J270" s="14">
        <v>7.5483984233942163</v>
      </c>
      <c r="K270" s="14">
        <v>36.220927620409775</v>
      </c>
      <c r="L270" s="14">
        <f t="shared" si="110"/>
        <v>273.40999294377718</v>
      </c>
      <c r="M270" s="16">
        <v>0.718082218342594</v>
      </c>
      <c r="N270" s="14">
        <f t="shared" si="111"/>
        <v>196.33085425010049</v>
      </c>
      <c r="O270" s="14">
        <f t="shared" si="112"/>
        <v>77.079138693676697</v>
      </c>
      <c r="P270" s="14">
        <v>29.557065993223699</v>
      </c>
      <c r="Q270" s="14">
        <v>14.686957446737686</v>
      </c>
      <c r="R270" s="14">
        <f t="shared" si="96"/>
        <v>12.987012987012987</v>
      </c>
      <c r="S270" s="14">
        <v>31.849324279734695</v>
      </c>
      <c r="T270" s="14">
        <f t="shared" si="113"/>
        <v>191.38699506064401</v>
      </c>
      <c r="U270" s="14">
        <f t="shared" si="97"/>
        <v>25.35464933428684</v>
      </c>
      <c r="V270" s="14">
        <v>34.862180991859837</v>
      </c>
      <c r="W270" s="16">
        <f t="shared" si="114"/>
        <v>1.1657454064353385</v>
      </c>
      <c r="X270" s="16">
        <f t="shared" si="115"/>
        <v>0.21652111854839873</v>
      </c>
      <c r="Y270" s="16">
        <f t="shared" si="116"/>
        <v>1.0258317404894202</v>
      </c>
      <c r="Z270" s="16">
        <f t="shared" si="98"/>
        <v>0.29771259400486333</v>
      </c>
      <c r="AA270" s="16">
        <f t="shared" si="99"/>
        <v>4.7500140163800005E-2</v>
      </c>
      <c r="AB270" s="14">
        <f t="shared" si="117"/>
        <v>25.35464933428684</v>
      </c>
      <c r="AC270" s="16">
        <f t="shared" si="100"/>
        <v>0.40548264253900212</v>
      </c>
      <c r="AD270" s="16">
        <f t="shared" si="101"/>
        <v>0.10810528786817855</v>
      </c>
      <c r="AE270" s="23" t="str">
        <f t="shared" si="118"/>
        <v/>
      </c>
      <c r="AF270" s="23" t="str">
        <f t="shared" si="102"/>
        <v/>
      </c>
      <c r="AG270" s="23" t="str">
        <f t="shared" si="103"/>
        <v/>
      </c>
      <c r="AH270" s="23" t="str">
        <f t="shared" si="119"/>
        <v/>
      </c>
      <c r="AI270" s="23">
        <f t="shared" si="104"/>
        <v>100</v>
      </c>
      <c r="AJ270" s="23" t="str">
        <f t="shared" si="105"/>
        <v/>
      </c>
      <c r="AK270" s="23" t="str">
        <f t="shared" si="106"/>
        <v/>
      </c>
      <c r="AL270" s="23" t="str">
        <f t="shared" si="107"/>
        <v/>
      </c>
      <c r="AM270" s="52">
        <f t="shared" si="108"/>
        <v>100</v>
      </c>
      <c r="AN270" s="26">
        <f t="shared" si="109"/>
        <v>-22.920861306323303</v>
      </c>
    </row>
    <row r="271" spans="1:40" x14ac:dyDescent="0.2">
      <c r="A271" s="12">
        <v>44825</v>
      </c>
      <c r="B271" s="6">
        <v>21</v>
      </c>
      <c r="C271" s="6">
        <v>264</v>
      </c>
      <c r="D271" s="6">
        <v>4</v>
      </c>
      <c r="E271" s="6" t="s">
        <v>15</v>
      </c>
      <c r="F271" s="6">
        <v>38</v>
      </c>
      <c r="G271" s="6">
        <v>9</v>
      </c>
      <c r="H271" s="6" t="s">
        <v>25</v>
      </c>
      <c r="I271" s="6">
        <v>3</v>
      </c>
      <c r="J271" s="14">
        <v>10.439374881440926</v>
      </c>
      <c r="K271" s="14">
        <v>34.645184657937982</v>
      </c>
      <c r="L271" s="14">
        <f t="shared" si="110"/>
        <v>361.67407048096032</v>
      </c>
      <c r="M271" s="16">
        <v>0.66037626221219159</v>
      </c>
      <c r="N271" s="14">
        <f t="shared" si="111"/>
        <v>238.84097080328533</v>
      </c>
      <c r="O271" s="14">
        <f t="shared" si="112"/>
        <v>122.83309967767499</v>
      </c>
      <c r="P271" s="14">
        <v>28.839684700337401</v>
      </c>
      <c r="Q271" s="14">
        <v>11.94518937237167</v>
      </c>
      <c r="R271" s="14">
        <f t="shared" si="96"/>
        <v>12.987012987012987</v>
      </c>
      <c r="S271" s="14">
        <v>40.720794145766817</v>
      </c>
      <c r="T271" s="14">
        <f t="shared" si="113"/>
        <v>253.17184933667221</v>
      </c>
      <c r="U271" s="14">
        <f t="shared" si="97"/>
        <v>24.251629260556587</v>
      </c>
      <c r="V271" s="14">
        <v>40.414660768322854</v>
      </c>
      <c r="W271" s="16">
        <f t="shared" si="114"/>
        <v>1.1891854518509786</v>
      </c>
      <c r="X271" s="16">
        <f t="shared" si="115"/>
        <v>0.25830663138024762</v>
      </c>
      <c r="Y271" s="16">
        <f t="shared" si="116"/>
        <v>0.94339466030313091</v>
      </c>
      <c r="Z271" s="16">
        <f t="shared" si="98"/>
        <v>0.43046076489466084</v>
      </c>
      <c r="AA271" s="16">
        <f t="shared" si="99"/>
        <v>3.5908056581835233E-2</v>
      </c>
      <c r="AB271" s="14">
        <f t="shared" si="117"/>
        <v>24.251629260556587</v>
      </c>
      <c r="AC271" s="16">
        <f t="shared" si="100"/>
        <v>0.34478642530874093</v>
      </c>
      <c r="AD271" s="16">
        <f t="shared" si="101"/>
        <v>7.9739431311694253E-2</v>
      </c>
      <c r="AE271" s="23" t="str">
        <f t="shared" si="118"/>
        <v/>
      </c>
      <c r="AF271" s="23" t="str">
        <f t="shared" si="102"/>
        <v/>
      </c>
      <c r="AG271" s="23" t="str">
        <f t="shared" si="103"/>
        <v/>
      </c>
      <c r="AH271" s="23" t="str">
        <f t="shared" si="119"/>
        <v/>
      </c>
      <c r="AI271" s="23" t="str">
        <f t="shared" si="104"/>
        <v/>
      </c>
      <c r="AJ271" s="23" t="str">
        <f t="shared" si="105"/>
        <v/>
      </c>
      <c r="AK271" s="23" t="str">
        <f t="shared" si="106"/>
        <v/>
      </c>
      <c r="AL271" s="23" t="str">
        <f t="shared" si="107"/>
        <v/>
      </c>
      <c r="AM271" s="52">
        <f t="shared" si="108"/>
        <v>0</v>
      </c>
      <c r="AN271" s="26">
        <f t="shared" si="109"/>
        <v>122.83309967767499</v>
      </c>
    </row>
    <row r="272" spans="1:40" x14ac:dyDescent="0.2">
      <c r="A272" s="12">
        <v>44826</v>
      </c>
      <c r="B272" s="6">
        <v>22</v>
      </c>
      <c r="C272" s="6">
        <v>265</v>
      </c>
      <c r="D272" s="6">
        <v>5</v>
      </c>
      <c r="E272" s="6" t="s">
        <v>16</v>
      </c>
      <c r="F272" s="6">
        <v>38</v>
      </c>
      <c r="G272" s="6">
        <v>9</v>
      </c>
      <c r="H272" s="6" t="s">
        <v>25</v>
      </c>
      <c r="I272" s="6">
        <v>3</v>
      </c>
      <c r="J272" s="14">
        <v>11.402937443698178</v>
      </c>
      <c r="K272" s="14">
        <v>64.646626586572879</v>
      </c>
      <c r="L272" s="14">
        <f t="shared" si="110"/>
        <v>737.16143891280603</v>
      </c>
      <c r="M272" s="16">
        <v>0.50690592477528662</v>
      </c>
      <c r="N272" s="14">
        <f t="shared" si="111"/>
        <v>373.67150090077689</v>
      </c>
      <c r="O272" s="14">
        <f t="shared" si="112"/>
        <v>363.48993801202914</v>
      </c>
      <c r="P272" s="14">
        <v>29.989457445150212</v>
      </c>
      <c r="Q272" s="14">
        <v>13.224401339115218</v>
      </c>
      <c r="R272" s="14">
        <f t="shared" si="96"/>
        <v>12.987012987012987</v>
      </c>
      <c r="S272" s="14">
        <v>26.857989951812545</v>
      </c>
      <c r="T272" s="14">
        <f t="shared" si="113"/>
        <v>516.01300723896418</v>
      </c>
      <c r="U272" s="14">
        <f t="shared" si="97"/>
        <v>45.252638610601011</v>
      </c>
      <c r="V272" s="14">
        <v>33.506875512848147</v>
      </c>
      <c r="W272" s="16">
        <f t="shared" si="114"/>
        <v>0.66271179683486559</v>
      </c>
      <c r="X272" s="16">
        <f t="shared" si="115"/>
        <v>0.34031634609815359</v>
      </c>
      <c r="Y272" s="16">
        <f t="shared" si="116"/>
        <v>0.72415132110755231</v>
      </c>
      <c r="Z272" s="16">
        <f t="shared" si="98"/>
        <v>0.25198392389492386</v>
      </c>
      <c r="AA272" s="16">
        <f t="shared" si="99"/>
        <v>1.7617596772515301E-2</v>
      </c>
      <c r="AB272" s="14">
        <f t="shared" si="117"/>
        <v>45.252638610601011</v>
      </c>
      <c r="AC272" s="16">
        <f t="shared" si="100"/>
        <v>0.20456444577824157</v>
      </c>
      <c r="AD272" s="16">
        <f t="shared" si="101"/>
        <v>4.0682346989527579E-2</v>
      </c>
      <c r="AE272" s="23" t="str">
        <f t="shared" si="118"/>
        <v/>
      </c>
      <c r="AF272" s="23" t="str">
        <f t="shared" si="102"/>
        <v/>
      </c>
      <c r="AG272" s="23" t="str">
        <f t="shared" si="103"/>
        <v/>
      </c>
      <c r="AH272" s="23" t="str">
        <f t="shared" si="119"/>
        <v/>
      </c>
      <c r="AI272" s="23" t="str">
        <f t="shared" si="104"/>
        <v/>
      </c>
      <c r="AJ272" s="23" t="str">
        <f t="shared" si="105"/>
        <v/>
      </c>
      <c r="AK272" s="23" t="str">
        <f t="shared" si="106"/>
        <v/>
      </c>
      <c r="AL272" s="23" t="str">
        <f t="shared" si="107"/>
        <v/>
      </c>
      <c r="AM272" s="52">
        <f t="shared" si="108"/>
        <v>0</v>
      </c>
      <c r="AN272" s="26">
        <f t="shared" si="109"/>
        <v>363.48993801202914</v>
      </c>
    </row>
    <row r="273" spans="1:40" x14ac:dyDescent="0.2">
      <c r="A273" s="12">
        <v>44827</v>
      </c>
      <c r="B273" s="6">
        <v>23</v>
      </c>
      <c r="C273" s="6">
        <v>266</v>
      </c>
      <c r="D273" s="6">
        <v>6</v>
      </c>
      <c r="E273" s="6" t="s">
        <v>17</v>
      </c>
      <c r="F273" s="6">
        <v>38</v>
      </c>
      <c r="G273" s="6">
        <v>9</v>
      </c>
      <c r="H273" s="6" t="s">
        <v>25</v>
      </c>
      <c r="I273" s="6">
        <v>3</v>
      </c>
      <c r="J273" s="14">
        <v>28.775035494762854</v>
      </c>
      <c r="K273" s="14">
        <v>50.668370080441548</v>
      </c>
      <c r="L273" s="14">
        <f t="shared" si="110"/>
        <v>1457.9841475264857</v>
      </c>
      <c r="M273" s="16">
        <v>0.85968229029045395</v>
      </c>
      <c r="N273" s="14">
        <f t="shared" si="111"/>
        <v>1253.4031511527444</v>
      </c>
      <c r="O273" s="14">
        <f t="shared" si="112"/>
        <v>204.5809963737413</v>
      </c>
      <c r="P273" s="14">
        <v>39.902658893420352</v>
      </c>
      <c r="Q273" s="14">
        <v>17.734068974601964</v>
      </c>
      <c r="R273" s="14">
        <f t="shared" si="96"/>
        <v>12.987012987012987</v>
      </c>
      <c r="S273" s="14">
        <v>34.017404994013688</v>
      </c>
      <c r="T273" s="14">
        <f t="shared" si="113"/>
        <v>1020.5889032685399</v>
      </c>
      <c r="U273" s="14">
        <f t="shared" si="97"/>
        <v>35.467859056309081</v>
      </c>
      <c r="V273" s="14">
        <v>34.272576017729605</v>
      </c>
      <c r="W273" s="16">
        <f t="shared" si="114"/>
        <v>1.1250371450408254</v>
      </c>
      <c r="X273" s="16">
        <f t="shared" si="115"/>
        <v>0.8395936004307698</v>
      </c>
      <c r="Y273" s="16">
        <f t="shared" si="116"/>
        <v>1.2281175575577916</v>
      </c>
      <c r="Z273" s="16">
        <f t="shared" si="98"/>
        <v>0.81129891288558909</v>
      </c>
      <c r="AA273" s="16">
        <f t="shared" si="99"/>
        <v>8.9075131640120007E-3</v>
      </c>
      <c r="AB273" s="14">
        <f t="shared" si="117"/>
        <v>35.467859056309081</v>
      </c>
      <c r="AC273" s="16">
        <f t="shared" si="100"/>
        <v>0.35000275213998794</v>
      </c>
      <c r="AD273" s="16">
        <f t="shared" si="101"/>
        <v>2.7368376371661122E-2</v>
      </c>
      <c r="AE273" s="23" t="str">
        <f t="shared" si="118"/>
        <v/>
      </c>
      <c r="AF273" s="23" t="str">
        <f t="shared" si="102"/>
        <v/>
      </c>
      <c r="AG273" s="23" t="str">
        <f t="shared" si="103"/>
        <v/>
      </c>
      <c r="AH273" s="23" t="str">
        <f t="shared" si="119"/>
        <v/>
      </c>
      <c r="AI273" s="23" t="str">
        <f t="shared" si="104"/>
        <v/>
      </c>
      <c r="AJ273" s="23" t="str">
        <f t="shared" si="105"/>
        <v/>
      </c>
      <c r="AK273" s="23" t="str">
        <f t="shared" si="106"/>
        <v/>
      </c>
      <c r="AL273" s="23" t="str">
        <f t="shared" si="107"/>
        <v/>
      </c>
      <c r="AM273" s="52">
        <f t="shared" si="108"/>
        <v>0</v>
      </c>
      <c r="AN273" s="26">
        <f t="shared" si="109"/>
        <v>204.5809963737413</v>
      </c>
    </row>
    <row r="274" spans="1:40" x14ac:dyDescent="0.2">
      <c r="A274" s="12">
        <v>44828</v>
      </c>
      <c r="B274" s="6">
        <v>24</v>
      </c>
      <c r="C274" s="6">
        <v>267</v>
      </c>
      <c r="D274" s="6">
        <v>7</v>
      </c>
      <c r="E274" s="6" t="s">
        <v>10</v>
      </c>
      <c r="F274" s="6">
        <v>38</v>
      </c>
      <c r="G274" s="6">
        <v>9</v>
      </c>
      <c r="H274" s="6" t="s">
        <v>25</v>
      </c>
      <c r="I274" s="6">
        <v>3</v>
      </c>
      <c r="J274" s="14">
        <v>9.0275980199937536</v>
      </c>
      <c r="K274" s="14">
        <v>32.424570477704677</v>
      </c>
      <c r="L274" s="14">
        <f t="shared" si="110"/>
        <v>292.71598824367464</v>
      </c>
      <c r="M274" s="16">
        <v>0.59623869395001861</v>
      </c>
      <c r="N274" s="14">
        <f t="shared" si="111"/>
        <v>174.52859852869756</v>
      </c>
      <c r="O274" s="14">
        <f t="shared" si="112"/>
        <v>118.18738971497709</v>
      </c>
      <c r="P274" s="14">
        <v>28.819168149104065</v>
      </c>
      <c r="Q274" s="14">
        <v>11.014273828806569</v>
      </c>
      <c r="R274" s="14">
        <f t="shared" si="96"/>
        <v>12.987012987012987</v>
      </c>
      <c r="S274" s="14">
        <v>37.775133039709317</v>
      </c>
      <c r="T274" s="14">
        <f t="shared" si="113"/>
        <v>204.90119177057224</v>
      </c>
      <c r="U274" s="14">
        <f t="shared" si="97"/>
        <v>22.697199334393272</v>
      </c>
      <c r="V274" s="14">
        <v>40.086359575792464</v>
      </c>
      <c r="W274" s="16">
        <f t="shared" si="114"/>
        <v>1.2697235339266779</v>
      </c>
      <c r="X274" s="16">
        <f t="shared" si="115"/>
        <v>0.2252037380177915</v>
      </c>
      <c r="Y274" s="16">
        <f t="shared" si="116"/>
        <v>0.8517695627857409</v>
      </c>
      <c r="Z274" s="16">
        <f t="shared" si="98"/>
        <v>0.39774061490988238</v>
      </c>
      <c r="AA274" s="16">
        <f t="shared" si="99"/>
        <v>4.4367282651475139E-2</v>
      </c>
      <c r="AB274" s="14">
        <f t="shared" si="117"/>
        <v>22.697199334393272</v>
      </c>
      <c r="AC274" s="16">
        <f t="shared" si="100"/>
        <v>0.33968912051988626</v>
      </c>
      <c r="AD274" s="16">
        <f t="shared" si="101"/>
        <v>9.8454369786980106E-2</v>
      </c>
      <c r="AE274" s="23" t="str">
        <f t="shared" si="118"/>
        <v/>
      </c>
      <c r="AF274" s="23" t="str">
        <f t="shared" si="102"/>
        <v/>
      </c>
      <c r="AG274" s="23" t="str">
        <f t="shared" si="103"/>
        <v/>
      </c>
      <c r="AH274" s="23" t="str">
        <f t="shared" si="119"/>
        <v/>
      </c>
      <c r="AI274" s="23" t="str">
        <f t="shared" si="104"/>
        <v/>
      </c>
      <c r="AJ274" s="23" t="str">
        <f t="shared" si="105"/>
        <v/>
      </c>
      <c r="AK274" s="23" t="str">
        <f t="shared" si="106"/>
        <v/>
      </c>
      <c r="AL274" s="23" t="str">
        <f t="shared" si="107"/>
        <v/>
      </c>
      <c r="AM274" s="52">
        <f t="shared" si="108"/>
        <v>0</v>
      </c>
      <c r="AN274" s="26">
        <f t="shared" si="109"/>
        <v>118.18738971497709</v>
      </c>
    </row>
    <row r="275" spans="1:40" x14ac:dyDescent="0.2">
      <c r="A275" s="12">
        <v>44829</v>
      </c>
      <c r="B275" s="6">
        <v>25</v>
      </c>
      <c r="C275" s="6">
        <v>268</v>
      </c>
      <c r="D275" s="6">
        <v>1</v>
      </c>
      <c r="E275" s="6" t="s">
        <v>12</v>
      </c>
      <c r="F275" s="6">
        <v>39</v>
      </c>
      <c r="G275" s="6">
        <v>9</v>
      </c>
      <c r="H275" s="6" t="s">
        <v>25</v>
      </c>
      <c r="I275" s="6">
        <v>3</v>
      </c>
      <c r="J275" s="14">
        <v>2.5619692149372537</v>
      </c>
      <c r="K275" s="14">
        <v>15.589600571331811</v>
      </c>
      <c r="L275" s="14">
        <f t="shared" si="110"/>
        <v>39.940076736920325</v>
      </c>
      <c r="M275" s="16">
        <v>0.28813804095547635</v>
      </c>
      <c r="N275" s="14">
        <f t="shared" si="111"/>
        <v>11.508255466587617</v>
      </c>
      <c r="O275" s="14">
        <f t="shared" si="112"/>
        <v>28.431821270332708</v>
      </c>
      <c r="P275" s="14">
        <v>22.348574912253486</v>
      </c>
      <c r="Q275" s="14">
        <v>3.1389309648440715</v>
      </c>
      <c r="R275" s="14">
        <f t="shared" si="96"/>
        <v>28.571428571428573</v>
      </c>
      <c r="S275" s="14">
        <v>16.439653390782027</v>
      </c>
      <c r="T275" s="14">
        <f t="shared" si="113"/>
        <v>27.958053715844226</v>
      </c>
      <c r="U275" s="14">
        <f t="shared" si="97"/>
        <v>10.912720399932269</v>
      </c>
      <c r="V275" s="14">
        <v>18.472181068904728</v>
      </c>
      <c r="W275" s="16">
        <f t="shared" si="114"/>
        <v>2.0479380111665093</v>
      </c>
      <c r="X275" s="16">
        <f t="shared" si="115"/>
        <v>0.13869337927019143</v>
      </c>
      <c r="Y275" s="16">
        <f t="shared" si="116"/>
        <v>0.41162577279353768</v>
      </c>
      <c r="Z275" s="16">
        <f t="shared" si="98"/>
        <v>0.23476906958535793</v>
      </c>
      <c r="AA275" s="16">
        <f t="shared" si="99"/>
        <v>0.71535737799465338</v>
      </c>
      <c r="AB275" s="14">
        <f t="shared" si="117"/>
        <v>10.912720399932269</v>
      </c>
      <c r="AC275" s="16">
        <f t="shared" si="100"/>
        <v>0.20134774784521078</v>
      </c>
      <c r="AD275" s="16">
        <f t="shared" si="101"/>
        <v>0.55955262829013597</v>
      </c>
      <c r="AE275" s="23" t="str">
        <f t="shared" si="118"/>
        <v/>
      </c>
      <c r="AF275" s="23">
        <f t="shared" si="102"/>
        <v>1000</v>
      </c>
      <c r="AG275" s="23" t="str">
        <f t="shared" si="103"/>
        <v/>
      </c>
      <c r="AH275" s="23" t="str">
        <f t="shared" si="119"/>
        <v/>
      </c>
      <c r="AI275" s="23" t="str">
        <f t="shared" si="104"/>
        <v/>
      </c>
      <c r="AJ275" s="23" t="str">
        <f t="shared" si="105"/>
        <v/>
      </c>
      <c r="AK275" s="23">
        <f t="shared" si="106"/>
        <v>83</v>
      </c>
      <c r="AL275" s="23" t="str">
        <f t="shared" si="107"/>
        <v/>
      </c>
      <c r="AM275" s="52">
        <f t="shared" si="108"/>
        <v>1083</v>
      </c>
      <c r="AN275" s="26">
        <f t="shared" si="109"/>
        <v>-1054.5681787296674</v>
      </c>
    </row>
    <row r="276" spans="1:40" x14ac:dyDescent="0.2">
      <c r="A276" s="12">
        <v>44830</v>
      </c>
      <c r="B276" s="6">
        <v>26</v>
      </c>
      <c r="C276" s="6">
        <v>269</v>
      </c>
      <c r="D276" s="6">
        <v>2</v>
      </c>
      <c r="E276" s="6" t="s">
        <v>13</v>
      </c>
      <c r="F276" s="6">
        <v>39</v>
      </c>
      <c r="G276" s="6">
        <v>9</v>
      </c>
      <c r="H276" s="6" t="s">
        <v>25</v>
      </c>
      <c r="I276" s="6">
        <v>3</v>
      </c>
      <c r="J276" s="14">
        <v>1.643906908402001</v>
      </c>
      <c r="K276" s="14">
        <v>42.536733220306523</v>
      </c>
      <c r="L276" s="14">
        <f t="shared" si="110"/>
        <v>69.926429601714787</v>
      </c>
      <c r="M276" s="16">
        <v>0.27762959198846454</v>
      </c>
      <c r="N276" s="14">
        <f t="shared" si="111"/>
        <v>19.413646119534164</v>
      </c>
      <c r="O276" s="14">
        <f t="shared" si="112"/>
        <v>50.512783482180623</v>
      </c>
      <c r="P276" s="14">
        <v>42.441261045627655</v>
      </c>
      <c r="Q276" s="14">
        <v>9.1314635374850592</v>
      </c>
      <c r="R276" s="14">
        <f t="shared" si="96"/>
        <v>12.987012987012987</v>
      </c>
      <c r="S276" s="14">
        <v>33.526087664837924</v>
      </c>
      <c r="T276" s="14">
        <f t="shared" si="113"/>
        <v>48.948500721200347</v>
      </c>
      <c r="U276" s="14">
        <f t="shared" si="97"/>
        <v>29.775713254214562</v>
      </c>
      <c r="V276" s="14">
        <v>29.487851680300221</v>
      </c>
      <c r="W276" s="16">
        <f t="shared" si="114"/>
        <v>1.4253650511502143</v>
      </c>
      <c r="X276" s="16">
        <f t="shared" si="115"/>
        <v>5.5748615607024245E-2</v>
      </c>
      <c r="Y276" s="16">
        <f t="shared" si="116"/>
        <v>0.39661370284066361</v>
      </c>
      <c r="Z276" s="16">
        <f t="shared" si="98"/>
        <v>5.5209656755050747E-2</v>
      </c>
      <c r="AA276" s="16">
        <f t="shared" si="99"/>
        <v>0.18572395388959642</v>
      </c>
      <c r="AB276" s="14">
        <f t="shared" si="117"/>
        <v>29.775713254214562</v>
      </c>
      <c r="AC276" s="16">
        <f t="shared" si="100"/>
        <v>0.21467242183811636</v>
      </c>
      <c r="AD276" s="16">
        <f t="shared" si="101"/>
        <v>0.60694162832799459</v>
      </c>
      <c r="AE276" s="23" t="str">
        <f t="shared" si="118"/>
        <v/>
      </c>
      <c r="AF276" s="23" t="str">
        <f t="shared" si="102"/>
        <v/>
      </c>
      <c r="AG276" s="23" t="str">
        <f t="shared" si="103"/>
        <v/>
      </c>
      <c r="AH276" s="23" t="str">
        <f t="shared" si="119"/>
        <v/>
      </c>
      <c r="AI276" s="23" t="str">
        <f t="shared" si="104"/>
        <v/>
      </c>
      <c r="AJ276" s="23" t="str">
        <f t="shared" si="105"/>
        <v/>
      </c>
      <c r="AK276" s="23" t="str">
        <f t="shared" si="106"/>
        <v/>
      </c>
      <c r="AL276" s="23" t="str">
        <f t="shared" si="107"/>
        <v/>
      </c>
      <c r="AM276" s="52">
        <f t="shared" si="108"/>
        <v>0</v>
      </c>
      <c r="AN276" s="26">
        <f t="shared" si="109"/>
        <v>50.512783482180623</v>
      </c>
    </row>
    <row r="277" spans="1:40" x14ac:dyDescent="0.2">
      <c r="A277" s="12">
        <v>44831</v>
      </c>
      <c r="B277" s="6">
        <v>27</v>
      </c>
      <c r="C277" s="6">
        <v>270</v>
      </c>
      <c r="D277" s="6">
        <v>3</v>
      </c>
      <c r="E277" s="6" t="s">
        <v>14</v>
      </c>
      <c r="F277" s="6">
        <v>39</v>
      </c>
      <c r="G277" s="6">
        <v>9</v>
      </c>
      <c r="H277" s="6" t="s">
        <v>25</v>
      </c>
      <c r="I277" s="6">
        <v>3</v>
      </c>
      <c r="J277" s="14">
        <v>23.061786643204861</v>
      </c>
      <c r="K277" s="14">
        <v>63.572803953301069</v>
      </c>
      <c r="L277" s="14">
        <f t="shared" si="110"/>
        <v>1466.1024410813197</v>
      </c>
      <c r="M277" s="16">
        <v>0.75552943524840555</v>
      </c>
      <c r="N277" s="14">
        <f t="shared" si="111"/>
        <v>1107.6835493264782</v>
      </c>
      <c r="O277" s="14">
        <f t="shared" si="112"/>
        <v>358.41889175484152</v>
      </c>
      <c r="P277" s="14">
        <v>49.255763988114204</v>
      </c>
      <c r="Q277" s="14">
        <v>17.721045274142821</v>
      </c>
      <c r="R277" s="14">
        <f t="shared" si="96"/>
        <v>12.987012987012987</v>
      </c>
      <c r="S277" s="14">
        <v>26.404376806861968</v>
      </c>
      <c r="T277" s="14">
        <f t="shared" si="113"/>
        <v>1026.2717087569238</v>
      </c>
      <c r="U277" s="14">
        <f t="shared" si="97"/>
        <v>44.500962767310746</v>
      </c>
      <c r="V277" s="14">
        <v>30.08050881315604</v>
      </c>
      <c r="W277" s="16">
        <f t="shared" si="114"/>
        <v>1.1068471539743003</v>
      </c>
      <c r="X277" s="16">
        <f t="shared" si="115"/>
        <v>0.76666876835269937</v>
      </c>
      <c r="Y277" s="16">
        <f t="shared" si="116"/>
        <v>1.0793277646405794</v>
      </c>
      <c r="Z277" s="16">
        <f t="shared" si="98"/>
        <v>0.51823118443058613</v>
      </c>
      <c r="AA277" s="16">
        <f t="shared" si="99"/>
        <v>8.8581893209552613E-3</v>
      </c>
      <c r="AB277" s="14">
        <f t="shared" si="117"/>
        <v>44.500962767310746</v>
      </c>
      <c r="AC277" s="16">
        <f t="shared" si="100"/>
        <v>0.27875198468766993</v>
      </c>
      <c r="AD277" s="16">
        <f t="shared" si="101"/>
        <v>3.3596399956735461E-2</v>
      </c>
      <c r="AE277" s="23" t="str">
        <f t="shared" si="118"/>
        <v/>
      </c>
      <c r="AF277" s="23" t="str">
        <f t="shared" si="102"/>
        <v/>
      </c>
      <c r="AG277" s="23" t="str">
        <f t="shared" si="103"/>
        <v/>
      </c>
      <c r="AH277" s="23" t="str">
        <f t="shared" si="119"/>
        <v/>
      </c>
      <c r="AI277" s="23" t="str">
        <f t="shared" si="104"/>
        <v/>
      </c>
      <c r="AJ277" s="23" t="str">
        <f t="shared" si="105"/>
        <v/>
      </c>
      <c r="AK277" s="23" t="str">
        <f t="shared" si="106"/>
        <v/>
      </c>
      <c r="AL277" s="23" t="str">
        <f t="shared" si="107"/>
        <v/>
      </c>
      <c r="AM277" s="52">
        <f t="shared" si="108"/>
        <v>0</v>
      </c>
      <c r="AN277" s="26">
        <f t="shared" si="109"/>
        <v>358.41889175484152</v>
      </c>
    </row>
    <row r="278" spans="1:40" x14ac:dyDescent="0.2">
      <c r="A278" s="12">
        <v>44832</v>
      </c>
      <c r="B278" s="6">
        <v>28</v>
      </c>
      <c r="C278" s="6">
        <v>271</v>
      </c>
      <c r="D278" s="6">
        <v>4</v>
      </c>
      <c r="E278" s="6" t="s">
        <v>15</v>
      </c>
      <c r="F278" s="6">
        <v>39</v>
      </c>
      <c r="G278" s="6">
        <v>9</v>
      </c>
      <c r="H278" s="6" t="s">
        <v>25</v>
      </c>
      <c r="I278" s="6">
        <v>3</v>
      </c>
      <c r="J278" s="14">
        <v>22.171831805741277</v>
      </c>
      <c r="K278" s="14">
        <v>66.791617907511608</v>
      </c>
      <c r="L278" s="14">
        <f t="shared" si="110"/>
        <v>1480.8925182786845</v>
      </c>
      <c r="M278" s="16">
        <v>0.50715118673757154</v>
      </c>
      <c r="N278" s="14">
        <f t="shared" si="111"/>
        <v>751.03639807582567</v>
      </c>
      <c r="O278" s="14">
        <f t="shared" si="112"/>
        <v>729.85612020285885</v>
      </c>
      <c r="P278" s="14">
        <v>35.563121251085867</v>
      </c>
      <c r="Q278" s="14">
        <v>14.683779033470909</v>
      </c>
      <c r="R278" s="14">
        <f t="shared" si="96"/>
        <v>12.987012987012987</v>
      </c>
      <c r="S278" s="14">
        <v>39.494092467102789</v>
      </c>
      <c r="T278" s="14">
        <f t="shared" si="113"/>
        <v>1036.6247627950791</v>
      </c>
      <c r="U278" s="14">
        <f t="shared" si="97"/>
        <v>46.754132535258123</v>
      </c>
      <c r="V278" s="14">
        <v>26.888454696069346</v>
      </c>
      <c r="W278" s="16">
        <f t="shared" si="114"/>
        <v>0.76064123795403726</v>
      </c>
      <c r="X278" s="16">
        <f t="shared" si="115"/>
        <v>0.82458557237141772</v>
      </c>
      <c r="Y278" s="16">
        <f t="shared" si="116"/>
        <v>0.72450169533938791</v>
      </c>
      <c r="Z278" s="16">
        <f t="shared" si="98"/>
        <v>0.47422186239945968</v>
      </c>
      <c r="AA278" s="16">
        <f t="shared" si="99"/>
        <v>8.7697201699070242E-3</v>
      </c>
      <c r="AB278" s="14">
        <f t="shared" si="117"/>
        <v>46.754132535258123</v>
      </c>
      <c r="AC278" s="16">
        <f t="shared" si="100"/>
        <v>0.21984463759814871</v>
      </c>
      <c r="AD278" s="16">
        <f t="shared" si="101"/>
        <v>2.4014653874018261E-2</v>
      </c>
      <c r="AE278" s="23" t="str">
        <f t="shared" si="118"/>
        <v/>
      </c>
      <c r="AF278" s="23" t="str">
        <f t="shared" si="102"/>
        <v/>
      </c>
      <c r="AG278" s="23" t="str">
        <f t="shared" si="103"/>
        <v/>
      </c>
      <c r="AH278" s="23" t="str">
        <f t="shared" si="119"/>
        <v/>
      </c>
      <c r="AI278" s="23" t="str">
        <f t="shared" si="104"/>
        <v/>
      </c>
      <c r="AJ278" s="23" t="str">
        <f t="shared" si="105"/>
        <v/>
      </c>
      <c r="AK278" s="23" t="str">
        <f t="shared" si="106"/>
        <v/>
      </c>
      <c r="AL278" s="23" t="str">
        <f t="shared" si="107"/>
        <v/>
      </c>
      <c r="AM278" s="52">
        <f t="shared" si="108"/>
        <v>0</v>
      </c>
      <c r="AN278" s="26">
        <f t="shared" si="109"/>
        <v>729.85612020285885</v>
      </c>
    </row>
    <row r="279" spans="1:40" x14ac:dyDescent="0.2">
      <c r="A279" s="12">
        <v>44833</v>
      </c>
      <c r="B279" s="6">
        <v>29</v>
      </c>
      <c r="C279" s="6">
        <v>272</v>
      </c>
      <c r="D279" s="6">
        <v>5</v>
      </c>
      <c r="E279" s="6" t="s">
        <v>16</v>
      </c>
      <c r="F279" s="6">
        <v>39</v>
      </c>
      <c r="G279" s="6">
        <v>9</v>
      </c>
      <c r="H279" s="6" t="s">
        <v>25</v>
      </c>
      <c r="I279" s="6">
        <v>3</v>
      </c>
      <c r="J279" s="14">
        <v>26.097562255478529</v>
      </c>
      <c r="K279" s="14">
        <v>59.356186629295941</v>
      </c>
      <c r="L279" s="14">
        <f t="shared" si="110"/>
        <v>1549.0517758058531</v>
      </c>
      <c r="M279" s="16">
        <v>0.50401449234396356</v>
      </c>
      <c r="N279" s="14">
        <f t="shared" si="111"/>
        <v>780.74454439730232</v>
      </c>
      <c r="O279" s="14">
        <f t="shared" si="112"/>
        <v>768.30723140855082</v>
      </c>
      <c r="P279" s="14">
        <v>27.731078091733721</v>
      </c>
      <c r="Q279" s="14">
        <v>17.117319846295032</v>
      </c>
      <c r="R279" s="14">
        <f t="shared" si="96"/>
        <v>12.987012987012987</v>
      </c>
      <c r="S279" s="14">
        <v>37.929614325188268</v>
      </c>
      <c r="T279" s="14">
        <f t="shared" si="113"/>
        <v>1084.3362430640971</v>
      </c>
      <c r="U279" s="14">
        <f t="shared" si="97"/>
        <v>41.549330640507158</v>
      </c>
      <c r="V279" s="14">
        <v>33.633445127675238</v>
      </c>
      <c r="W279" s="16">
        <f t="shared" si="114"/>
        <v>0.66742538722629186</v>
      </c>
      <c r="X279" s="16">
        <f t="shared" si="115"/>
        <v>0.77594079810766048</v>
      </c>
      <c r="Y279" s="16">
        <f t="shared" si="116"/>
        <v>0.72002070334851942</v>
      </c>
      <c r="Z279" s="16">
        <f t="shared" si="98"/>
        <v>0.62811029331085222</v>
      </c>
      <c r="AA279" s="16">
        <f t="shared" si="99"/>
        <v>8.3838469377544456E-3</v>
      </c>
      <c r="AB279" s="14">
        <f t="shared" si="117"/>
        <v>41.549330640507158</v>
      </c>
      <c r="AC279" s="16">
        <f t="shared" si="100"/>
        <v>0.28838307880524416</v>
      </c>
      <c r="AD279" s="16">
        <f t="shared" si="101"/>
        <v>1.7901969788780857E-2</v>
      </c>
      <c r="AE279" s="23" t="str">
        <f t="shared" si="118"/>
        <v/>
      </c>
      <c r="AF279" s="23" t="str">
        <f t="shared" si="102"/>
        <v/>
      </c>
      <c r="AG279" s="23" t="str">
        <f t="shared" si="103"/>
        <v/>
      </c>
      <c r="AH279" s="23" t="str">
        <f t="shared" si="119"/>
        <v/>
      </c>
      <c r="AI279" s="23" t="str">
        <f t="shared" si="104"/>
        <v/>
      </c>
      <c r="AJ279" s="23" t="str">
        <f t="shared" si="105"/>
        <v/>
      </c>
      <c r="AK279" s="23" t="str">
        <f t="shared" si="106"/>
        <v/>
      </c>
      <c r="AL279" s="23" t="str">
        <f t="shared" si="107"/>
        <v/>
      </c>
      <c r="AM279" s="52">
        <f t="shared" si="108"/>
        <v>0</v>
      </c>
      <c r="AN279" s="26">
        <f t="shared" si="109"/>
        <v>768.30723140855082</v>
      </c>
    </row>
    <row r="280" spans="1:40" x14ac:dyDescent="0.2">
      <c r="A280" s="12">
        <v>44834</v>
      </c>
      <c r="B280" s="6">
        <v>30</v>
      </c>
      <c r="C280" s="6">
        <v>273</v>
      </c>
      <c r="D280" s="6">
        <v>6</v>
      </c>
      <c r="E280" s="6" t="s">
        <v>17</v>
      </c>
      <c r="F280" s="6">
        <v>39</v>
      </c>
      <c r="G280" s="6">
        <v>9</v>
      </c>
      <c r="H280" s="6" t="s">
        <v>25</v>
      </c>
      <c r="I280" s="6">
        <v>3</v>
      </c>
      <c r="J280" s="14">
        <v>24.438487669449437</v>
      </c>
      <c r="K280" s="14">
        <v>75.284985985624829</v>
      </c>
      <c r="L280" s="14">
        <f t="shared" si="110"/>
        <v>1839.8512017043661</v>
      </c>
      <c r="M280" s="16">
        <v>0.60252266708608904</v>
      </c>
      <c r="N280" s="14">
        <f t="shared" si="111"/>
        <v>1108.5520530924607</v>
      </c>
      <c r="O280" s="14">
        <f t="shared" si="112"/>
        <v>731.29914861190537</v>
      </c>
      <c r="P280" s="14">
        <v>57.38020531250875</v>
      </c>
      <c r="Q280" s="14">
        <v>15.877413136078212</v>
      </c>
      <c r="R280" s="14">
        <f t="shared" si="96"/>
        <v>12.987012987012987</v>
      </c>
      <c r="S280" s="14">
        <v>34.869880516922294</v>
      </c>
      <c r="T280" s="14">
        <f t="shared" si="113"/>
        <v>1287.8958411930562</v>
      </c>
      <c r="U280" s="14">
        <f t="shared" si="97"/>
        <v>52.699490189937379</v>
      </c>
      <c r="V280" s="14">
        <v>31.207175706562648</v>
      </c>
      <c r="W280" s="16">
        <f t="shared" si="114"/>
        <v>1.0888189829863881</v>
      </c>
      <c r="X280" s="16">
        <f t="shared" si="115"/>
        <v>0.78310475447190808</v>
      </c>
      <c r="Y280" s="16">
        <f t="shared" si="116"/>
        <v>0.86074666726584159</v>
      </c>
      <c r="Z280" s="16">
        <f t="shared" si="98"/>
        <v>0.46373290484156915</v>
      </c>
      <c r="AA280" s="16">
        <f t="shared" si="99"/>
        <v>7.0587300619649714E-3</v>
      </c>
      <c r="AB280" s="14">
        <f t="shared" si="117"/>
        <v>52.699490189937379</v>
      </c>
      <c r="AC280" s="16">
        <f t="shared" si="100"/>
        <v>0.21089747083316054</v>
      </c>
      <c r="AD280" s="16">
        <f t="shared" si="101"/>
        <v>3.118741627548683E-2</v>
      </c>
      <c r="AE280" s="23" t="str">
        <f t="shared" si="118"/>
        <v/>
      </c>
      <c r="AF280" s="23" t="str">
        <f t="shared" si="102"/>
        <v/>
      </c>
      <c r="AG280" s="23" t="str">
        <f t="shared" si="103"/>
        <v/>
      </c>
      <c r="AH280" s="23" t="str">
        <f t="shared" si="119"/>
        <v/>
      </c>
      <c r="AI280" s="23" t="str">
        <f t="shared" si="104"/>
        <v/>
      </c>
      <c r="AJ280" s="23" t="str">
        <f t="shared" si="105"/>
        <v/>
      </c>
      <c r="AK280" s="23" t="str">
        <f t="shared" si="106"/>
        <v/>
      </c>
      <c r="AL280" s="23" t="str">
        <f t="shared" si="107"/>
        <v/>
      </c>
      <c r="AM280" s="52">
        <f t="shared" si="108"/>
        <v>0</v>
      </c>
      <c r="AN280" s="26">
        <f t="shared" si="109"/>
        <v>731.29914861190537</v>
      </c>
    </row>
    <row r="281" spans="1:40" x14ac:dyDescent="0.2">
      <c r="A281" s="12">
        <v>44835</v>
      </c>
      <c r="B281" s="6">
        <v>1</v>
      </c>
      <c r="C281" s="6">
        <v>274</v>
      </c>
      <c r="D281" s="6">
        <v>7</v>
      </c>
      <c r="E281" s="6" t="s">
        <v>10</v>
      </c>
      <c r="F281" s="6">
        <v>39</v>
      </c>
      <c r="G281" s="6">
        <v>10</v>
      </c>
      <c r="H281" s="6" t="s">
        <v>26</v>
      </c>
      <c r="I281" s="6">
        <v>4</v>
      </c>
      <c r="J281" s="14">
        <v>20.187420411645714</v>
      </c>
      <c r="K281" s="14">
        <v>100.03146751370534</v>
      </c>
      <c r="L281" s="14">
        <f t="shared" si="110"/>
        <v>2019.3772890930502</v>
      </c>
      <c r="M281" s="16">
        <v>0.53356174506473075</v>
      </c>
      <c r="N281" s="14">
        <f t="shared" si="111"/>
        <v>1077.462470312573</v>
      </c>
      <c r="O281" s="14">
        <f t="shared" si="112"/>
        <v>941.91481878047716</v>
      </c>
      <c r="P281" s="14">
        <v>42.359685910835786</v>
      </c>
      <c r="Q281" s="14">
        <v>18.08148098450938</v>
      </c>
      <c r="R281" s="14">
        <f t="shared" si="96"/>
        <v>12.987012987012987</v>
      </c>
      <c r="S281" s="14">
        <v>29.911660942882786</v>
      </c>
      <c r="T281" s="14">
        <f t="shared" si="113"/>
        <v>1413.5641023651351</v>
      </c>
      <c r="U281" s="14">
        <f t="shared" si="97"/>
        <v>70.022027259593727</v>
      </c>
      <c r="V281" s="14">
        <v>36.964830662688946</v>
      </c>
      <c r="W281" s="16">
        <f t="shared" si="114"/>
        <v>0.60494800805745141</v>
      </c>
      <c r="X281" s="16">
        <f t="shared" si="115"/>
        <v>0.54612506130109817</v>
      </c>
      <c r="Y281" s="16">
        <f t="shared" si="116"/>
        <v>0.76223106437818677</v>
      </c>
      <c r="Z281" s="16">
        <f t="shared" si="98"/>
        <v>0.28830099900999129</v>
      </c>
      <c r="AA281" s="16">
        <f t="shared" si="99"/>
        <v>6.4311969126114909E-3</v>
      </c>
      <c r="AB281" s="14">
        <f t="shared" si="117"/>
        <v>70.022027259593727</v>
      </c>
      <c r="AC281" s="16">
        <f t="shared" si="100"/>
        <v>0.1807579298187546</v>
      </c>
      <c r="AD281" s="16">
        <f t="shared" si="101"/>
        <v>2.0976608056169889E-2</v>
      </c>
      <c r="AE281" s="23">
        <f t="shared" si="118"/>
        <v>3000</v>
      </c>
      <c r="AF281" s="23" t="str">
        <f t="shared" si="102"/>
        <v/>
      </c>
      <c r="AG281" s="23" t="str">
        <f t="shared" si="103"/>
        <v/>
      </c>
      <c r="AH281" s="23" t="str">
        <f t="shared" si="119"/>
        <v/>
      </c>
      <c r="AI281" s="23" t="str">
        <f t="shared" si="104"/>
        <v/>
      </c>
      <c r="AJ281" s="23" t="str">
        <f t="shared" si="105"/>
        <v/>
      </c>
      <c r="AK281" s="23" t="str">
        <f t="shared" si="106"/>
        <v/>
      </c>
      <c r="AL281" s="23" t="str">
        <f t="shared" si="107"/>
        <v/>
      </c>
      <c r="AM281" s="52">
        <f t="shared" si="108"/>
        <v>3000</v>
      </c>
      <c r="AN281" s="26">
        <f t="shared" si="109"/>
        <v>-2058.0851812195228</v>
      </c>
    </row>
    <row r="282" spans="1:40" x14ac:dyDescent="0.2">
      <c r="A282" s="12">
        <v>44836</v>
      </c>
      <c r="B282" s="6">
        <v>2</v>
      </c>
      <c r="C282" s="6">
        <v>275</v>
      </c>
      <c r="D282" s="6">
        <v>1</v>
      </c>
      <c r="E282" s="6" t="s">
        <v>12</v>
      </c>
      <c r="F282" s="6">
        <v>40</v>
      </c>
      <c r="G282" s="6">
        <v>10</v>
      </c>
      <c r="H282" s="6" t="s">
        <v>26</v>
      </c>
      <c r="I282" s="6">
        <v>4</v>
      </c>
      <c r="J282" s="14">
        <v>5.1113973605569711</v>
      </c>
      <c r="K282" s="14">
        <v>8.6745226090677363</v>
      </c>
      <c r="L282" s="14">
        <f t="shared" si="110"/>
        <v>44.338931968080601</v>
      </c>
      <c r="M282" s="16">
        <v>0.28479634421455341</v>
      </c>
      <c r="N282" s="14">
        <f t="shared" si="111"/>
        <v>12.627565730887149</v>
      </c>
      <c r="O282" s="14">
        <f t="shared" si="112"/>
        <v>31.711366237193452</v>
      </c>
      <c r="P282" s="14">
        <v>14.355430737484147</v>
      </c>
      <c r="Q282" s="14">
        <v>7.8798364285797549</v>
      </c>
      <c r="R282" s="14">
        <f t="shared" si="96"/>
        <v>28.571428571428573</v>
      </c>
      <c r="S282" s="14">
        <v>16.634006944765741</v>
      </c>
      <c r="T282" s="14">
        <f t="shared" si="113"/>
        <v>31.037252377656419</v>
      </c>
      <c r="U282" s="14">
        <f t="shared" si="97"/>
        <v>6.0721658263474154</v>
      </c>
      <c r="V282" s="14">
        <v>15.667904446510217</v>
      </c>
      <c r="W282" s="16">
        <f t="shared" si="114"/>
        <v>2.3641368085165348</v>
      </c>
      <c r="X282" s="16">
        <f t="shared" si="115"/>
        <v>0.32623363117940485</v>
      </c>
      <c r="Y282" s="16">
        <f t="shared" si="116"/>
        <v>0.40685192030650491</v>
      </c>
      <c r="Z282" s="16">
        <f t="shared" si="98"/>
        <v>0.84177499540252598</v>
      </c>
      <c r="AA282" s="16">
        <f t="shared" si="99"/>
        <v>0.64438693724055007</v>
      </c>
      <c r="AB282" s="14">
        <f t="shared" si="117"/>
        <v>6.0721658263474154</v>
      </c>
      <c r="AC282" s="16">
        <f t="shared" si="100"/>
        <v>0.90838848242123749</v>
      </c>
      <c r="AD282" s="16">
        <f t="shared" si="101"/>
        <v>0.32376582159936906</v>
      </c>
      <c r="AE282" s="23" t="str">
        <f t="shared" si="118"/>
        <v/>
      </c>
      <c r="AF282" s="23">
        <f t="shared" si="102"/>
        <v>1000</v>
      </c>
      <c r="AG282" s="23" t="str">
        <f t="shared" si="103"/>
        <v/>
      </c>
      <c r="AH282" s="23" t="str">
        <f t="shared" si="119"/>
        <v/>
      </c>
      <c r="AI282" s="23" t="str">
        <f t="shared" si="104"/>
        <v/>
      </c>
      <c r="AJ282" s="23" t="str">
        <f t="shared" si="105"/>
        <v/>
      </c>
      <c r="AK282" s="23" t="str">
        <f t="shared" si="106"/>
        <v/>
      </c>
      <c r="AL282" s="23" t="str">
        <f t="shared" si="107"/>
        <v/>
      </c>
      <c r="AM282" s="52">
        <f t="shared" si="108"/>
        <v>1000</v>
      </c>
      <c r="AN282" s="26">
        <f t="shared" si="109"/>
        <v>-968.28863376280651</v>
      </c>
    </row>
    <row r="283" spans="1:40" x14ac:dyDescent="0.2">
      <c r="A283" s="12">
        <v>44837</v>
      </c>
      <c r="B283" s="6">
        <v>3</v>
      </c>
      <c r="C283" s="6">
        <v>276</v>
      </c>
      <c r="D283" s="6">
        <v>2</v>
      </c>
      <c r="E283" s="6" t="s">
        <v>13</v>
      </c>
      <c r="F283" s="6">
        <v>40</v>
      </c>
      <c r="G283" s="6">
        <v>10</v>
      </c>
      <c r="H283" s="6" t="s">
        <v>26</v>
      </c>
      <c r="I283" s="6">
        <v>4</v>
      </c>
      <c r="J283" s="14">
        <v>13.955314017811398</v>
      </c>
      <c r="K283" s="14">
        <v>69.33722967555444</v>
      </c>
      <c r="L283" s="14">
        <f t="shared" si="110"/>
        <v>967.62281324747335</v>
      </c>
      <c r="M283" s="16">
        <v>0.47968749996631865</v>
      </c>
      <c r="N283" s="14">
        <f t="shared" si="111"/>
        <v>464.15656819705652</v>
      </c>
      <c r="O283" s="14">
        <f t="shared" si="112"/>
        <v>503.46624505041683</v>
      </c>
      <c r="P283" s="14">
        <v>37.595833979584221</v>
      </c>
      <c r="Q283" s="14">
        <v>8.5711262306154268</v>
      </c>
      <c r="R283" s="14">
        <f t="shared" si="96"/>
        <v>12.987012987012987</v>
      </c>
      <c r="S283" s="14">
        <v>43.534767788284078</v>
      </c>
      <c r="T283" s="14">
        <f t="shared" si="113"/>
        <v>677.33596927323129</v>
      </c>
      <c r="U283" s="14">
        <f t="shared" si="97"/>
        <v>48.536060772888106</v>
      </c>
      <c r="V283" s="14">
        <v>30.747146219783012</v>
      </c>
      <c r="W283" s="16">
        <f t="shared" si="114"/>
        <v>0.77459590623771801</v>
      </c>
      <c r="X283" s="16">
        <f t="shared" si="115"/>
        <v>0.45387347229098007</v>
      </c>
      <c r="Y283" s="16">
        <f t="shared" si="116"/>
        <v>0.68526785709474092</v>
      </c>
      <c r="Z283" s="16">
        <f t="shared" si="98"/>
        <v>0.28752465271361155</v>
      </c>
      <c r="AA283" s="16">
        <f t="shared" si="99"/>
        <v>1.3421565520377522E-2</v>
      </c>
      <c r="AB283" s="14">
        <f t="shared" si="117"/>
        <v>48.536060772888106</v>
      </c>
      <c r="AC283" s="16">
        <f t="shared" si="100"/>
        <v>0.12361506611558878</v>
      </c>
      <c r="AD283" s="16">
        <f t="shared" si="101"/>
        <v>3.8853811076867341E-2</v>
      </c>
      <c r="AE283" s="23" t="str">
        <f t="shared" si="118"/>
        <v/>
      </c>
      <c r="AF283" s="23" t="str">
        <f t="shared" si="102"/>
        <v/>
      </c>
      <c r="AG283" s="23" t="str">
        <f t="shared" si="103"/>
        <v/>
      </c>
      <c r="AH283" s="23" t="str">
        <f t="shared" si="119"/>
        <v/>
      </c>
      <c r="AI283" s="23" t="str">
        <f t="shared" si="104"/>
        <v/>
      </c>
      <c r="AJ283" s="23" t="str">
        <f t="shared" si="105"/>
        <v/>
      </c>
      <c r="AK283" s="23" t="str">
        <f t="shared" si="106"/>
        <v/>
      </c>
      <c r="AL283" s="23" t="str">
        <f t="shared" si="107"/>
        <v/>
      </c>
      <c r="AM283" s="52">
        <f t="shared" si="108"/>
        <v>0</v>
      </c>
      <c r="AN283" s="26">
        <f t="shared" si="109"/>
        <v>503.46624505041683</v>
      </c>
    </row>
    <row r="284" spans="1:40" x14ac:dyDescent="0.2">
      <c r="A284" s="12">
        <v>44838</v>
      </c>
      <c r="B284" s="6">
        <v>4</v>
      </c>
      <c r="C284" s="6">
        <v>277</v>
      </c>
      <c r="D284" s="6">
        <v>3</v>
      </c>
      <c r="E284" s="6" t="s">
        <v>14</v>
      </c>
      <c r="F284" s="6">
        <v>40</v>
      </c>
      <c r="G284" s="6">
        <v>10</v>
      </c>
      <c r="H284" s="6" t="s">
        <v>26</v>
      </c>
      <c r="I284" s="6">
        <v>4</v>
      </c>
      <c r="J284" s="14">
        <v>6.957773417567136</v>
      </c>
      <c r="K284" s="14">
        <v>27.321101470874595</v>
      </c>
      <c r="L284" s="14">
        <f t="shared" si="110"/>
        <v>190.09403355270564</v>
      </c>
      <c r="M284" s="16">
        <v>0.49072420050857396</v>
      </c>
      <c r="N284" s="14">
        <f t="shared" si="111"/>
        <v>93.283742636601502</v>
      </c>
      <c r="O284" s="14">
        <f t="shared" si="112"/>
        <v>96.810290916104137</v>
      </c>
      <c r="P284" s="14">
        <v>41.795451029286255</v>
      </c>
      <c r="Q284" s="14">
        <v>13.65715537857287</v>
      </c>
      <c r="R284" s="14">
        <f t="shared" si="96"/>
        <v>12.987012987012987</v>
      </c>
      <c r="S284" s="14">
        <v>43.731360407617402</v>
      </c>
      <c r="T284" s="14">
        <f t="shared" si="113"/>
        <v>133.06582348689395</v>
      </c>
      <c r="U284" s="14">
        <f t="shared" si="97"/>
        <v>19.124771029612216</v>
      </c>
      <c r="V284" s="14">
        <v>35.306680080747029</v>
      </c>
      <c r="W284" s="16">
        <f t="shared" si="114"/>
        <v>2.1854092247468713</v>
      </c>
      <c r="X284" s="16">
        <f t="shared" si="115"/>
        <v>0.19706677041439694</v>
      </c>
      <c r="Y284" s="16">
        <f t="shared" si="116"/>
        <v>0.70103457215510556</v>
      </c>
      <c r="Z284" s="16">
        <f t="shared" si="98"/>
        <v>0.36380950165593778</v>
      </c>
      <c r="AA284" s="16">
        <f t="shared" si="99"/>
        <v>6.8318887996093772E-2</v>
      </c>
      <c r="AB284" s="14">
        <f t="shared" si="117"/>
        <v>19.124771029612216</v>
      </c>
      <c r="AC284" s="16">
        <f t="shared" si="100"/>
        <v>0.49987572401251662</v>
      </c>
      <c r="AD284" s="16">
        <f t="shared" si="101"/>
        <v>0.21986724279643427</v>
      </c>
      <c r="AE284" s="23" t="str">
        <f t="shared" si="118"/>
        <v/>
      </c>
      <c r="AF284" s="23" t="str">
        <f t="shared" si="102"/>
        <v/>
      </c>
      <c r="AG284" s="23" t="str">
        <f t="shared" si="103"/>
        <v/>
      </c>
      <c r="AH284" s="23" t="str">
        <f t="shared" si="119"/>
        <v/>
      </c>
      <c r="AI284" s="23" t="str">
        <f t="shared" si="104"/>
        <v/>
      </c>
      <c r="AJ284" s="23" t="str">
        <f t="shared" si="105"/>
        <v/>
      </c>
      <c r="AK284" s="23" t="str">
        <f t="shared" si="106"/>
        <v/>
      </c>
      <c r="AL284" s="23" t="str">
        <f t="shared" si="107"/>
        <v/>
      </c>
      <c r="AM284" s="52">
        <f t="shared" si="108"/>
        <v>0</v>
      </c>
      <c r="AN284" s="26">
        <f t="shared" si="109"/>
        <v>96.810290916104137</v>
      </c>
    </row>
    <row r="285" spans="1:40" x14ac:dyDescent="0.2">
      <c r="A285" s="12">
        <v>44839</v>
      </c>
      <c r="B285" s="6">
        <v>5</v>
      </c>
      <c r="C285" s="6">
        <v>278</v>
      </c>
      <c r="D285" s="6">
        <v>4</v>
      </c>
      <c r="E285" s="6" t="s">
        <v>15</v>
      </c>
      <c r="F285" s="6">
        <v>40</v>
      </c>
      <c r="G285" s="6">
        <v>10</v>
      </c>
      <c r="H285" s="6" t="s">
        <v>26</v>
      </c>
      <c r="I285" s="6">
        <v>4</v>
      </c>
      <c r="J285" s="14">
        <v>15.329344088434178</v>
      </c>
      <c r="K285" s="14">
        <v>69.548842543177983</v>
      </c>
      <c r="L285" s="14">
        <f t="shared" si="110"/>
        <v>1066.1381382967049</v>
      </c>
      <c r="M285" s="16">
        <v>0.62836629938781985</v>
      </c>
      <c r="N285" s="14">
        <f t="shared" si="111"/>
        <v>669.9252765977202</v>
      </c>
      <c r="O285" s="14">
        <f t="shared" si="112"/>
        <v>396.21286169898474</v>
      </c>
      <c r="P285" s="14">
        <v>41.842220540901309</v>
      </c>
      <c r="Q285" s="14">
        <v>15.405999996847992</v>
      </c>
      <c r="R285" s="14">
        <f t="shared" si="96"/>
        <v>12.987012987012987</v>
      </c>
      <c r="S285" s="14">
        <v>37.879189393556082</v>
      </c>
      <c r="T285" s="14">
        <f t="shared" si="113"/>
        <v>746.29669680769337</v>
      </c>
      <c r="U285" s="14">
        <f t="shared" si="97"/>
        <v>48.684189780224585</v>
      </c>
      <c r="V285" s="14">
        <v>35.622562532196746</v>
      </c>
      <c r="W285" s="16">
        <f t="shared" si="114"/>
        <v>0.85946219357434039</v>
      </c>
      <c r="X285" s="16">
        <f t="shared" si="115"/>
        <v>0.43032682094610836</v>
      </c>
      <c r="Y285" s="16">
        <f t="shared" si="116"/>
        <v>0.89766614198259997</v>
      </c>
      <c r="Z285" s="16">
        <f t="shared" si="98"/>
        <v>0.3148731478871386</v>
      </c>
      <c r="AA285" s="16">
        <f t="shared" si="99"/>
        <v>1.2181360482762053E-2</v>
      </c>
      <c r="AB285" s="14">
        <f t="shared" si="117"/>
        <v>48.684189780224585</v>
      </c>
      <c r="AC285" s="16">
        <f t="shared" si="100"/>
        <v>0.22151339164679112</v>
      </c>
      <c r="AD285" s="16">
        <f t="shared" si="101"/>
        <v>3.9246528229212145E-2</v>
      </c>
      <c r="AE285" s="23" t="str">
        <f t="shared" si="118"/>
        <v/>
      </c>
      <c r="AF285" s="23" t="str">
        <f t="shared" si="102"/>
        <v/>
      </c>
      <c r="AG285" s="23" t="str">
        <f t="shared" si="103"/>
        <v/>
      </c>
      <c r="AH285" s="23" t="str">
        <f t="shared" si="119"/>
        <v/>
      </c>
      <c r="AI285" s="23" t="str">
        <f t="shared" si="104"/>
        <v/>
      </c>
      <c r="AJ285" s="23" t="str">
        <f t="shared" si="105"/>
        <v/>
      </c>
      <c r="AK285" s="23" t="str">
        <f t="shared" si="106"/>
        <v/>
      </c>
      <c r="AL285" s="23">
        <f t="shared" si="107"/>
        <v>1000</v>
      </c>
      <c r="AM285" s="52">
        <f t="shared" si="108"/>
        <v>1000</v>
      </c>
      <c r="AN285" s="26">
        <f t="shared" si="109"/>
        <v>-603.78713830101526</v>
      </c>
    </row>
    <row r="286" spans="1:40" x14ac:dyDescent="0.2">
      <c r="A286" s="12">
        <v>44840</v>
      </c>
      <c r="B286" s="6">
        <v>6</v>
      </c>
      <c r="C286" s="6">
        <v>279</v>
      </c>
      <c r="D286" s="6">
        <v>5</v>
      </c>
      <c r="E286" s="6" t="s">
        <v>16</v>
      </c>
      <c r="F286" s="6">
        <v>40</v>
      </c>
      <c r="G286" s="6">
        <v>10</v>
      </c>
      <c r="H286" s="6" t="s">
        <v>26</v>
      </c>
      <c r="I286" s="6">
        <v>4</v>
      </c>
      <c r="J286" s="14">
        <v>16.052381473462148</v>
      </c>
      <c r="K286" s="14">
        <v>41.643951038423971</v>
      </c>
      <c r="L286" s="14">
        <f t="shared" si="110"/>
        <v>668.4845881309617</v>
      </c>
      <c r="M286" s="16">
        <v>0.56263845405265789</v>
      </c>
      <c r="N286" s="14">
        <f t="shared" si="111"/>
        <v>376.11513522403203</v>
      </c>
      <c r="O286" s="14">
        <f t="shared" si="112"/>
        <v>292.36945290692967</v>
      </c>
      <c r="P286" s="14">
        <v>39.36729852234977</v>
      </c>
      <c r="Q286" s="14">
        <v>13.293259293848806</v>
      </c>
      <c r="R286" s="14">
        <f t="shared" si="96"/>
        <v>12.987012987012987</v>
      </c>
      <c r="S286" s="14">
        <v>42.493817761730526</v>
      </c>
      <c r="T286" s="14">
        <f t="shared" si="113"/>
        <v>467.93921169167317</v>
      </c>
      <c r="U286" s="14">
        <f t="shared" si="97"/>
        <v>29.150765726896775</v>
      </c>
      <c r="V286" s="14">
        <v>31.817519523694834</v>
      </c>
      <c r="W286" s="16">
        <f t="shared" si="114"/>
        <v>1.3504721931206913</v>
      </c>
      <c r="X286" s="16">
        <f t="shared" si="115"/>
        <v>0.50451391917926769</v>
      </c>
      <c r="Y286" s="16">
        <f t="shared" si="116"/>
        <v>0.80376922007522555</v>
      </c>
      <c r="Z286" s="16">
        <f t="shared" si="98"/>
        <v>0.55066757504249597</v>
      </c>
      <c r="AA286" s="16">
        <f t="shared" si="99"/>
        <v>1.9427542859774535E-2</v>
      </c>
      <c r="AB286" s="14">
        <f t="shared" si="117"/>
        <v>29.150765726896775</v>
      </c>
      <c r="AC286" s="16">
        <f t="shared" si="100"/>
        <v>0.31921224961539801</v>
      </c>
      <c r="AD286" s="16">
        <f t="shared" si="101"/>
        <v>5.8890360707369652E-2</v>
      </c>
      <c r="AE286" s="23" t="str">
        <f t="shared" si="118"/>
        <v/>
      </c>
      <c r="AF286" s="23" t="str">
        <f t="shared" si="102"/>
        <v/>
      </c>
      <c r="AG286" s="23" t="str">
        <f t="shared" si="103"/>
        <v/>
      </c>
      <c r="AH286" s="23" t="str">
        <f t="shared" si="119"/>
        <v/>
      </c>
      <c r="AI286" s="23" t="str">
        <f t="shared" si="104"/>
        <v/>
      </c>
      <c r="AJ286" s="23" t="str">
        <f t="shared" si="105"/>
        <v/>
      </c>
      <c r="AK286" s="23" t="str">
        <f t="shared" si="106"/>
        <v/>
      </c>
      <c r="AL286" s="23" t="str">
        <f t="shared" si="107"/>
        <v/>
      </c>
      <c r="AM286" s="52">
        <f t="shared" si="108"/>
        <v>0</v>
      </c>
      <c r="AN286" s="26">
        <f t="shared" si="109"/>
        <v>292.36945290692967</v>
      </c>
    </row>
    <row r="287" spans="1:40" x14ac:dyDescent="0.2">
      <c r="A287" s="12">
        <v>44841</v>
      </c>
      <c r="B287" s="6">
        <v>7</v>
      </c>
      <c r="C287" s="6">
        <v>280</v>
      </c>
      <c r="D287" s="6">
        <v>6</v>
      </c>
      <c r="E287" s="6" t="s">
        <v>17</v>
      </c>
      <c r="F287" s="6">
        <v>40</v>
      </c>
      <c r="G287" s="6">
        <v>10</v>
      </c>
      <c r="H287" s="6" t="s">
        <v>26</v>
      </c>
      <c r="I287" s="6">
        <v>4</v>
      </c>
      <c r="J287" s="14">
        <v>16.899203747504032</v>
      </c>
      <c r="K287" s="14">
        <v>88.364187470534503</v>
      </c>
      <c r="L287" s="14">
        <f t="shared" si="110"/>
        <v>1493.2844080472055</v>
      </c>
      <c r="M287" s="16">
        <v>0.80420856982076616</v>
      </c>
      <c r="N287" s="14">
        <f t="shared" si="111"/>
        <v>1200.9121181312926</v>
      </c>
      <c r="O287" s="14">
        <f t="shared" si="112"/>
        <v>292.37228991591292</v>
      </c>
      <c r="P287" s="14">
        <v>41.530239663694928</v>
      </c>
      <c r="Q287" s="14">
        <v>11.358676180235387</v>
      </c>
      <c r="R287" s="14">
        <f t="shared" si="96"/>
        <v>12.987012987012987</v>
      </c>
      <c r="S287" s="14">
        <v>35.622054665187662</v>
      </c>
      <c r="T287" s="14">
        <f t="shared" si="113"/>
        <v>1045.2990856330439</v>
      </c>
      <c r="U287" s="14">
        <f t="shared" si="97"/>
        <v>61.854931229374152</v>
      </c>
      <c r="V287" s="14">
        <v>30.552696445060292</v>
      </c>
      <c r="W287" s="16">
        <f t="shared" si="114"/>
        <v>0.67141356134873087</v>
      </c>
      <c r="X287" s="16">
        <f t="shared" si="115"/>
        <v>0.55311660553077846</v>
      </c>
      <c r="Y287" s="16">
        <f t="shared" si="116"/>
        <v>1.1488693854582375</v>
      </c>
      <c r="Z287" s="16">
        <f t="shared" si="98"/>
        <v>0.27320705741046569</v>
      </c>
      <c r="AA287" s="16">
        <f t="shared" si="99"/>
        <v>8.6969454157740343E-3</v>
      </c>
      <c r="AB287" s="14">
        <f t="shared" si="117"/>
        <v>61.854931229374152</v>
      </c>
      <c r="AC287" s="16">
        <f t="shared" si="100"/>
        <v>0.12854388757915072</v>
      </c>
      <c r="AD287" s="16">
        <f t="shared" si="101"/>
        <v>2.7811339514355982E-2</v>
      </c>
      <c r="AE287" s="23" t="str">
        <f t="shared" si="118"/>
        <v/>
      </c>
      <c r="AF287" s="23" t="str">
        <f t="shared" si="102"/>
        <v/>
      </c>
      <c r="AG287" s="23" t="str">
        <f t="shared" si="103"/>
        <v/>
      </c>
      <c r="AH287" s="23" t="str">
        <f t="shared" si="119"/>
        <v/>
      </c>
      <c r="AI287" s="23" t="str">
        <f t="shared" si="104"/>
        <v/>
      </c>
      <c r="AJ287" s="23" t="str">
        <f t="shared" si="105"/>
        <v/>
      </c>
      <c r="AK287" s="23" t="str">
        <f t="shared" si="106"/>
        <v/>
      </c>
      <c r="AL287" s="23" t="str">
        <f t="shared" si="107"/>
        <v/>
      </c>
      <c r="AM287" s="52">
        <f t="shared" si="108"/>
        <v>0</v>
      </c>
      <c r="AN287" s="26">
        <f t="shared" si="109"/>
        <v>292.37228991591292</v>
      </c>
    </row>
    <row r="288" spans="1:40" x14ac:dyDescent="0.2">
      <c r="A288" s="12">
        <v>44842</v>
      </c>
      <c r="B288" s="6">
        <v>8</v>
      </c>
      <c r="C288" s="6">
        <v>281</v>
      </c>
      <c r="D288" s="6">
        <v>7</v>
      </c>
      <c r="E288" s="6" t="s">
        <v>10</v>
      </c>
      <c r="F288" s="6">
        <v>40</v>
      </c>
      <c r="G288" s="6">
        <v>10</v>
      </c>
      <c r="H288" s="6" t="s">
        <v>26</v>
      </c>
      <c r="I288" s="6">
        <v>4</v>
      </c>
      <c r="J288" s="14">
        <v>15.129784898696691</v>
      </c>
      <c r="K288" s="14">
        <v>40.13515993008258</v>
      </c>
      <c r="L288" s="14">
        <f t="shared" si="110"/>
        <v>607.23633661693998</v>
      </c>
      <c r="M288" s="16">
        <v>0.71567615226118408</v>
      </c>
      <c r="N288" s="14">
        <f t="shared" si="111"/>
        <v>434.58456490318878</v>
      </c>
      <c r="O288" s="14">
        <f t="shared" si="112"/>
        <v>172.6517717137512</v>
      </c>
      <c r="P288" s="14">
        <v>27.255178555790277</v>
      </c>
      <c r="Q288" s="14">
        <v>11.759602766042256</v>
      </c>
      <c r="R288" s="14">
        <f t="shared" si="96"/>
        <v>12.987012987012987</v>
      </c>
      <c r="S288" s="14">
        <v>33.287168313498285</v>
      </c>
      <c r="T288" s="14">
        <f t="shared" si="113"/>
        <v>425.06543563185795</v>
      </c>
      <c r="U288" s="14">
        <f t="shared" si="97"/>
        <v>28.094611951057804</v>
      </c>
      <c r="V288" s="14">
        <v>39.3211852355427</v>
      </c>
      <c r="W288" s="16">
        <f t="shared" si="114"/>
        <v>0.97012119630874916</v>
      </c>
      <c r="X288" s="16">
        <f t="shared" si="115"/>
        <v>0.38477438581939721</v>
      </c>
      <c r="Y288" s="16">
        <f t="shared" si="116"/>
        <v>1.022394503230263</v>
      </c>
      <c r="Z288" s="16">
        <f t="shared" si="98"/>
        <v>0.53852976951785347</v>
      </c>
      <c r="AA288" s="16">
        <f t="shared" si="99"/>
        <v>2.1387081444049886E-2</v>
      </c>
      <c r="AB288" s="14">
        <f t="shared" si="117"/>
        <v>28.094611951057804</v>
      </c>
      <c r="AC288" s="16">
        <f t="shared" si="100"/>
        <v>0.29300002258688046</v>
      </c>
      <c r="AD288" s="16">
        <f t="shared" si="101"/>
        <v>4.4883971712950263E-2</v>
      </c>
      <c r="AE288" s="23" t="str">
        <f t="shared" si="118"/>
        <v/>
      </c>
      <c r="AF288" s="23" t="str">
        <f t="shared" si="102"/>
        <v/>
      </c>
      <c r="AG288" s="23" t="str">
        <f t="shared" si="103"/>
        <v/>
      </c>
      <c r="AH288" s="23" t="str">
        <f t="shared" si="119"/>
        <v/>
      </c>
      <c r="AI288" s="23" t="str">
        <f t="shared" si="104"/>
        <v/>
      </c>
      <c r="AJ288" s="23" t="str">
        <f t="shared" si="105"/>
        <v/>
      </c>
      <c r="AK288" s="23" t="str">
        <f t="shared" si="106"/>
        <v/>
      </c>
      <c r="AL288" s="23" t="str">
        <f t="shared" si="107"/>
        <v/>
      </c>
      <c r="AM288" s="52">
        <f t="shared" si="108"/>
        <v>0</v>
      </c>
      <c r="AN288" s="26">
        <f t="shared" si="109"/>
        <v>172.6517717137512</v>
      </c>
    </row>
    <row r="289" spans="1:40" x14ac:dyDescent="0.2">
      <c r="A289" s="12">
        <v>44843</v>
      </c>
      <c r="B289" s="6">
        <v>9</v>
      </c>
      <c r="C289" s="6">
        <v>282</v>
      </c>
      <c r="D289" s="6">
        <v>1</v>
      </c>
      <c r="E289" s="6" t="s">
        <v>12</v>
      </c>
      <c r="F289" s="6">
        <v>41</v>
      </c>
      <c r="G289" s="6">
        <v>10</v>
      </c>
      <c r="H289" s="6" t="s">
        <v>26</v>
      </c>
      <c r="I289" s="6">
        <v>4</v>
      </c>
      <c r="J289" s="14">
        <v>6.5107204808721217</v>
      </c>
      <c r="K289" s="14">
        <v>49.541327171795643</v>
      </c>
      <c r="L289" s="14">
        <f t="shared" si="110"/>
        <v>322.54973346699643</v>
      </c>
      <c r="M289" s="16">
        <v>0.24535822527792725</v>
      </c>
      <c r="N289" s="14">
        <f t="shared" si="111"/>
        <v>79.140230167330699</v>
      </c>
      <c r="O289" s="14">
        <f t="shared" si="112"/>
        <v>243.40950329966574</v>
      </c>
      <c r="P289" s="14">
        <v>21.68554746225643</v>
      </c>
      <c r="Q289" s="14">
        <v>6.706505952643484</v>
      </c>
      <c r="R289" s="14">
        <f t="shared" si="96"/>
        <v>28.571428571428573</v>
      </c>
      <c r="S289" s="14">
        <v>16.568699167749472</v>
      </c>
      <c r="T289" s="14">
        <f t="shared" si="113"/>
        <v>225.78481342689747</v>
      </c>
      <c r="U289" s="14">
        <f t="shared" si="97"/>
        <v>34.678929020256945</v>
      </c>
      <c r="V289" s="14">
        <v>15.636043671622984</v>
      </c>
      <c r="W289" s="16">
        <f t="shared" si="114"/>
        <v>0.62532344783742566</v>
      </c>
      <c r="X289" s="16">
        <f t="shared" si="115"/>
        <v>0.41639180713520768</v>
      </c>
      <c r="Y289" s="16">
        <f t="shared" si="116"/>
        <v>0.35051175039703897</v>
      </c>
      <c r="Z289" s="16">
        <f t="shared" si="98"/>
        <v>0.18774283591828991</v>
      </c>
      <c r="AA289" s="16">
        <f t="shared" si="99"/>
        <v>8.8579916852890614E-2</v>
      </c>
      <c r="AB289" s="14">
        <f t="shared" si="117"/>
        <v>34.678929020256945</v>
      </c>
      <c r="AC289" s="16">
        <f t="shared" si="100"/>
        <v>0.13537194773541639</v>
      </c>
      <c r="AD289" s="16">
        <f t="shared" si="101"/>
        <v>6.7231639689063066E-2</v>
      </c>
      <c r="AE289" s="23" t="str">
        <f t="shared" si="118"/>
        <v/>
      </c>
      <c r="AF289" s="23">
        <f t="shared" si="102"/>
        <v>1000</v>
      </c>
      <c r="AG289" s="23" t="str">
        <f t="shared" si="103"/>
        <v/>
      </c>
      <c r="AH289" s="23" t="str">
        <f t="shared" si="119"/>
        <v/>
      </c>
      <c r="AI289" s="23" t="str">
        <f t="shared" si="104"/>
        <v/>
      </c>
      <c r="AJ289" s="23" t="str">
        <f t="shared" si="105"/>
        <v/>
      </c>
      <c r="AK289" s="23" t="str">
        <f t="shared" si="106"/>
        <v/>
      </c>
      <c r="AL289" s="23" t="str">
        <f t="shared" si="107"/>
        <v/>
      </c>
      <c r="AM289" s="52">
        <f t="shared" si="108"/>
        <v>1000</v>
      </c>
      <c r="AN289" s="26">
        <f t="shared" si="109"/>
        <v>-756.59049670033426</v>
      </c>
    </row>
    <row r="290" spans="1:40" x14ac:dyDescent="0.2">
      <c r="A290" s="12">
        <v>44844</v>
      </c>
      <c r="B290" s="6">
        <v>10</v>
      </c>
      <c r="C290" s="6">
        <v>283</v>
      </c>
      <c r="D290" s="6">
        <v>2</v>
      </c>
      <c r="E290" s="6" t="s">
        <v>13</v>
      </c>
      <c r="F290" s="6">
        <v>41</v>
      </c>
      <c r="G290" s="6">
        <v>10</v>
      </c>
      <c r="H290" s="6" t="s">
        <v>26</v>
      </c>
      <c r="I290" s="6">
        <v>4</v>
      </c>
      <c r="J290" s="14">
        <v>11.338720315322254</v>
      </c>
      <c r="K290" s="14">
        <v>30.686181773142518</v>
      </c>
      <c r="L290" s="14">
        <f t="shared" si="110"/>
        <v>347.94203267080252</v>
      </c>
      <c r="M290" s="16">
        <v>0.29773918841755181</v>
      </c>
      <c r="N290" s="14">
        <f t="shared" si="111"/>
        <v>103.59597842375804</v>
      </c>
      <c r="O290" s="14">
        <f t="shared" si="112"/>
        <v>244.34605424704449</v>
      </c>
      <c r="P290" s="14">
        <v>35.02602560192468</v>
      </c>
      <c r="Q290" s="14">
        <v>17.417912970693738</v>
      </c>
      <c r="R290" s="14">
        <f t="shared" si="96"/>
        <v>12.987012987012987</v>
      </c>
      <c r="S290" s="14">
        <v>35.897620713431245</v>
      </c>
      <c r="T290" s="14">
        <f t="shared" si="113"/>
        <v>243.55942286956176</v>
      </c>
      <c r="U290" s="14">
        <f t="shared" si="97"/>
        <v>21.48032724119976</v>
      </c>
      <c r="V290" s="14">
        <v>40.671252630527732</v>
      </c>
      <c r="W290" s="16">
        <f t="shared" si="114"/>
        <v>1.6306094971748828</v>
      </c>
      <c r="X290" s="16">
        <f t="shared" si="115"/>
        <v>0.2787895523732023</v>
      </c>
      <c r="Y290" s="16">
        <f t="shared" si="116"/>
        <v>0.42534169773935976</v>
      </c>
      <c r="Z290" s="16">
        <f t="shared" si="98"/>
        <v>0.52786534339078084</v>
      </c>
      <c r="AA290" s="16">
        <f t="shared" si="99"/>
        <v>3.7325220202125899E-2</v>
      </c>
      <c r="AB290" s="14">
        <f t="shared" si="117"/>
        <v>21.48032724119976</v>
      </c>
      <c r="AC290" s="16">
        <f t="shared" si="100"/>
        <v>0.56761421474529705</v>
      </c>
      <c r="AD290" s="16">
        <f t="shared" si="101"/>
        <v>0.10066626711657962</v>
      </c>
      <c r="AE290" s="23" t="str">
        <f t="shared" si="118"/>
        <v/>
      </c>
      <c r="AF290" s="23" t="str">
        <f t="shared" si="102"/>
        <v/>
      </c>
      <c r="AG290" s="23" t="str">
        <f t="shared" si="103"/>
        <v/>
      </c>
      <c r="AH290" s="23">
        <f t="shared" si="119"/>
        <v>300</v>
      </c>
      <c r="AI290" s="23" t="str">
        <f t="shared" si="104"/>
        <v/>
      </c>
      <c r="AJ290" s="23" t="str">
        <f t="shared" si="105"/>
        <v/>
      </c>
      <c r="AK290" s="23" t="str">
        <f t="shared" si="106"/>
        <v/>
      </c>
      <c r="AL290" s="23" t="str">
        <f t="shared" si="107"/>
        <v/>
      </c>
      <c r="AM290" s="52">
        <f t="shared" si="108"/>
        <v>300</v>
      </c>
      <c r="AN290" s="26">
        <f t="shared" si="109"/>
        <v>-55.653945752955508</v>
      </c>
    </row>
    <row r="291" spans="1:40" x14ac:dyDescent="0.2">
      <c r="A291" s="12">
        <v>44845</v>
      </c>
      <c r="B291" s="6">
        <v>11</v>
      </c>
      <c r="C291" s="6">
        <v>284</v>
      </c>
      <c r="D291" s="6">
        <v>3</v>
      </c>
      <c r="E291" s="6" t="s">
        <v>14</v>
      </c>
      <c r="F291" s="6">
        <v>41</v>
      </c>
      <c r="G291" s="6">
        <v>10</v>
      </c>
      <c r="H291" s="6" t="s">
        <v>26</v>
      </c>
      <c r="I291" s="6">
        <v>4</v>
      </c>
      <c r="J291" s="14">
        <v>7.8303941063692175</v>
      </c>
      <c r="K291" s="14">
        <v>74.964916367001891</v>
      </c>
      <c r="L291" s="14">
        <f t="shared" si="110"/>
        <v>587.00483930463292</v>
      </c>
      <c r="M291" s="16">
        <v>0.33936661307455201</v>
      </c>
      <c r="N291" s="14">
        <f t="shared" si="111"/>
        <v>199.20984417318493</v>
      </c>
      <c r="O291" s="14">
        <f t="shared" si="112"/>
        <v>387.79499513144799</v>
      </c>
      <c r="P291" s="14">
        <v>20.798108774634983</v>
      </c>
      <c r="Q291" s="14">
        <v>11.38345001762049</v>
      </c>
      <c r="R291" s="14">
        <f t="shared" si="96"/>
        <v>12.987012987012987</v>
      </c>
      <c r="S291" s="14">
        <v>30.109681588500568</v>
      </c>
      <c r="T291" s="14">
        <f t="shared" si="113"/>
        <v>410.90338751324305</v>
      </c>
      <c r="U291" s="14">
        <f t="shared" si="97"/>
        <v>52.475441456901329</v>
      </c>
      <c r="V291" s="14">
        <v>34.614226211746924</v>
      </c>
      <c r="W291" s="16">
        <f t="shared" si="114"/>
        <v>0.39633985340965078</v>
      </c>
      <c r="X291" s="16">
        <f t="shared" si="115"/>
        <v>0.22621895571110126</v>
      </c>
      <c r="Y291" s="16">
        <f t="shared" si="116"/>
        <v>0.48480944724935998</v>
      </c>
      <c r="Z291" s="16">
        <f t="shared" si="98"/>
        <v>0.14922016640489644</v>
      </c>
      <c r="AA291" s="16">
        <f t="shared" si="99"/>
        <v>2.2124200888015554E-2</v>
      </c>
      <c r="AB291" s="14">
        <f t="shared" si="117"/>
        <v>52.475441456901329</v>
      </c>
      <c r="AC291" s="16">
        <f t="shared" si="100"/>
        <v>0.15185036640194619</v>
      </c>
      <c r="AD291" s="16">
        <f t="shared" si="101"/>
        <v>3.5430898319803401E-2</v>
      </c>
      <c r="AE291" s="23" t="str">
        <f t="shared" si="118"/>
        <v/>
      </c>
      <c r="AF291" s="23" t="str">
        <f t="shared" si="102"/>
        <v/>
      </c>
      <c r="AG291" s="23" t="str">
        <f t="shared" si="103"/>
        <v/>
      </c>
      <c r="AH291" s="23" t="str">
        <f t="shared" si="119"/>
        <v/>
      </c>
      <c r="AI291" s="23" t="str">
        <f t="shared" si="104"/>
        <v/>
      </c>
      <c r="AJ291" s="23" t="str">
        <f t="shared" si="105"/>
        <v/>
      </c>
      <c r="AK291" s="23" t="str">
        <f t="shared" si="106"/>
        <v/>
      </c>
      <c r="AL291" s="23" t="str">
        <f t="shared" si="107"/>
        <v/>
      </c>
      <c r="AM291" s="52">
        <f t="shared" si="108"/>
        <v>0</v>
      </c>
      <c r="AN291" s="26">
        <f t="shared" si="109"/>
        <v>387.79499513144799</v>
      </c>
    </row>
    <row r="292" spans="1:40" x14ac:dyDescent="0.2">
      <c r="A292" s="12">
        <v>44846</v>
      </c>
      <c r="B292" s="6">
        <v>12</v>
      </c>
      <c r="C292" s="6">
        <v>285</v>
      </c>
      <c r="D292" s="6">
        <v>4</v>
      </c>
      <c r="E292" s="6" t="s">
        <v>15</v>
      </c>
      <c r="F292" s="6">
        <v>41</v>
      </c>
      <c r="G292" s="6">
        <v>10</v>
      </c>
      <c r="H292" s="6" t="s">
        <v>26</v>
      </c>
      <c r="I292" s="6">
        <v>4</v>
      </c>
      <c r="J292" s="14">
        <v>14.798533247797311</v>
      </c>
      <c r="K292" s="14">
        <v>26.14822051770917</v>
      </c>
      <c r="L292" s="14">
        <f t="shared" si="110"/>
        <v>386.95531070205493</v>
      </c>
      <c r="M292" s="16">
        <v>0.36552713856983654</v>
      </c>
      <c r="N292" s="14">
        <f t="shared" si="111"/>
        <v>141.44266747532419</v>
      </c>
      <c r="O292" s="14">
        <f t="shared" si="112"/>
        <v>245.51264322673075</v>
      </c>
      <c r="P292" s="14">
        <v>45.460760679105682</v>
      </c>
      <c r="Q292" s="14">
        <v>9.3896848693837001</v>
      </c>
      <c r="R292" s="14">
        <f t="shared" si="96"/>
        <v>12.987012987012987</v>
      </c>
      <c r="S292" s="14">
        <v>41.771071407866323</v>
      </c>
      <c r="T292" s="14">
        <f t="shared" si="113"/>
        <v>270.86871749143842</v>
      </c>
      <c r="U292" s="14">
        <f t="shared" si="97"/>
        <v>18.303754362396415</v>
      </c>
      <c r="V292" s="14">
        <v>41.610264721719034</v>
      </c>
      <c r="W292" s="16">
        <f t="shared" si="114"/>
        <v>2.483685028711986</v>
      </c>
      <c r="X292" s="16">
        <f t="shared" si="115"/>
        <v>0.35564621726794782</v>
      </c>
      <c r="Y292" s="16">
        <f t="shared" si="116"/>
        <v>0.52218162652833799</v>
      </c>
      <c r="Z292" s="16">
        <f t="shared" si="98"/>
        <v>0.80849715062827232</v>
      </c>
      <c r="AA292" s="16">
        <f t="shared" si="99"/>
        <v>3.3562048711647308E-2</v>
      </c>
      <c r="AB292" s="14">
        <f t="shared" si="117"/>
        <v>18.303754362396415</v>
      </c>
      <c r="AC292" s="16">
        <f t="shared" si="100"/>
        <v>0.35909460313081087</v>
      </c>
      <c r="AD292" s="16">
        <f t="shared" si="101"/>
        <v>0.11748323235731278</v>
      </c>
      <c r="AE292" s="23" t="str">
        <f t="shared" si="118"/>
        <v/>
      </c>
      <c r="AF292" s="23" t="str">
        <f t="shared" si="102"/>
        <v/>
      </c>
      <c r="AG292" s="23" t="str">
        <f t="shared" si="103"/>
        <v/>
      </c>
      <c r="AH292" s="23" t="str">
        <f t="shared" si="119"/>
        <v/>
      </c>
      <c r="AI292" s="23" t="str">
        <f t="shared" si="104"/>
        <v/>
      </c>
      <c r="AJ292" s="23">
        <f t="shared" si="105"/>
        <v>480</v>
      </c>
      <c r="AK292" s="23" t="str">
        <f t="shared" si="106"/>
        <v/>
      </c>
      <c r="AL292" s="23" t="str">
        <f t="shared" si="107"/>
        <v/>
      </c>
      <c r="AM292" s="52">
        <f t="shared" si="108"/>
        <v>480</v>
      </c>
      <c r="AN292" s="26">
        <f t="shared" si="109"/>
        <v>-234.48735677326925</v>
      </c>
    </row>
    <row r="293" spans="1:40" x14ac:dyDescent="0.2">
      <c r="A293" s="12">
        <v>44847</v>
      </c>
      <c r="B293" s="6">
        <v>13</v>
      </c>
      <c r="C293" s="6">
        <v>286</v>
      </c>
      <c r="D293" s="6">
        <v>5</v>
      </c>
      <c r="E293" s="6" t="s">
        <v>16</v>
      </c>
      <c r="F293" s="6">
        <v>41</v>
      </c>
      <c r="G293" s="6">
        <v>10</v>
      </c>
      <c r="H293" s="6" t="s">
        <v>26</v>
      </c>
      <c r="I293" s="6">
        <v>4</v>
      </c>
      <c r="J293" s="14">
        <v>17.729508839570428</v>
      </c>
      <c r="K293" s="14">
        <v>62.128415904236334</v>
      </c>
      <c r="L293" s="14">
        <f t="shared" si="110"/>
        <v>1101.5062989626661</v>
      </c>
      <c r="M293" s="16">
        <v>0.52569031326230309</v>
      </c>
      <c r="N293" s="14">
        <f t="shared" si="111"/>
        <v>579.05119136208396</v>
      </c>
      <c r="O293" s="14">
        <f t="shared" si="112"/>
        <v>522.4551076005821</v>
      </c>
      <c r="P293" s="14">
        <v>46.863360758642543</v>
      </c>
      <c r="Q293" s="14">
        <v>12.297922559678197</v>
      </c>
      <c r="R293" s="14">
        <f t="shared" si="96"/>
        <v>12.987012987012987</v>
      </c>
      <c r="S293" s="14">
        <v>29.674214744710696</v>
      </c>
      <c r="T293" s="14">
        <f t="shared" si="113"/>
        <v>771.05440927386621</v>
      </c>
      <c r="U293" s="14">
        <f t="shared" si="97"/>
        <v>43.489891132965433</v>
      </c>
      <c r="V293" s="14">
        <v>40.531387139332388</v>
      </c>
      <c r="W293" s="16">
        <f t="shared" si="114"/>
        <v>1.0775690519749315</v>
      </c>
      <c r="X293" s="16">
        <f t="shared" si="115"/>
        <v>0.43742664860254421</v>
      </c>
      <c r="Y293" s="16">
        <f t="shared" si="116"/>
        <v>0.75098616180329014</v>
      </c>
      <c r="Z293" s="16">
        <f t="shared" si="98"/>
        <v>0.40766965328481636</v>
      </c>
      <c r="AA293" s="16">
        <f t="shared" si="99"/>
        <v>1.1790230341164089E-2</v>
      </c>
      <c r="AB293" s="14">
        <f t="shared" si="117"/>
        <v>43.489891132965433</v>
      </c>
      <c r="AC293" s="16">
        <f t="shared" si="100"/>
        <v>0.1979436040769815</v>
      </c>
      <c r="AD293" s="16">
        <f t="shared" si="101"/>
        <v>4.2544795978720872E-2</v>
      </c>
      <c r="AE293" s="23" t="str">
        <f t="shared" si="118"/>
        <v/>
      </c>
      <c r="AF293" s="23" t="str">
        <f t="shared" si="102"/>
        <v/>
      </c>
      <c r="AG293" s="23" t="str">
        <f t="shared" si="103"/>
        <v/>
      </c>
      <c r="AH293" s="23" t="str">
        <f t="shared" si="119"/>
        <v/>
      </c>
      <c r="AI293" s="23" t="str">
        <f t="shared" si="104"/>
        <v/>
      </c>
      <c r="AJ293" s="23" t="str">
        <f t="shared" si="105"/>
        <v/>
      </c>
      <c r="AK293" s="23" t="str">
        <f t="shared" si="106"/>
        <v/>
      </c>
      <c r="AL293" s="23" t="str">
        <f t="shared" si="107"/>
        <v/>
      </c>
      <c r="AM293" s="52">
        <f t="shared" si="108"/>
        <v>0</v>
      </c>
      <c r="AN293" s="26">
        <f t="shared" si="109"/>
        <v>522.4551076005821</v>
      </c>
    </row>
    <row r="294" spans="1:40" x14ac:dyDescent="0.2">
      <c r="A294" s="12">
        <v>44848</v>
      </c>
      <c r="B294" s="6">
        <v>14</v>
      </c>
      <c r="C294" s="6">
        <v>287</v>
      </c>
      <c r="D294" s="6">
        <v>6</v>
      </c>
      <c r="E294" s="6" t="s">
        <v>17</v>
      </c>
      <c r="F294" s="6">
        <v>41</v>
      </c>
      <c r="G294" s="6">
        <v>10</v>
      </c>
      <c r="H294" s="6" t="s">
        <v>26</v>
      </c>
      <c r="I294" s="6">
        <v>4</v>
      </c>
      <c r="J294" s="14">
        <v>19.593917627338264</v>
      </c>
      <c r="K294" s="14">
        <v>57.729396003111042</v>
      </c>
      <c r="L294" s="14">
        <f t="shared" si="110"/>
        <v>1131.1450299609485</v>
      </c>
      <c r="M294" s="16">
        <v>0.39664363802532993</v>
      </c>
      <c r="N294" s="14">
        <f t="shared" si="111"/>
        <v>448.66147981798144</v>
      </c>
      <c r="O294" s="14">
        <f t="shared" si="112"/>
        <v>682.48355014296703</v>
      </c>
      <c r="P294" s="14">
        <v>31.719295290964464</v>
      </c>
      <c r="Q294" s="14">
        <v>7.3635581984895486</v>
      </c>
      <c r="R294" s="14">
        <f t="shared" si="96"/>
        <v>12.987012987012987</v>
      </c>
      <c r="S294" s="14">
        <v>39.502636855951486</v>
      </c>
      <c r="T294" s="14">
        <f t="shared" si="113"/>
        <v>791.80152097266387</v>
      </c>
      <c r="U294" s="14">
        <f t="shared" si="97"/>
        <v>40.41057720217772</v>
      </c>
      <c r="V294" s="14">
        <v>30.653517625052874</v>
      </c>
      <c r="W294" s="16">
        <f t="shared" si="114"/>
        <v>0.78492556867648788</v>
      </c>
      <c r="X294" s="16">
        <f t="shared" si="115"/>
        <v>0.6392061709526059</v>
      </c>
      <c r="Y294" s="16">
        <f t="shared" si="116"/>
        <v>0.56663376860761427</v>
      </c>
      <c r="Z294" s="16">
        <f t="shared" si="98"/>
        <v>0.48487101605374622</v>
      </c>
      <c r="AA294" s="16">
        <f t="shared" si="99"/>
        <v>1.1481297838051191E-2</v>
      </c>
      <c r="AB294" s="14">
        <f t="shared" si="117"/>
        <v>40.41057720217772</v>
      </c>
      <c r="AC294" s="16">
        <f t="shared" si="100"/>
        <v>0.12755300952902271</v>
      </c>
      <c r="AD294" s="16">
        <f t="shared" si="101"/>
        <v>2.8041758086546634E-2</v>
      </c>
      <c r="AE294" s="23" t="str">
        <f t="shared" si="118"/>
        <v/>
      </c>
      <c r="AF294" s="23" t="str">
        <f t="shared" si="102"/>
        <v/>
      </c>
      <c r="AG294" s="23" t="str">
        <f t="shared" si="103"/>
        <v/>
      </c>
      <c r="AH294" s="23" t="str">
        <f t="shared" si="119"/>
        <v/>
      </c>
      <c r="AI294" s="23" t="str">
        <f t="shared" si="104"/>
        <v/>
      </c>
      <c r="AJ294" s="23" t="str">
        <f t="shared" si="105"/>
        <v/>
      </c>
      <c r="AK294" s="23" t="str">
        <f t="shared" si="106"/>
        <v/>
      </c>
      <c r="AL294" s="23" t="str">
        <f t="shared" si="107"/>
        <v/>
      </c>
      <c r="AM294" s="52">
        <f t="shared" si="108"/>
        <v>0</v>
      </c>
      <c r="AN294" s="26">
        <f t="shared" si="109"/>
        <v>682.48355014296703</v>
      </c>
    </row>
    <row r="295" spans="1:40" x14ac:dyDescent="0.2">
      <c r="A295" s="12">
        <v>44849</v>
      </c>
      <c r="B295" s="6">
        <v>15</v>
      </c>
      <c r="C295" s="6">
        <v>288</v>
      </c>
      <c r="D295" s="6">
        <v>7</v>
      </c>
      <c r="E295" s="6" t="s">
        <v>10</v>
      </c>
      <c r="F295" s="6">
        <v>41</v>
      </c>
      <c r="G295" s="6">
        <v>10</v>
      </c>
      <c r="H295" s="6" t="s">
        <v>26</v>
      </c>
      <c r="I295" s="6">
        <v>4</v>
      </c>
      <c r="J295" s="14">
        <v>9.3761075394735496</v>
      </c>
      <c r="K295" s="14">
        <v>74.539735853544599</v>
      </c>
      <c r="L295" s="14">
        <f t="shared" si="110"/>
        <v>698.8925793267864</v>
      </c>
      <c r="M295" s="16">
        <v>0.50744801101286841</v>
      </c>
      <c r="N295" s="14">
        <f t="shared" si="111"/>
        <v>354.65164929103111</v>
      </c>
      <c r="O295" s="14">
        <f t="shared" si="112"/>
        <v>344.2409300357553</v>
      </c>
      <c r="P295" s="14">
        <v>41.767513510576002</v>
      </c>
      <c r="Q295" s="14">
        <v>14.453448928981107</v>
      </c>
      <c r="R295" s="14">
        <f t="shared" si="96"/>
        <v>12.987012987012987</v>
      </c>
      <c r="S295" s="14">
        <v>31.128830821750888</v>
      </c>
      <c r="T295" s="14">
        <f t="shared" si="113"/>
        <v>489.22480552875044</v>
      </c>
      <c r="U295" s="14">
        <f t="shared" si="97"/>
        <v>52.177815097481215</v>
      </c>
      <c r="V295" s="14">
        <v>34.860699598544215</v>
      </c>
      <c r="W295" s="16">
        <f t="shared" si="114"/>
        <v>0.8004841412493765</v>
      </c>
      <c r="X295" s="16">
        <f t="shared" si="115"/>
        <v>0.2689592477330861</v>
      </c>
      <c r="Y295" s="16">
        <f t="shared" si="116"/>
        <v>0.72492573001838345</v>
      </c>
      <c r="Z295" s="16">
        <f t="shared" si="98"/>
        <v>0.17969528854277694</v>
      </c>
      <c r="AA295" s="16">
        <f t="shared" si="99"/>
        <v>1.8582273401046592E-2</v>
      </c>
      <c r="AB295" s="14">
        <f t="shared" si="117"/>
        <v>52.177815097481215</v>
      </c>
      <c r="AC295" s="16">
        <f t="shared" si="100"/>
        <v>0.19390260461050185</v>
      </c>
      <c r="AD295" s="16">
        <f t="shared" si="101"/>
        <v>5.9762422360828148E-2</v>
      </c>
      <c r="AE295" s="23" t="str">
        <f t="shared" si="118"/>
        <v/>
      </c>
      <c r="AF295" s="23" t="str">
        <f t="shared" si="102"/>
        <v/>
      </c>
      <c r="AG295" s="23">
        <f t="shared" si="103"/>
        <v>300</v>
      </c>
      <c r="AH295" s="23" t="str">
        <f t="shared" si="119"/>
        <v/>
      </c>
      <c r="AI295" s="23" t="str">
        <f t="shared" si="104"/>
        <v/>
      </c>
      <c r="AJ295" s="23" t="str">
        <f t="shared" si="105"/>
        <v/>
      </c>
      <c r="AK295" s="23" t="str">
        <f t="shared" si="106"/>
        <v/>
      </c>
      <c r="AL295" s="23" t="str">
        <f t="shared" si="107"/>
        <v/>
      </c>
      <c r="AM295" s="52">
        <f t="shared" si="108"/>
        <v>300</v>
      </c>
      <c r="AN295" s="26">
        <f t="shared" si="109"/>
        <v>44.240930035755298</v>
      </c>
    </row>
    <row r="296" spans="1:40" x14ac:dyDescent="0.2">
      <c r="A296" s="12">
        <v>44850</v>
      </c>
      <c r="B296" s="6">
        <v>16</v>
      </c>
      <c r="C296" s="6">
        <v>289</v>
      </c>
      <c r="D296" s="6">
        <v>1</v>
      </c>
      <c r="E296" s="6" t="s">
        <v>12</v>
      </c>
      <c r="F296" s="6">
        <v>42</v>
      </c>
      <c r="G296" s="6">
        <v>10</v>
      </c>
      <c r="H296" s="6" t="s">
        <v>26</v>
      </c>
      <c r="I296" s="6">
        <v>4</v>
      </c>
      <c r="J296" s="14">
        <v>9.029393527658506</v>
      </c>
      <c r="K296" s="14">
        <v>22.027968300350786</v>
      </c>
      <c r="L296" s="14">
        <f t="shared" si="110"/>
        <v>198.89919439865412</v>
      </c>
      <c r="M296" s="16">
        <v>0.22486655752508852</v>
      </c>
      <c r="N296" s="14">
        <f t="shared" si="111"/>
        <v>44.725777138938724</v>
      </c>
      <c r="O296" s="14">
        <f t="shared" si="112"/>
        <v>154.17341725971539</v>
      </c>
      <c r="P296" s="14">
        <v>22.288153973550795</v>
      </c>
      <c r="Q296" s="14">
        <v>5.5901863984670683</v>
      </c>
      <c r="R296" s="14">
        <f t="shared" si="96"/>
        <v>28.571428571428573</v>
      </c>
      <c r="S296" s="14">
        <v>15.539104546037896</v>
      </c>
      <c r="T296" s="14">
        <f t="shared" si="113"/>
        <v>139.22943607905788</v>
      </c>
      <c r="U296" s="14">
        <f t="shared" si="97"/>
        <v>15.419577810245549</v>
      </c>
      <c r="V296" s="14">
        <v>16.37643502506571</v>
      </c>
      <c r="W296" s="16">
        <f t="shared" si="114"/>
        <v>1.4454451508225741</v>
      </c>
      <c r="X296" s="16">
        <f t="shared" si="115"/>
        <v>0.55136502626109707</v>
      </c>
      <c r="Y296" s="16">
        <f t="shared" si="116"/>
        <v>0.32123793932155509</v>
      </c>
      <c r="Z296" s="16">
        <f t="shared" si="98"/>
        <v>0.58557981539928539</v>
      </c>
      <c r="AA296" s="16">
        <f t="shared" si="99"/>
        <v>0.14364778428495187</v>
      </c>
      <c r="AB296" s="14">
        <f t="shared" si="117"/>
        <v>15.419577810245549</v>
      </c>
      <c r="AC296" s="16">
        <f t="shared" si="100"/>
        <v>0.25377675881157169</v>
      </c>
      <c r="AD296" s="16">
        <f t="shared" si="101"/>
        <v>0.11205753769358461</v>
      </c>
      <c r="AE296" s="23" t="str">
        <f t="shared" si="118"/>
        <v/>
      </c>
      <c r="AF296" s="23">
        <f t="shared" si="102"/>
        <v>1000</v>
      </c>
      <c r="AG296" s="23" t="str">
        <f t="shared" si="103"/>
        <v/>
      </c>
      <c r="AH296" s="23" t="str">
        <f t="shared" si="119"/>
        <v/>
      </c>
      <c r="AI296" s="23" t="str">
        <f t="shared" si="104"/>
        <v/>
      </c>
      <c r="AJ296" s="23" t="str">
        <f t="shared" si="105"/>
        <v/>
      </c>
      <c r="AK296" s="23" t="str">
        <f t="shared" si="106"/>
        <v/>
      </c>
      <c r="AL296" s="23" t="str">
        <f t="shared" si="107"/>
        <v/>
      </c>
      <c r="AM296" s="52">
        <f t="shared" si="108"/>
        <v>1000</v>
      </c>
      <c r="AN296" s="26">
        <f t="shared" si="109"/>
        <v>-845.82658274028461</v>
      </c>
    </row>
    <row r="297" spans="1:40" x14ac:dyDescent="0.2">
      <c r="A297" s="12">
        <v>44851</v>
      </c>
      <c r="B297" s="6">
        <v>17</v>
      </c>
      <c r="C297" s="6">
        <v>290</v>
      </c>
      <c r="D297" s="6">
        <v>2</v>
      </c>
      <c r="E297" s="6" t="s">
        <v>13</v>
      </c>
      <c r="F297" s="6">
        <v>42</v>
      </c>
      <c r="G297" s="6">
        <v>10</v>
      </c>
      <c r="H297" s="6" t="s">
        <v>26</v>
      </c>
      <c r="I297" s="6">
        <v>4</v>
      </c>
      <c r="J297" s="14">
        <v>10.019553585520057</v>
      </c>
      <c r="K297" s="14">
        <v>95.667000238394991</v>
      </c>
      <c r="L297" s="14">
        <f t="shared" si="110"/>
        <v>958.54063525455877</v>
      </c>
      <c r="M297" s="16">
        <v>0.54855422148460109</v>
      </c>
      <c r="N297" s="14">
        <f t="shared" si="111"/>
        <v>525.81151193341941</v>
      </c>
      <c r="O297" s="14">
        <f t="shared" si="112"/>
        <v>432.72912332113935</v>
      </c>
      <c r="P297" s="14">
        <v>48.830233732785317</v>
      </c>
      <c r="Q297" s="14">
        <v>15.836769120810272</v>
      </c>
      <c r="R297" s="14">
        <f t="shared" si="96"/>
        <v>12.987012987012987</v>
      </c>
      <c r="S297" s="14">
        <v>36.561713788381994</v>
      </c>
      <c r="T297" s="14">
        <f t="shared" si="113"/>
        <v>670.97844467819107</v>
      </c>
      <c r="U297" s="14">
        <f t="shared" si="97"/>
        <v>66.966900166876485</v>
      </c>
      <c r="V297" s="14">
        <v>35.280323619921127</v>
      </c>
      <c r="W297" s="16">
        <f t="shared" si="114"/>
        <v>0.72916968847451569</v>
      </c>
      <c r="X297" s="16">
        <f t="shared" si="115"/>
        <v>0.28399834688201359</v>
      </c>
      <c r="Y297" s="16">
        <f t="shared" si="116"/>
        <v>0.78364888783514441</v>
      </c>
      <c r="Z297" s="16">
        <f t="shared" si="98"/>
        <v>0.14961949202594241</v>
      </c>
      <c r="AA297" s="16">
        <f t="shared" si="99"/>
        <v>1.3548734930328788E-2</v>
      </c>
      <c r="AB297" s="14">
        <f t="shared" si="117"/>
        <v>66.966900166876485</v>
      </c>
      <c r="AC297" s="16">
        <f t="shared" si="100"/>
        <v>0.16554056342674309</v>
      </c>
      <c r="AD297" s="16">
        <f t="shared" si="101"/>
        <v>5.094226779422608E-2</v>
      </c>
      <c r="AE297" s="23" t="str">
        <f t="shared" si="118"/>
        <v/>
      </c>
      <c r="AF297" s="23" t="str">
        <f t="shared" si="102"/>
        <v/>
      </c>
      <c r="AG297" s="23" t="str">
        <f t="shared" si="103"/>
        <v/>
      </c>
      <c r="AH297" s="23" t="str">
        <f t="shared" si="119"/>
        <v/>
      </c>
      <c r="AI297" s="23" t="str">
        <f t="shared" si="104"/>
        <v/>
      </c>
      <c r="AJ297" s="23" t="str">
        <f t="shared" si="105"/>
        <v/>
      </c>
      <c r="AK297" s="23" t="str">
        <f t="shared" si="106"/>
        <v/>
      </c>
      <c r="AL297" s="23" t="str">
        <f t="shared" si="107"/>
        <v/>
      </c>
      <c r="AM297" s="52">
        <f t="shared" si="108"/>
        <v>0</v>
      </c>
      <c r="AN297" s="26">
        <f t="shared" si="109"/>
        <v>432.72912332113935</v>
      </c>
    </row>
    <row r="298" spans="1:40" x14ac:dyDescent="0.2">
      <c r="A298" s="12">
        <v>44852</v>
      </c>
      <c r="B298" s="6">
        <v>18</v>
      </c>
      <c r="C298" s="6">
        <v>291</v>
      </c>
      <c r="D298" s="6">
        <v>3</v>
      </c>
      <c r="E298" s="6" t="s">
        <v>14</v>
      </c>
      <c r="F298" s="6">
        <v>42</v>
      </c>
      <c r="G298" s="6">
        <v>10</v>
      </c>
      <c r="H298" s="6" t="s">
        <v>26</v>
      </c>
      <c r="I298" s="6">
        <v>4</v>
      </c>
      <c r="J298" s="14">
        <v>13.383774524553289</v>
      </c>
      <c r="K298" s="14">
        <v>37.815658931356587</v>
      </c>
      <c r="L298" s="14">
        <f t="shared" si="110"/>
        <v>506.11625263468636</v>
      </c>
      <c r="M298" s="16">
        <v>0.30278136240976722</v>
      </c>
      <c r="N298" s="14">
        <f t="shared" si="111"/>
        <v>153.24256851045627</v>
      </c>
      <c r="O298" s="14">
        <f t="shared" si="112"/>
        <v>352.87368412423007</v>
      </c>
      <c r="P298" s="14">
        <v>38.060607533447211</v>
      </c>
      <c r="Q298" s="14">
        <v>8.752742118524786</v>
      </c>
      <c r="R298" s="14">
        <f t="shared" si="96"/>
        <v>12.987012987012987</v>
      </c>
      <c r="S298" s="14">
        <v>29.132322060808217</v>
      </c>
      <c r="T298" s="14">
        <f t="shared" si="113"/>
        <v>354.28137684428043</v>
      </c>
      <c r="U298" s="14">
        <f t="shared" si="97"/>
        <v>26.47096125194961</v>
      </c>
      <c r="V298" s="14">
        <v>34.863612633297478</v>
      </c>
      <c r="W298" s="16">
        <f t="shared" si="114"/>
        <v>1.4378249120304996</v>
      </c>
      <c r="X298" s="16">
        <f t="shared" si="115"/>
        <v>0.38388949146855589</v>
      </c>
      <c r="Y298" s="16">
        <f t="shared" si="116"/>
        <v>0.43254480344252461</v>
      </c>
      <c r="Z298" s="16">
        <f t="shared" si="98"/>
        <v>0.50560213500246654</v>
      </c>
      <c r="AA298" s="16">
        <f t="shared" si="99"/>
        <v>2.5660138198302408E-2</v>
      </c>
      <c r="AB298" s="14">
        <f t="shared" si="117"/>
        <v>26.47096125194961</v>
      </c>
      <c r="AC298" s="16">
        <f t="shared" si="100"/>
        <v>0.23145814104185947</v>
      </c>
      <c r="AD298" s="16">
        <f t="shared" si="101"/>
        <v>7.5201314589909599E-2</v>
      </c>
      <c r="AE298" s="23" t="str">
        <f t="shared" si="118"/>
        <v/>
      </c>
      <c r="AF298" s="23" t="str">
        <f t="shared" si="102"/>
        <v/>
      </c>
      <c r="AG298" s="23" t="str">
        <f t="shared" si="103"/>
        <v/>
      </c>
      <c r="AH298" s="23" t="str">
        <f t="shared" si="119"/>
        <v/>
      </c>
      <c r="AI298" s="23" t="str">
        <f t="shared" si="104"/>
        <v/>
      </c>
      <c r="AJ298" s="23" t="str">
        <f t="shared" si="105"/>
        <v/>
      </c>
      <c r="AK298" s="23" t="str">
        <f t="shared" si="106"/>
        <v/>
      </c>
      <c r="AL298" s="23" t="str">
        <f t="shared" si="107"/>
        <v/>
      </c>
      <c r="AM298" s="52">
        <f t="shared" si="108"/>
        <v>0</v>
      </c>
      <c r="AN298" s="26">
        <f t="shared" si="109"/>
        <v>352.87368412423007</v>
      </c>
    </row>
    <row r="299" spans="1:40" x14ac:dyDescent="0.2">
      <c r="A299" s="12">
        <v>44853</v>
      </c>
      <c r="B299" s="6">
        <v>19</v>
      </c>
      <c r="C299" s="6">
        <v>292</v>
      </c>
      <c r="D299" s="6">
        <v>4</v>
      </c>
      <c r="E299" s="6" t="s">
        <v>15</v>
      </c>
      <c r="F299" s="6">
        <v>42</v>
      </c>
      <c r="G299" s="6">
        <v>10</v>
      </c>
      <c r="H299" s="6" t="s">
        <v>26</v>
      </c>
      <c r="I299" s="6">
        <v>4</v>
      </c>
      <c r="J299" s="14">
        <v>18.909633208032464</v>
      </c>
      <c r="K299" s="14">
        <v>109.00773316699386</v>
      </c>
      <c r="L299" s="14">
        <f t="shared" si="110"/>
        <v>2061.296251026929</v>
      </c>
      <c r="M299" s="16">
        <v>0.32368491888442957</v>
      </c>
      <c r="N299" s="14">
        <f t="shared" si="111"/>
        <v>667.21050981043027</v>
      </c>
      <c r="O299" s="14">
        <f t="shared" si="112"/>
        <v>1394.0857412164987</v>
      </c>
      <c r="P299" s="14">
        <v>37.491569879841187</v>
      </c>
      <c r="Q299" s="14">
        <v>17.701810430059787</v>
      </c>
      <c r="R299" s="14">
        <f t="shared" si="96"/>
        <v>12.987012987012987</v>
      </c>
      <c r="S299" s="14">
        <v>36.275004126672215</v>
      </c>
      <c r="T299" s="14">
        <f t="shared" si="113"/>
        <v>1442.9073757188503</v>
      </c>
      <c r="U299" s="14">
        <f t="shared" si="97"/>
        <v>76.305413216895701</v>
      </c>
      <c r="V299" s="14">
        <v>30.031675799317824</v>
      </c>
      <c r="W299" s="16">
        <f t="shared" si="114"/>
        <v>0.49133565102743887</v>
      </c>
      <c r="X299" s="16">
        <f t="shared" si="115"/>
        <v>0.62965627807096936</v>
      </c>
      <c r="Y299" s="16">
        <f t="shared" si="116"/>
        <v>0.46240702697775654</v>
      </c>
      <c r="Z299" s="16">
        <f t="shared" si="98"/>
        <v>0.24781509477292829</v>
      </c>
      <c r="AA299" s="16">
        <f t="shared" si="99"/>
        <v>6.3004107151230261E-3</v>
      </c>
      <c r="AB299" s="14">
        <f t="shared" si="117"/>
        <v>76.305413216895701</v>
      </c>
      <c r="AC299" s="16">
        <f t="shared" si="100"/>
        <v>0.16239040952206193</v>
      </c>
      <c r="AD299" s="16">
        <f t="shared" si="101"/>
        <v>1.8188346222025604E-2</v>
      </c>
      <c r="AE299" s="23" t="str">
        <f t="shared" si="118"/>
        <v/>
      </c>
      <c r="AF299" s="23" t="str">
        <f t="shared" si="102"/>
        <v/>
      </c>
      <c r="AG299" s="23" t="str">
        <f t="shared" si="103"/>
        <v/>
      </c>
      <c r="AH299" s="23" t="str">
        <f t="shared" si="119"/>
        <v/>
      </c>
      <c r="AI299" s="23" t="str">
        <f t="shared" si="104"/>
        <v/>
      </c>
      <c r="AJ299" s="23" t="str">
        <f t="shared" si="105"/>
        <v/>
      </c>
      <c r="AK299" s="23" t="str">
        <f t="shared" si="106"/>
        <v/>
      </c>
      <c r="AL299" s="23" t="str">
        <f t="shared" si="107"/>
        <v/>
      </c>
      <c r="AM299" s="52">
        <f t="shared" si="108"/>
        <v>0</v>
      </c>
      <c r="AN299" s="26">
        <f t="shared" si="109"/>
        <v>1394.0857412164987</v>
      </c>
    </row>
    <row r="300" spans="1:40" x14ac:dyDescent="0.2">
      <c r="A300" s="12">
        <v>44854</v>
      </c>
      <c r="B300" s="6">
        <v>20</v>
      </c>
      <c r="C300" s="6">
        <v>293</v>
      </c>
      <c r="D300" s="6">
        <v>5</v>
      </c>
      <c r="E300" s="6" t="s">
        <v>16</v>
      </c>
      <c r="F300" s="6">
        <v>42</v>
      </c>
      <c r="G300" s="6">
        <v>10</v>
      </c>
      <c r="H300" s="6" t="s">
        <v>26</v>
      </c>
      <c r="I300" s="6">
        <v>4</v>
      </c>
      <c r="J300" s="14">
        <v>24.310270267715396</v>
      </c>
      <c r="K300" s="14">
        <v>44.558931084729245</v>
      </c>
      <c r="L300" s="14">
        <f t="shared" si="110"/>
        <v>1083.2396575102728</v>
      </c>
      <c r="M300" s="16">
        <v>0.60268226146912163</v>
      </c>
      <c r="N300" s="14">
        <f t="shared" si="111"/>
        <v>652.84932650132794</v>
      </c>
      <c r="O300" s="14">
        <f t="shared" si="112"/>
        <v>430.39033100894483</v>
      </c>
      <c r="P300" s="14">
        <v>41.079037912420453</v>
      </c>
      <c r="Q300" s="14">
        <v>12.43676245260979</v>
      </c>
      <c r="R300" s="14">
        <f t="shared" si="96"/>
        <v>12.987012987012987</v>
      </c>
      <c r="S300" s="14">
        <v>37.31485645394654</v>
      </c>
      <c r="T300" s="14">
        <f t="shared" si="113"/>
        <v>758.26776025719084</v>
      </c>
      <c r="U300" s="14">
        <f t="shared" si="97"/>
        <v>31.191251759310472</v>
      </c>
      <c r="V300" s="14">
        <v>38.884281162387396</v>
      </c>
      <c r="W300" s="16">
        <f t="shared" si="114"/>
        <v>1.3170051086570616</v>
      </c>
      <c r="X300" s="16">
        <f t="shared" si="115"/>
        <v>0.62519531134423079</v>
      </c>
      <c r="Y300" s="16">
        <f t="shared" si="116"/>
        <v>0.86097465924160244</v>
      </c>
      <c r="Z300" s="16">
        <f t="shared" si="98"/>
        <v>0.7793938651551191</v>
      </c>
      <c r="AA300" s="16">
        <f t="shared" si="99"/>
        <v>1.1989048680937742E-2</v>
      </c>
      <c r="AB300" s="14">
        <f t="shared" si="117"/>
        <v>31.191251759310472</v>
      </c>
      <c r="AC300" s="16">
        <f t="shared" si="100"/>
        <v>0.27910818661608294</v>
      </c>
      <c r="AD300" s="16">
        <f t="shared" si="101"/>
        <v>3.7922391067953386E-2</v>
      </c>
      <c r="AE300" s="23" t="str">
        <f t="shared" si="118"/>
        <v/>
      </c>
      <c r="AF300" s="23" t="str">
        <f t="shared" si="102"/>
        <v/>
      </c>
      <c r="AG300" s="23" t="str">
        <f t="shared" si="103"/>
        <v/>
      </c>
      <c r="AH300" s="23" t="str">
        <f t="shared" si="119"/>
        <v/>
      </c>
      <c r="AI300" s="23">
        <f t="shared" si="104"/>
        <v>100</v>
      </c>
      <c r="AJ300" s="23" t="str">
        <f t="shared" si="105"/>
        <v/>
      </c>
      <c r="AK300" s="23" t="str">
        <f t="shared" si="106"/>
        <v/>
      </c>
      <c r="AL300" s="23" t="str">
        <f t="shared" si="107"/>
        <v/>
      </c>
      <c r="AM300" s="52">
        <f t="shared" si="108"/>
        <v>100</v>
      </c>
      <c r="AN300" s="26">
        <f t="shared" si="109"/>
        <v>330.39033100894483</v>
      </c>
    </row>
    <row r="301" spans="1:40" x14ac:dyDescent="0.2">
      <c r="A301" s="12">
        <v>44855</v>
      </c>
      <c r="B301" s="6">
        <v>21</v>
      </c>
      <c r="C301" s="6">
        <v>294</v>
      </c>
      <c r="D301" s="6">
        <v>6</v>
      </c>
      <c r="E301" s="6" t="s">
        <v>17</v>
      </c>
      <c r="F301" s="6">
        <v>42</v>
      </c>
      <c r="G301" s="6">
        <v>10</v>
      </c>
      <c r="H301" s="6" t="s">
        <v>26</v>
      </c>
      <c r="I301" s="6">
        <v>4</v>
      </c>
      <c r="J301" s="14">
        <v>19.116212195557438</v>
      </c>
      <c r="K301" s="14">
        <v>34.867140559958628</v>
      </c>
      <c r="L301" s="14">
        <f t="shared" si="110"/>
        <v>666.52765759649651</v>
      </c>
      <c r="M301" s="16">
        <v>0.44371271316502653</v>
      </c>
      <c r="N301" s="14">
        <f t="shared" si="111"/>
        <v>295.74679535167127</v>
      </c>
      <c r="O301" s="14">
        <f t="shared" si="112"/>
        <v>370.78086224482524</v>
      </c>
      <c r="P301" s="14">
        <v>41.831640704917547</v>
      </c>
      <c r="Q301" s="14">
        <v>13.672093447428818</v>
      </c>
      <c r="R301" s="14">
        <f t="shared" si="96"/>
        <v>12.987012987012987</v>
      </c>
      <c r="S301" s="14">
        <v>30.377289124739583</v>
      </c>
      <c r="T301" s="14">
        <f t="shared" si="113"/>
        <v>466.56936031754753</v>
      </c>
      <c r="U301" s="14">
        <f t="shared" si="97"/>
        <v>24.406998391971037</v>
      </c>
      <c r="V301" s="14">
        <v>41.569584270801037</v>
      </c>
      <c r="W301" s="16">
        <f t="shared" si="114"/>
        <v>1.7139199189146728</v>
      </c>
      <c r="X301" s="16">
        <f t="shared" si="115"/>
        <v>0.45986055744572091</v>
      </c>
      <c r="Y301" s="16">
        <f t="shared" si="116"/>
        <v>0.63387530452146645</v>
      </c>
      <c r="Z301" s="16">
        <f t="shared" si="98"/>
        <v>0.78322667492967657</v>
      </c>
      <c r="AA301" s="16">
        <f t="shared" si="99"/>
        <v>1.9484582281017789E-2</v>
      </c>
      <c r="AB301" s="14">
        <f t="shared" si="117"/>
        <v>24.406998391971037</v>
      </c>
      <c r="AC301" s="16">
        <f t="shared" si="100"/>
        <v>0.39211972154464048</v>
      </c>
      <c r="AD301" s="16">
        <f t="shared" si="101"/>
        <v>6.2760547485400289E-2</v>
      </c>
      <c r="AE301" s="23" t="str">
        <f t="shared" si="118"/>
        <v/>
      </c>
      <c r="AF301" s="23" t="str">
        <f t="shared" si="102"/>
        <v/>
      </c>
      <c r="AG301" s="23" t="str">
        <f t="shared" si="103"/>
        <v/>
      </c>
      <c r="AH301" s="23" t="str">
        <f t="shared" si="119"/>
        <v/>
      </c>
      <c r="AI301" s="23" t="str">
        <f t="shared" si="104"/>
        <v/>
      </c>
      <c r="AJ301" s="23" t="str">
        <f t="shared" si="105"/>
        <v/>
      </c>
      <c r="AK301" s="23" t="str">
        <f t="shared" si="106"/>
        <v/>
      </c>
      <c r="AL301" s="23" t="str">
        <f t="shared" si="107"/>
        <v/>
      </c>
      <c r="AM301" s="52">
        <f t="shared" si="108"/>
        <v>0</v>
      </c>
      <c r="AN301" s="26">
        <f t="shared" si="109"/>
        <v>370.78086224482524</v>
      </c>
    </row>
    <row r="302" spans="1:40" x14ac:dyDescent="0.2">
      <c r="A302" s="12">
        <v>44856</v>
      </c>
      <c r="B302" s="6">
        <v>22</v>
      </c>
      <c r="C302" s="6">
        <v>295</v>
      </c>
      <c r="D302" s="6">
        <v>7</v>
      </c>
      <c r="E302" s="6" t="s">
        <v>10</v>
      </c>
      <c r="F302" s="6">
        <v>42</v>
      </c>
      <c r="G302" s="6">
        <v>10</v>
      </c>
      <c r="H302" s="6" t="s">
        <v>26</v>
      </c>
      <c r="I302" s="6">
        <v>4</v>
      </c>
      <c r="J302" s="14">
        <v>14.284947157144362</v>
      </c>
      <c r="K302" s="14">
        <v>43.938386321699809</v>
      </c>
      <c r="L302" s="14">
        <f t="shared" si="110"/>
        <v>627.65752677567639</v>
      </c>
      <c r="M302" s="16">
        <v>0.42770944972571229</v>
      </c>
      <c r="N302" s="14">
        <f t="shared" si="111"/>
        <v>268.45505539342605</v>
      </c>
      <c r="O302" s="14">
        <f t="shared" si="112"/>
        <v>359.20247138225034</v>
      </c>
      <c r="P302" s="14">
        <v>46.608614024902181</v>
      </c>
      <c r="Q302" s="14">
        <v>22.97718763634888</v>
      </c>
      <c r="R302" s="14">
        <f t="shared" si="96"/>
        <v>12.987012987012987</v>
      </c>
      <c r="S302" s="14">
        <v>39.614028161546933</v>
      </c>
      <c r="T302" s="14">
        <f t="shared" si="113"/>
        <v>439.36026874297346</v>
      </c>
      <c r="U302" s="14">
        <f t="shared" si="97"/>
        <v>30.756870425189863</v>
      </c>
      <c r="V302" s="14">
        <v>27.610594642747891</v>
      </c>
      <c r="W302" s="16">
        <f t="shared" si="114"/>
        <v>1.5153887043959371</v>
      </c>
      <c r="X302" s="16">
        <f t="shared" si="115"/>
        <v>0.5173719487746129</v>
      </c>
      <c r="Y302" s="16">
        <f t="shared" si="116"/>
        <v>0.61101349960816043</v>
      </c>
      <c r="Z302" s="16">
        <f t="shared" si="98"/>
        <v>0.46444735630335776</v>
      </c>
      <c r="AA302" s="16">
        <f t="shared" si="99"/>
        <v>2.0691240737171181E-2</v>
      </c>
      <c r="AB302" s="14">
        <f t="shared" si="117"/>
        <v>30.756870425189863</v>
      </c>
      <c r="AC302" s="16">
        <f t="shared" si="100"/>
        <v>0.52294109000997058</v>
      </c>
      <c r="AD302" s="16">
        <f t="shared" si="101"/>
        <v>7.4258034097566095E-2</v>
      </c>
      <c r="AE302" s="23" t="str">
        <f t="shared" si="118"/>
        <v/>
      </c>
      <c r="AF302" s="23" t="str">
        <f t="shared" si="102"/>
        <v/>
      </c>
      <c r="AG302" s="23" t="str">
        <f t="shared" si="103"/>
        <v/>
      </c>
      <c r="AH302" s="23" t="str">
        <f t="shared" si="119"/>
        <v/>
      </c>
      <c r="AI302" s="23" t="str">
        <f t="shared" si="104"/>
        <v/>
      </c>
      <c r="AJ302" s="23" t="str">
        <f t="shared" si="105"/>
        <v/>
      </c>
      <c r="AK302" s="23" t="str">
        <f t="shared" si="106"/>
        <v/>
      </c>
      <c r="AL302" s="23" t="str">
        <f t="shared" si="107"/>
        <v/>
      </c>
      <c r="AM302" s="52">
        <f t="shared" si="108"/>
        <v>0</v>
      </c>
      <c r="AN302" s="26">
        <f t="shared" si="109"/>
        <v>359.20247138225034</v>
      </c>
    </row>
    <row r="303" spans="1:40" x14ac:dyDescent="0.2">
      <c r="A303" s="12">
        <v>44857</v>
      </c>
      <c r="B303" s="6">
        <v>23</v>
      </c>
      <c r="C303" s="6">
        <v>296</v>
      </c>
      <c r="D303" s="6">
        <v>1</v>
      </c>
      <c r="E303" s="6" t="s">
        <v>12</v>
      </c>
      <c r="F303" s="6">
        <v>43</v>
      </c>
      <c r="G303" s="6">
        <v>10</v>
      </c>
      <c r="H303" s="6" t="s">
        <v>26</v>
      </c>
      <c r="I303" s="6">
        <v>4</v>
      </c>
      <c r="J303" s="14">
        <v>5.8945162878269954</v>
      </c>
      <c r="K303" s="14">
        <v>23.238507364661306</v>
      </c>
      <c r="L303" s="14">
        <f t="shared" si="110"/>
        <v>136.97976016578366</v>
      </c>
      <c r="M303" s="16">
        <v>8.1701012137102416E-2</v>
      </c>
      <c r="N303" s="14">
        <f t="shared" si="111"/>
        <v>11.191385047842068</v>
      </c>
      <c r="O303" s="14">
        <f t="shared" si="112"/>
        <v>125.7883751179416</v>
      </c>
      <c r="P303" s="14">
        <v>21.495140231861853</v>
      </c>
      <c r="Q303" s="14">
        <v>4.4975312787378039</v>
      </c>
      <c r="R303" s="14">
        <f t="shared" si="96"/>
        <v>28.571428571428573</v>
      </c>
      <c r="S303" s="14">
        <v>17.896452678508144</v>
      </c>
      <c r="T303" s="14">
        <f t="shared" si="113"/>
        <v>95.885832116048562</v>
      </c>
      <c r="U303" s="14">
        <f t="shared" si="97"/>
        <v>16.266955155262913</v>
      </c>
      <c r="V303" s="14">
        <v>18.096356314342849</v>
      </c>
      <c r="W303" s="16">
        <f t="shared" si="114"/>
        <v>1.3213991202838871</v>
      </c>
      <c r="X303" s="16">
        <f t="shared" si="115"/>
        <v>0.32572945544596221</v>
      </c>
      <c r="Y303" s="16">
        <f t="shared" si="116"/>
        <v>0.11671573162443202</v>
      </c>
      <c r="Z303" s="16">
        <f t="shared" si="98"/>
        <v>0.36236137811690711</v>
      </c>
      <c r="AA303" s="16">
        <f t="shared" si="99"/>
        <v>0.20858138849746261</v>
      </c>
      <c r="AB303" s="14">
        <f t="shared" si="117"/>
        <v>16.266955155262913</v>
      </c>
      <c r="AC303" s="16">
        <f t="shared" si="100"/>
        <v>0.19353787264224981</v>
      </c>
      <c r="AD303" s="16">
        <f t="shared" si="101"/>
        <v>0.15692201684282953</v>
      </c>
      <c r="AE303" s="23" t="str">
        <f t="shared" si="118"/>
        <v/>
      </c>
      <c r="AF303" s="23">
        <f t="shared" si="102"/>
        <v>1000</v>
      </c>
      <c r="AG303" s="23" t="str">
        <f t="shared" si="103"/>
        <v/>
      </c>
      <c r="AH303" s="23" t="str">
        <f t="shared" si="119"/>
        <v/>
      </c>
      <c r="AI303" s="23" t="str">
        <f t="shared" si="104"/>
        <v/>
      </c>
      <c r="AJ303" s="23" t="str">
        <f t="shared" si="105"/>
        <v/>
      </c>
      <c r="AK303" s="23" t="str">
        <f t="shared" si="106"/>
        <v/>
      </c>
      <c r="AL303" s="23" t="str">
        <f t="shared" si="107"/>
        <v/>
      </c>
      <c r="AM303" s="52">
        <f t="shared" si="108"/>
        <v>1000</v>
      </c>
      <c r="AN303" s="26">
        <f t="shared" si="109"/>
        <v>-874.21162488205846</v>
      </c>
    </row>
    <row r="304" spans="1:40" x14ac:dyDescent="0.2">
      <c r="A304" s="12">
        <v>44858</v>
      </c>
      <c r="B304" s="6">
        <v>24</v>
      </c>
      <c r="C304" s="6">
        <v>297</v>
      </c>
      <c r="D304" s="6">
        <v>2</v>
      </c>
      <c r="E304" s="6" t="s">
        <v>13</v>
      </c>
      <c r="F304" s="6">
        <v>43</v>
      </c>
      <c r="G304" s="6">
        <v>10</v>
      </c>
      <c r="H304" s="6" t="s">
        <v>26</v>
      </c>
      <c r="I304" s="6">
        <v>4</v>
      </c>
      <c r="J304" s="14">
        <v>10.96814164560754</v>
      </c>
      <c r="K304" s="14">
        <v>19.022515573259827</v>
      </c>
      <c r="L304" s="14">
        <f t="shared" si="110"/>
        <v>208.64164526328909</v>
      </c>
      <c r="M304" s="16">
        <v>0.26872536864869995</v>
      </c>
      <c r="N304" s="14">
        <f t="shared" si="111"/>
        <v>56.067303038848642</v>
      </c>
      <c r="O304" s="14">
        <f t="shared" si="112"/>
        <v>152.57434222444044</v>
      </c>
      <c r="P304" s="14">
        <v>63.755336449336532</v>
      </c>
      <c r="Q304" s="14">
        <v>16.516901499592251</v>
      </c>
      <c r="R304" s="14">
        <f t="shared" si="96"/>
        <v>12.987012987012987</v>
      </c>
      <c r="S304" s="14">
        <v>34.622254223360187</v>
      </c>
      <c r="T304" s="14">
        <f t="shared" si="113"/>
        <v>146.04915168430236</v>
      </c>
      <c r="U304" s="14">
        <f t="shared" si="97"/>
        <v>13.315760901281879</v>
      </c>
      <c r="V304" s="14">
        <v>35.463531332554176</v>
      </c>
      <c r="W304" s="16">
        <f t="shared" si="114"/>
        <v>4.7879604419150352</v>
      </c>
      <c r="X304" s="16">
        <f t="shared" si="115"/>
        <v>0.30927945507612781</v>
      </c>
      <c r="Y304" s="16">
        <f t="shared" si="116"/>
        <v>0.38389338378385707</v>
      </c>
      <c r="Z304" s="16">
        <f t="shared" si="98"/>
        <v>0.82369619933260152</v>
      </c>
      <c r="AA304" s="16">
        <f t="shared" si="99"/>
        <v>6.2245545325452234E-2</v>
      </c>
      <c r="AB304" s="14">
        <f t="shared" si="117"/>
        <v>13.315760901281879</v>
      </c>
      <c r="AC304" s="16">
        <f t="shared" si="100"/>
        <v>0.86828166527093043</v>
      </c>
      <c r="AD304" s="16">
        <f t="shared" si="101"/>
        <v>0.30557339772164083</v>
      </c>
      <c r="AE304" s="23" t="str">
        <f t="shared" si="118"/>
        <v/>
      </c>
      <c r="AF304" s="23" t="str">
        <f t="shared" si="102"/>
        <v/>
      </c>
      <c r="AG304" s="23" t="str">
        <f t="shared" si="103"/>
        <v/>
      </c>
      <c r="AH304" s="23" t="str">
        <f t="shared" si="119"/>
        <v/>
      </c>
      <c r="AI304" s="23" t="str">
        <f t="shared" si="104"/>
        <v/>
      </c>
      <c r="AJ304" s="23" t="str">
        <f t="shared" si="105"/>
        <v/>
      </c>
      <c r="AK304" s="23" t="str">
        <f t="shared" si="106"/>
        <v/>
      </c>
      <c r="AL304" s="23" t="str">
        <f t="shared" si="107"/>
        <v/>
      </c>
      <c r="AM304" s="52">
        <f t="shared" si="108"/>
        <v>0</v>
      </c>
      <c r="AN304" s="26">
        <f t="shared" si="109"/>
        <v>152.57434222444044</v>
      </c>
    </row>
    <row r="305" spans="1:40" x14ac:dyDescent="0.2">
      <c r="A305" s="12">
        <v>44859</v>
      </c>
      <c r="B305" s="6">
        <v>25</v>
      </c>
      <c r="C305" s="6">
        <v>298</v>
      </c>
      <c r="D305" s="6">
        <v>3</v>
      </c>
      <c r="E305" s="6" t="s">
        <v>14</v>
      </c>
      <c r="F305" s="6">
        <v>43</v>
      </c>
      <c r="G305" s="6">
        <v>10</v>
      </c>
      <c r="H305" s="6" t="s">
        <v>26</v>
      </c>
      <c r="I305" s="6">
        <v>4</v>
      </c>
      <c r="J305" s="14">
        <v>5.980934328245973</v>
      </c>
      <c r="K305" s="14">
        <v>34.651999465159925</v>
      </c>
      <c r="L305" s="14">
        <f t="shared" si="110"/>
        <v>207.2513331435361</v>
      </c>
      <c r="M305" s="16">
        <v>0.63059596033141563</v>
      </c>
      <c r="N305" s="14">
        <f t="shared" si="111"/>
        <v>130.6918534536143</v>
      </c>
      <c r="O305" s="14">
        <f t="shared" si="112"/>
        <v>76.559479689921801</v>
      </c>
      <c r="P305" s="14">
        <v>29.285823596927624</v>
      </c>
      <c r="Q305" s="14">
        <v>14.106223976043218</v>
      </c>
      <c r="R305" s="14">
        <f t="shared" si="96"/>
        <v>12.987012987012987</v>
      </c>
      <c r="S305" s="14">
        <v>40.35821976014762</v>
      </c>
      <c r="T305" s="14">
        <f t="shared" si="113"/>
        <v>145.07593320047525</v>
      </c>
      <c r="U305" s="14">
        <f t="shared" si="97"/>
        <v>24.256399625611945</v>
      </c>
      <c r="V305" s="14">
        <v>31.23803404981123</v>
      </c>
      <c r="W305" s="16">
        <f t="shared" si="114"/>
        <v>1.2073442080829337</v>
      </c>
      <c r="X305" s="16">
        <f t="shared" si="115"/>
        <v>0.19146321176002801</v>
      </c>
      <c r="Y305" s="16">
        <f t="shared" si="116"/>
        <v>0.90085137190202247</v>
      </c>
      <c r="Z305" s="16">
        <f t="shared" si="98"/>
        <v>0.24657139643802703</v>
      </c>
      <c r="AA305" s="16">
        <f t="shared" si="99"/>
        <v>6.2663109520355018E-2</v>
      </c>
      <c r="AB305" s="14">
        <f t="shared" si="117"/>
        <v>24.256399625611945</v>
      </c>
      <c r="AC305" s="16">
        <f t="shared" si="100"/>
        <v>0.40708254051042581</v>
      </c>
      <c r="AD305" s="16">
        <f t="shared" si="101"/>
        <v>0.14130583940150163</v>
      </c>
      <c r="AE305" s="23" t="str">
        <f t="shared" si="118"/>
        <v/>
      </c>
      <c r="AF305" s="23" t="str">
        <f t="shared" si="102"/>
        <v/>
      </c>
      <c r="AG305" s="23" t="str">
        <f t="shared" si="103"/>
        <v/>
      </c>
      <c r="AH305" s="23" t="str">
        <f t="shared" si="119"/>
        <v/>
      </c>
      <c r="AI305" s="23" t="str">
        <f t="shared" si="104"/>
        <v/>
      </c>
      <c r="AJ305" s="23" t="str">
        <f t="shared" si="105"/>
        <v/>
      </c>
      <c r="AK305" s="23">
        <f t="shared" si="106"/>
        <v>83</v>
      </c>
      <c r="AL305" s="23" t="str">
        <f t="shared" si="107"/>
        <v/>
      </c>
      <c r="AM305" s="52">
        <f t="shared" si="108"/>
        <v>83</v>
      </c>
      <c r="AN305" s="26">
        <f t="shared" si="109"/>
        <v>-6.4405203100781989</v>
      </c>
    </row>
    <row r="306" spans="1:40" x14ac:dyDescent="0.2">
      <c r="A306" s="12">
        <v>44860</v>
      </c>
      <c r="B306" s="6">
        <v>26</v>
      </c>
      <c r="C306" s="6">
        <v>299</v>
      </c>
      <c r="D306" s="6">
        <v>4</v>
      </c>
      <c r="E306" s="6" t="s">
        <v>15</v>
      </c>
      <c r="F306" s="6">
        <v>43</v>
      </c>
      <c r="G306" s="6">
        <v>10</v>
      </c>
      <c r="H306" s="6" t="s">
        <v>26</v>
      </c>
      <c r="I306" s="6">
        <v>4</v>
      </c>
      <c r="J306" s="14">
        <v>11.324479369578933</v>
      </c>
      <c r="K306" s="14">
        <v>66.013751880188494</v>
      </c>
      <c r="L306" s="14">
        <f t="shared" si="110"/>
        <v>747.57137127569706</v>
      </c>
      <c r="M306" s="16">
        <v>0.92190625371127666</v>
      </c>
      <c r="N306" s="14">
        <f t="shared" si="111"/>
        <v>689.1907222745798</v>
      </c>
      <c r="O306" s="14">
        <f t="shared" si="112"/>
        <v>58.380649001117263</v>
      </c>
      <c r="P306" s="14">
        <v>24.270996539496789</v>
      </c>
      <c r="Q306" s="14">
        <v>11.031537252000525</v>
      </c>
      <c r="R306" s="14">
        <f t="shared" si="96"/>
        <v>12.987012987012987</v>
      </c>
      <c r="S306" s="14">
        <v>34.836545138291598</v>
      </c>
      <c r="T306" s="14">
        <f t="shared" si="113"/>
        <v>523.29995989298789</v>
      </c>
      <c r="U306" s="14">
        <f t="shared" si="97"/>
        <v>46.209626316131938</v>
      </c>
      <c r="V306" s="14">
        <v>27.004453175531655</v>
      </c>
      <c r="W306" s="16">
        <f t="shared" si="114"/>
        <v>0.52523680614624879</v>
      </c>
      <c r="X306" s="16">
        <f t="shared" si="115"/>
        <v>0.41935599643394667</v>
      </c>
      <c r="Y306" s="16">
        <f t="shared" si="116"/>
        <v>1.3170089338732525</v>
      </c>
      <c r="Z306" s="16">
        <f t="shared" si="98"/>
        <v>0.24506753835456832</v>
      </c>
      <c r="AA306" s="16">
        <f t="shared" si="99"/>
        <v>1.7372271713470288E-2</v>
      </c>
      <c r="AB306" s="14">
        <f t="shared" si="117"/>
        <v>46.209626316131938</v>
      </c>
      <c r="AC306" s="16">
        <f t="shared" si="100"/>
        <v>0.16710968454000596</v>
      </c>
      <c r="AD306" s="16">
        <f t="shared" si="101"/>
        <v>3.2466460691344318E-2</v>
      </c>
      <c r="AE306" s="23" t="str">
        <f t="shared" si="118"/>
        <v/>
      </c>
      <c r="AF306" s="23" t="str">
        <f t="shared" si="102"/>
        <v/>
      </c>
      <c r="AG306" s="23" t="str">
        <f t="shared" si="103"/>
        <v/>
      </c>
      <c r="AH306" s="23" t="str">
        <f t="shared" si="119"/>
        <v/>
      </c>
      <c r="AI306" s="23" t="str">
        <f t="shared" si="104"/>
        <v/>
      </c>
      <c r="AJ306" s="23" t="str">
        <f t="shared" si="105"/>
        <v/>
      </c>
      <c r="AK306" s="23" t="str">
        <f t="shared" si="106"/>
        <v/>
      </c>
      <c r="AL306" s="23" t="str">
        <f t="shared" si="107"/>
        <v/>
      </c>
      <c r="AM306" s="52">
        <f t="shared" si="108"/>
        <v>0</v>
      </c>
      <c r="AN306" s="26">
        <f t="shared" si="109"/>
        <v>58.380649001117263</v>
      </c>
    </row>
    <row r="307" spans="1:40" x14ac:dyDescent="0.2">
      <c r="A307" s="12">
        <v>44861</v>
      </c>
      <c r="B307" s="6">
        <v>27</v>
      </c>
      <c r="C307" s="6">
        <v>300</v>
      </c>
      <c r="D307" s="6">
        <v>5</v>
      </c>
      <c r="E307" s="6" t="s">
        <v>16</v>
      </c>
      <c r="F307" s="6">
        <v>43</v>
      </c>
      <c r="G307" s="6">
        <v>10</v>
      </c>
      <c r="H307" s="6" t="s">
        <v>26</v>
      </c>
      <c r="I307" s="6">
        <v>4</v>
      </c>
      <c r="J307" s="14">
        <v>19.821792140464645</v>
      </c>
      <c r="K307" s="14">
        <v>34.71608751125207</v>
      </c>
      <c r="L307" s="14">
        <f t="shared" si="110"/>
        <v>688.13507057821914</v>
      </c>
      <c r="M307" s="16">
        <v>0.62380484644657475</v>
      </c>
      <c r="N307" s="14">
        <f t="shared" si="111"/>
        <v>429.26199203654886</v>
      </c>
      <c r="O307" s="14">
        <f t="shared" si="112"/>
        <v>258.87307854167028</v>
      </c>
      <c r="P307" s="14">
        <v>36.360724493756578</v>
      </c>
      <c r="Q307" s="14">
        <v>14.089255925698428</v>
      </c>
      <c r="R307" s="14">
        <f t="shared" si="96"/>
        <v>12.987012987012987</v>
      </c>
      <c r="S307" s="14">
        <v>36.679492713635391</v>
      </c>
      <c r="T307" s="14">
        <f t="shared" si="113"/>
        <v>481.69454940475339</v>
      </c>
      <c r="U307" s="14">
        <f t="shared" si="97"/>
        <v>24.301261257876451</v>
      </c>
      <c r="V307" s="14">
        <v>37.550196425948165</v>
      </c>
      <c r="W307" s="16">
        <f t="shared" si="114"/>
        <v>1.4962484501487119</v>
      </c>
      <c r="X307" s="16">
        <f t="shared" si="115"/>
        <v>0.5278745260242439</v>
      </c>
      <c r="Y307" s="16">
        <f t="shared" si="116"/>
        <v>0.89114978063796391</v>
      </c>
      <c r="Z307" s="16">
        <f t="shared" si="98"/>
        <v>0.81566927453364446</v>
      </c>
      <c r="AA307" s="16">
        <f t="shared" si="99"/>
        <v>1.8872767196853362E-2</v>
      </c>
      <c r="AB307" s="14">
        <f t="shared" si="117"/>
        <v>24.301261257876451</v>
      </c>
      <c r="AC307" s="16">
        <f t="shared" si="100"/>
        <v>0.40584227474169898</v>
      </c>
      <c r="AD307" s="16">
        <f t="shared" si="101"/>
        <v>5.2839516612928558E-2</v>
      </c>
      <c r="AE307" s="23" t="str">
        <f t="shared" si="118"/>
        <v/>
      </c>
      <c r="AF307" s="23" t="str">
        <f t="shared" si="102"/>
        <v/>
      </c>
      <c r="AG307" s="23" t="str">
        <f t="shared" si="103"/>
        <v/>
      </c>
      <c r="AH307" s="23" t="str">
        <f t="shared" si="119"/>
        <v/>
      </c>
      <c r="AI307" s="23" t="str">
        <f t="shared" si="104"/>
        <v/>
      </c>
      <c r="AJ307" s="23" t="str">
        <f t="shared" si="105"/>
        <v/>
      </c>
      <c r="AK307" s="23" t="str">
        <f t="shared" si="106"/>
        <v/>
      </c>
      <c r="AL307" s="23" t="str">
        <f t="shared" si="107"/>
        <v/>
      </c>
      <c r="AM307" s="52">
        <f t="shared" si="108"/>
        <v>0</v>
      </c>
      <c r="AN307" s="26">
        <f t="shared" si="109"/>
        <v>258.87307854167028</v>
      </c>
    </row>
    <row r="308" spans="1:40" x14ac:dyDescent="0.2">
      <c r="A308" s="12">
        <v>44862</v>
      </c>
      <c r="B308" s="6">
        <v>28</v>
      </c>
      <c r="C308" s="6">
        <v>301</v>
      </c>
      <c r="D308" s="6">
        <v>6</v>
      </c>
      <c r="E308" s="6" t="s">
        <v>17</v>
      </c>
      <c r="F308" s="6">
        <v>43</v>
      </c>
      <c r="G308" s="6">
        <v>10</v>
      </c>
      <c r="H308" s="6" t="s">
        <v>26</v>
      </c>
      <c r="I308" s="6">
        <v>4</v>
      </c>
      <c r="J308" s="14">
        <v>8.1579412366083304</v>
      </c>
      <c r="K308" s="14">
        <v>33.546769760849998</v>
      </c>
      <c r="L308" s="14">
        <f t="shared" si="110"/>
        <v>273.67257638704359</v>
      </c>
      <c r="M308" s="16">
        <v>0.51335761918466538</v>
      </c>
      <c r="N308" s="14">
        <f t="shared" si="111"/>
        <v>140.49190225018617</v>
      </c>
      <c r="O308" s="14">
        <f t="shared" si="112"/>
        <v>133.18067413685742</v>
      </c>
      <c r="P308" s="14">
        <v>42.026635710541392</v>
      </c>
      <c r="Q308" s="14">
        <v>6.8601844821110465</v>
      </c>
      <c r="R308" s="14">
        <f t="shared" si="96"/>
        <v>12.987012987012987</v>
      </c>
      <c r="S308" s="14">
        <v>37.268592240833613</v>
      </c>
      <c r="T308" s="14">
        <f t="shared" si="113"/>
        <v>191.57080347093051</v>
      </c>
      <c r="U308" s="14">
        <f t="shared" si="97"/>
        <v>23.482738832595</v>
      </c>
      <c r="V308" s="14">
        <v>27.59058416329303</v>
      </c>
      <c r="W308" s="16">
        <f t="shared" si="114"/>
        <v>1.7896820302837377</v>
      </c>
      <c r="X308" s="16">
        <f t="shared" si="115"/>
        <v>0.29567845277671906</v>
      </c>
      <c r="Y308" s="16">
        <f t="shared" si="116"/>
        <v>0.73336802740666485</v>
      </c>
      <c r="Z308" s="16">
        <f t="shared" si="98"/>
        <v>0.34740160825213345</v>
      </c>
      <c r="AA308" s="16">
        <f t="shared" si="99"/>
        <v>4.7454564715486883E-2</v>
      </c>
      <c r="AB308" s="14">
        <f t="shared" si="117"/>
        <v>23.482738832595</v>
      </c>
      <c r="AC308" s="16">
        <f t="shared" si="100"/>
        <v>0.20449612678109683</v>
      </c>
      <c r="AD308" s="16">
        <f t="shared" si="101"/>
        <v>0.15356538921570603</v>
      </c>
      <c r="AE308" s="23" t="str">
        <f t="shared" si="118"/>
        <v/>
      </c>
      <c r="AF308" s="23" t="str">
        <f t="shared" si="102"/>
        <v/>
      </c>
      <c r="AG308" s="23" t="str">
        <f t="shared" si="103"/>
        <v/>
      </c>
      <c r="AH308" s="23" t="str">
        <f t="shared" si="119"/>
        <v/>
      </c>
      <c r="AI308" s="23" t="str">
        <f t="shared" si="104"/>
        <v/>
      </c>
      <c r="AJ308" s="23" t="str">
        <f t="shared" si="105"/>
        <v/>
      </c>
      <c r="AK308" s="23" t="str">
        <f t="shared" si="106"/>
        <v/>
      </c>
      <c r="AL308" s="23" t="str">
        <f t="shared" si="107"/>
        <v/>
      </c>
      <c r="AM308" s="52">
        <f t="shared" si="108"/>
        <v>0</v>
      </c>
      <c r="AN308" s="26">
        <f t="shared" si="109"/>
        <v>133.18067413685742</v>
      </c>
    </row>
    <row r="309" spans="1:40" x14ac:dyDescent="0.2">
      <c r="A309" s="12">
        <v>44863</v>
      </c>
      <c r="B309" s="6">
        <v>29</v>
      </c>
      <c r="C309" s="6">
        <v>302</v>
      </c>
      <c r="D309" s="6">
        <v>7</v>
      </c>
      <c r="E309" s="6" t="s">
        <v>10</v>
      </c>
      <c r="F309" s="6">
        <v>43</v>
      </c>
      <c r="G309" s="6">
        <v>10</v>
      </c>
      <c r="H309" s="6" t="s">
        <v>26</v>
      </c>
      <c r="I309" s="6">
        <v>4</v>
      </c>
      <c r="J309" s="14">
        <v>6.0991948917108827</v>
      </c>
      <c r="K309" s="14">
        <v>35.177823851633129</v>
      </c>
      <c r="L309" s="14">
        <f t="shared" si="110"/>
        <v>214.55640353738602</v>
      </c>
      <c r="M309" s="16">
        <v>0.51458247853712291</v>
      </c>
      <c r="N309" s="14">
        <f t="shared" si="111"/>
        <v>110.40696591827923</v>
      </c>
      <c r="O309" s="14">
        <f t="shared" si="112"/>
        <v>104.14943761910679</v>
      </c>
      <c r="P309" s="14">
        <v>28.757997581215736</v>
      </c>
      <c r="Q309" s="14">
        <v>14.574850099167106</v>
      </c>
      <c r="R309" s="14">
        <f t="shared" si="96"/>
        <v>12.987012987012987</v>
      </c>
      <c r="S309" s="14">
        <v>35.330006408690608</v>
      </c>
      <c r="T309" s="14">
        <f t="shared" si="113"/>
        <v>150.18948247617021</v>
      </c>
      <c r="U309" s="14">
        <f t="shared" si="97"/>
        <v>24.624476696143191</v>
      </c>
      <c r="V309" s="14">
        <v>33.879583258052286</v>
      </c>
      <c r="W309" s="16">
        <f t="shared" si="114"/>
        <v>1.1678622833727044</v>
      </c>
      <c r="X309" s="16">
        <f t="shared" si="115"/>
        <v>0.18002567638612452</v>
      </c>
      <c r="Y309" s="16">
        <f t="shared" si="116"/>
        <v>0.73511782648160418</v>
      </c>
      <c r="Z309" s="16">
        <f t="shared" si="98"/>
        <v>0.24768830489161905</v>
      </c>
      <c r="AA309" s="16">
        <f t="shared" si="99"/>
        <v>6.0529598617875914E-2</v>
      </c>
      <c r="AB309" s="14">
        <f t="shared" si="117"/>
        <v>24.624476696143191</v>
      </c>
      <c r="AC309" s="16">
        <f t="shared" si="100"/>
        <v>0.41431926433648536</v>
      </c>
      <c r="AD309" s="16">
        <f t="shared" si="101"/>
        <v>0.13403467389965229</v>
      </c>
      <c r="AE309" s="23" t="str">
        <f t="shared" si="118"/>
        <v/>
      </c>
      <c r="AF309" s="23" t="str">
        <f t="shared" si="102"/>
        <v/>
      </c>
      <c r="AG309" s="23" t="str">
        <f t="shared" si="103"/>
        <v/>
      </c>
      <c r="AH309" s="23" t="str">
        <f t="shared" si="119"/>
        <v/>
      </c>
      <c r="AI309" s="23" t="str">
        <f t="shared" si="104"/>
        <v/>
      </c>
      <c r="AJ309" s="23" t="str">
        <f t="shared" si="105"/>
        <v/>
      </c>
      <c r="AK309" s="23" t="str">
        <f t="shared" si="106"/>
        <v/>
      </c>
      <c r="AL309" s="23" t="str">
        <f t="shared" si="107"/>
        <v/>
      </c>
      <c r="AM309" s="52">
        <f t="shared" si="108"/>
        <v>0</v>
      </c>
      <c r="AN309" s="26">
        <f t="shared" si="109"/>
        <v>104.14943761910679</v>
      </c>
    </row>
    <row r="310" spans="1:40" x14ac:dyDescent="0.2">
      <c r="A310" s="12">
        <v>44864</v>
      </c>
      <c r="B310" s="6">
        <v>30</v>
      </c>
      <c r="C310" s="6">
        <v>303</v>
      </c>
      <c r="D310" s="6">
        <v>1</v>
      </c>
      <c r="E310" s="6" t="s">
        <v>12</v>
      </c>
      <c r="F310" s="6">
        <v>44</v>
      </c>
      <c r="G310" s="6">
        <v>10</v>
      </c>
      <c r="H310" s="6" t="s">
        <v>26</v>
      </c>
      <c r="I310" s="6">
        <v>4</v>
      </c>
      <c r="J310" s="14">
        <v>4.4582659444872652</v>
      </c>
      <c r="K310" s="14">
        <v>17.291277579573176</v>
      </c>
      <c r="L310" s="14">
        <f t="shared" si="110"/>
        <v>77.089113969687276</v>
      </c>
      <c r="M310" s="16">
        <v>0.25928533673574938</v>
      </c>
      <c r="N310" s="14">
        <f t="shared" si="111"/>
        <v>19.988076874290925</v>
      </c>
      <c r="O310" s="14">
        <f t="shared" si="112"/>
        <v>57.10103709539635</v>
      </c>
      <c r="P310" s="14">
        <v>14.542422806243104</v>
      </c>
      <c r="Q310" s="14">
        <v>6.5077578252450516</v>
      </c>
      <c r="R310" s="14">
        <f t="shared" si="96"/>
        <v>28.571428571428573</v>
      </c>
      <c r="S310" s="14">
        <v>16.287563444698762</v>
      </c>
      <c r="T310" s="14">
        <f t="shared" si="113"/>
        <v>53.962379778781091</v>
      </c>
      <c r="U310" s="14">
        <f t="shared" si="97"/>
        <v>12.103894305701223</v>
      </c>
      <c r="V310" s="14">
        <v>17.002350657473123</v>
      </c>
      <c r="W310" s="16">
        <f t="shared" si="114"/>
        <v>1.201466440383016</v>
      </c>
      <c r="X310" s="16">
        <f t="shared" si="115"/>
        <v>0.26221468044641832</v>
      </c>
      <c r="Y310" s="16">
        <f t="shared" si="116"/>
        <v>0.37040762390821336</v>
      </c>
      <c r="Z310" s="16">
        <f t="shared" si="98"/>
        <v>0.36833318532757803</v>
      </c>
      <c r="AA310" s="16">
        <f t="shared" si="99"/>
        <v>0.37062857646364095</v>
      </c>
      <c r="AB310" s="14">
        <f t="shared" si="117"/>
        <v>12.103894305701223</v>
      </c>
      <c r="AC310" s="16">
        <f t="shared" si="100"/>
        <v>0.37636072842488549</v>
      </c>
      <c r="AD310" s="16">
        <f t="shared" si="101"/>
        <v>0.18864431120535938</v>
      </c>
      <c r="AE310" s="23" t="str">
        <f t="shared" si="118"/>
        <v/>
      </c>
      <c r="AF310" s="23">
        <f t="shared" si="102"/>
        <v>1000</v>
      </c>
      <c r="AG310" s="23" t="str">
        <f t="shared" si="103"/>
        <v/>
      </c>
      <c r="AH310" s="23" t="str">
        <f t="shared" si="119"/>
        <v/>
      </c>
      <c r="AI310" s="23" t="str">
        <f t="shared" si="104"/>
        <v/>
      </c>
      <c r="AJ310" s="23" t="str">
        <f t="shared" si="105"/>
        <v/>
      </c>
      <c r="AK310" s="23" t="str">
        <f t="shared" si="106"/>
        <v/>
      </c>
      <c r="AL310" s="23" t="str">
        <f t="shared" si="107"/>
        <v/>
      </c>
      <c r="AM310" s="52">
        <f t="shared" si="108"/>
        <v>1000</v>
      </c>
      <c r="AN310" s="26">
        <f t="shared" si="109"/>
        <v>-942.89896290460365</v>
      </c>
    </row>
    <row r="311" spans="1:40" x14ac:dyDescent="0.2">
      <c r="A311" s="12">
        <v>44865</v>
      </c>
      <c r="B311" s="6">
        <v>31</v>
      </c>
      <c r="C311" s="6">
        <v>304</v>
      </c>
      <c r="D311" s="6">
        <v>2</v>
      </c>
      <c r="E311" s="6" t="s">
        <v>13</v>
      </c>
      <c r="F311" s="6">
        <v>44</v>
      </c>
      <c r="G311" s="6">
        <v>10</v>
      </c>
      <c r="H311" s="6" t="s">
        <v>26</v>
      </c>
      <c r="I311" s="6">
        <v>4</v>
      </c>
      <c r="J311" s="14">
        <v>15.982317418658194</v>
      </c>
      <c r="K311" s="14">
        <v>11.460731597391398</v>
      </c>
      <c r="L311" s="14">
        <f t="shared" si="110"/>
        <v>183.16905023955488</v>
      </c>
      <c r="M311" s="16">
        <v>0.42645295418499291</v>
      </c>
      <c r="N311" s="14">
        <f t="shared" si="111"/>
        <v>78.112982589917564</v>
      </c>
      <c r="O311" s="14">
        <f t="shared" si="112"/>
        <v>105.05606764963731</v>
      </c>
      <c r="P311" s="14">
        <v>41.883826765686877</v>
      </c>
      <c r="Q311" s="14">
        <v>15.464948302029677</v>
      </c>
      <c r="R311" s="14">
        <f t="shared" si="96"/>
        <v>12.987012987012987</v>
      </c>
      <c r="S311" s="14">
        <v>38.385357405576165</v>
      </c>
      <c r="T311" s="14">
        <f t="shared" si="113"/>
        <v>128.21833516768839</v>
      </c>
      <c r="U311" s="14">
        <f t="shared" si="97"/>
        <v>8.0225121181739762</v>
      </c>
      <c r="V311" s="14">
        <v>30.334906600949388</v>
      </c>
      <c r="W311" s="16">
        <f t="shared" si="114"/>
        <v>5.2207869740457502</v>
      </c>
      <c r="X311" s="16">
        <f t="shared" si="115"/>
        <v>0.52686225901081218</v>
      </c>
      <c r="Y311" s="16">
        <f t="shared" si="116"/>
        <v>0.60921850597856142</v>
      </c>
      <c r="Z311" s="16">
        <f t="shared" si="98"/>
        <v>1.9921836431324667</v>
      </c>
      <c r="AA311" s="16">
        <f t="shared" si="99"/>
        <v>7.0901787010568207E-2</v>
      </c>
      <c r="AB311" s="14">
        <f t="shared" si="117"/>
        <v>8.0225121181739762</v>
      </c>
      <c r="AC311" s="16">
        <f t="shared" si="100"/>
        <v>1.3493857848961133</v>
      </c>
      <c r="AD311" s="16">
        <f t="shared" si="101"/>
        <v>0.22866213866867655</v>
      </c>
      <c r="AE311" s="23" t="str">
        <f t="shared" si="118"/>
        <v/>
      </c>
      <c r="AF311" s="23" t="str">
        <f t="shared" si="102"/>
        <v/>
      </c>
      <c r="AG311" s="23" t="str">
        <f t="shared" si="103"/>
        <v/>
      </c>
      <c r="AH311" s="23" t="str">
        <f t="shared" si="119"/>
        <v/>
      </c>
      <c r="AI311" s="23" t="str">
        <f t="shared" si="104"/>
        <v/>
      </c>
      <c r="AJ311" s="23" t="str">
        <f t="shared" si="105"/>
        <v/>
      </c>
      <c r="AK311" s="23" t="str">
        <f t="shared" si="106"/>
        <v/>
      </c>
      <c r="AL311" s="23" t="str">
        <f t="shared" si="107"/>
        <v/>
      </c>
      <c r="AM311" s="52">
        <f t="shared" si="108"/>
        <v>0</v>
      </c>
      <c r="AN311" s="26">
        <f t="shared" si="109"/>
        <v>105.05606764963731</v>
      </c>
    </row>
    <row r="312" spans="1:40" x14ac:dyDescent="0.2">
      <c r="A312" s="12">
        <v>44866</v>
      </c>
      <c r="B312" s="6">
        <v>1</v>
      </c>
      <c r="C312" s="6">
        <v>305</v>
      </c>
      <c r="D312" s="6">
        <v>3</v>
      </c>
      <c r="E312" s="6" t="s">
        <v>14</v>
      </c>
      <c r="F312" s="6">
        <v>44</v>
      </c>
      <c r="G312" s="6">
        <v>11</v>
      </c>
      <c r="H312" s="6" t="s">
        <v>27</v>
      </c>
      <c r="I312" s="6">
        <v>4</v>
      </c>
      <c r="J312" s="14">
        <v>6.1913023415713537</v>
      </c>
      <c r="K312" s="14">
        <v>16.547001210378212</v>
      </c>
      <c r="L312" s="14">
        <f t="shared" si="110"/>
        <v>102.44748733979866</v>
      </c>
      <c r="M312" s="16">
        <v>0.58002197190830496</v>
      </c>
      <c r="N312" s="14">
        <f t="shared" si="111"/>
        <v>59.421793623881122</v>
      </c>
      <c r="O312" s="14">
        <f t="shared" si="112"/>
        <v>43.025693715917534</v>
      </c>
      <c r="P312" s="14">
        <v>44.603085736200917</v>
      </c>
      <c r="Q312" s="14">
        <v>11.223544873190313</v>
      </c>
      <c r="R312" s="14">
        <f t="shared" si="96"/>
        <v>12.987012987012987</v>
      </c>
      <c r="S312" s="14">
        <v>42.477312851698592</v>
      </c>
      <c r="T312" s="14">
        <f t="shared" si="113"/>
        <v>71.713241137859058</v>
      </c>
      <c r="U312" s="14">
        <f t="shared" si="97"/>
        <v>11.582900847264749</v>
      </c>
      <c r="V312" s="14">
        <v>32.503545137365464</v>
      </c>
      <c r="W312" s="16">
        <f t="shared" si="114"/>
        <v>3.8507698826355523</v>
      </c>
      <c r="X312" s="16">
        <f t="shared" si="115"/>
        <v>0.19048083264166618</v>
      </c>
      <c r="Y312" s="16">
        <f t="shared" si="116"/>
        <v>0.82860281701186422</v>
      </c>
      <c r="Z312" s="16">
        <f t="shared" si="98"/>
        <v>0.53452087894142708</v>
      </c>
      <c r="AA312" s="16">
        <f t="shared" si="99"/>
        <v>0.12676751108533835</v>
      </c>
      <c r="AB312" s="14">
        <f t="shared" si="117"/>
        <v>11.582900847264749</v>
      </c>
      <c r="AC312" s="16">
        <f t="shared" si="100"/>
        <v>0.67828271301212884</v>
      </c>
      <c r="AD312" s="16">
        <f t="shared" si="101"/>
        <v>0.4353751067438193</v>
      </c>
      <c r="AE312" s="23">
        <f t="shared" si="118"/>
        <v>3000</v>
      </c>
      <c r="AF312" s="23" t="str">
        <f t="shared" si="102"/>
        <v/>
      </c>
      <c r="AG312" s="23" t="str">
        <f t="shared" si="103"/>
        <v/>
      </c>
      <c r="AH312" s="23" t="str">
        <f t="shared" si="119"/>
        <v/>
      </c>
      <c r="AI312" s="23" t="str">
        <f t="shared" si="104"/>
        <v/>
      </c>
      <c r="AJ312" s="23" t="str">
        <f t="shared" si="105"/>
        <v/>
      </c>
      <c r="AK312" s="23" t="str">
        <f t="shared" si="106"/>
        <v/>
      </c>
      <c r="AL312" s="23" t="str">
        <f t="shared" si="107"/>
        <v/>
      </c>
      <c r="AM312" s="52">
        <f t="shared" si="108"/>
        <v>3000</v>
      </c>
      <c r="AN312" s="26">
        <f t="shared" si="109"/>
        <v>-2956.9743062840826</v>
      </c>
    </row>
    <row r="313" spans="1:40" x14ac:dyDescent="0.2">
      <c r="A313" s="12">
        <v>44867</v>
      </c>
      <c r="B313" s="6">
        <v>2</v>
      </c>
      <c r="C313" s="6">
        <v>306</v>
      </c>
      <c r="D313" s="6">
        <v>4</v>
      </c>
      <c r="E313" s="6" t="s">
        <v>15</v>
      </c>
      <c r="F313" s="6">
        <v>44</v>
      </c>
      <c r="G313" s="6">
        <v>11</v>
      </c>
      <c r="H313" s="6" t="s">
        <v>27</v>
      </c>
      <c r="I313" s="6">
        <v>4</v>
      </c>
      <c r="J313" s="14">
        <v>11.983626286440922</v>
      </c>
      <c r="K313" s="14">
        <v>52.363679306522862</v>
      </c>
      <c r="L313" s="14">
        <f t="shared" si="110"/>
        <v>627.50676379240986</v>
      </c>
      <c r="M313" s="16">
        <v>0.35438747155817024</v>
      </c>
      <c r="N313" s="14">
        <f t="shared" si="111"/>
        <v>222.3805354060421</v>
      </c>
      <c r="O313" s="14">
        <f t="shared" si="112"/>
        <v>405.12622838636776</v>
      </c>
      <c r="P313" s="14">
        <v>33.18361232997843</v>
      </c>
      <c r="Q313" s="14">
        <v>14.393107167353179</v>
      </c>
      <c r="R313" s="14">
        <f t="shared" si="96"/>
        <v>12.987012987012987</v>
      </c>
      <c r="S313" s="14">
        <v>38.577310468413607</v>
      </c>
      <c r="T313" s="14">
        <f t="shared" si="113"/>
        <v>439.2547346546869</v>
      </c>
      <c r="U313" s="14">
        <f t="shared" si="97"/>
        <v>36.654575514565998</v>
      </c>
      <c r="V313" s="14">
        <v>34.800868858982881</v>
      </c>
      <c r="W313" s="16">
        <f t="shared" si="114"/>
        <v>0.90530614157001332</v>
      </c>
      <c r="X313" s="16">
        <f t="shared" si="115"/>
        <v>0.34434847977502953</v>
      </c>
      <c r="Y313" s="16">
        <f t="shared" si="116"/>
        <v>0.50626781651167174</v>
      </c>
      <c r="Z313" s="16">
        <f t="shared" si="98"/>
        <v>0.32693398077079905</v>
      </c>
      <c r="AA313" s="16">
        <f t="shared" si="99"/>
        <v>2.0696211955588285E-2</v>
      </c>
      <c r="AB313" s="14">
        <f t="shared" si="117"/>
        <v>36.654575514565998</v>
      </c>
      <c r="AC313" s="16">
        <f t="shared" si="100"/>
        <v>0.27486814062663184</v>
      </c>
      <c r="AD313" s="16">
        <f t="shared" si="101"/>
        <v>5.2881680715964594E-2</v>
      </c>
      <c r="AE313" s="23" t="str">
        <f t="shared" si="118"/>
        <v/>
      </c>
      <c r="AF313" s="23" t="str">
        <f t="shared" si="102"/>
        <v/>
      </c>
      <c r="AG313" s="23" t="str">
        <f t="shared" si="103"/>
        <v/>
      </c>
      <c r="AH313" s="23" t="str">
        <f t="shared" si="119"/>
        <v/>
      </c>
      <c r="AI313" s="23" t="str">
        <f t="shared" si="104"/>
        <v/>
      </c>
      <c r="AJ313" s="23" t="str">
        <f t="shared" si="105"/>
        <v/>
      </c>
      <c r="AK313" s="23" t="str">
        <f t="shared" si="106"/>
        <v/>
      </c>
      <c r="AL313" s="23" t="str">
        <f t="shared" si="107"/>
        <v/>
      </c>
      <c r="AM313" s="52">
        <f t="shared" si="108"/>
        <v>0</v>
      </c>
      <c r="AN313" s="26">
        <f t="shared" si="109"/>
        <v>405.12622838636776</v>
      </c>
    </row>
    <row r="314" spans="1:40" x14ac:dyDescent="0.2">
      <c r="A314" s="12">
        <v>44868</v>
      </c>
      <c r="B314" s="6">
        <v>3</v>
      </c>
      <c r="C314" s="6">
        <v>307</v>
      </c>
      <c r="D314" s="6">
        <v>5</v>
      </c>
      <c r="E314" s="6" t="s">
        <v>16</v>
      </c>
      <c r="F314" s="6">
        <v>44</v>
      </c>
      <c r="G314" s="6">
        <v>11</v>
      </c>
      <c r="H314" s="6" t="s">
        <v>27</v>
      </c>
      <c r="I314" s="6">
        <v>4</v>
      </c>
      <c r="J314" s="14">
        <v>14.688992051233146</v>
      </c>
      <c r="K314" s="14">
        <v>4.1646356568832346</v>
      </c>
      <c r="L314" s="14">
        <f t="shared" si="110"/>
        <v>61.174300060239965</v>
      </c>
      <c r="M314" s="16">
        <v>0.33357762594044954</v>
      </c>
      <c r="N314" s="14">
        <f t="shared" si="111"/>
        <v>20.406377782663547</v>
      </c>
      <c r="O314" s="14">
        <f t="shared" si="112"/>
        <v>40.767922277576417</v>
      </c>
      <c r="P314" s="14">
        <v>42.700666741402223</v>
      </c>
      <c r="Q314" s="14">
        <v>24.047043203207096</v>
      </c>
      <c r="R314" s="14">
        <f t="shared" si="96"/>
        <v>12.987012987012987</v>
      </c>
      <c r="S314" s="14">
        <v>33.909010510087285</v>
      </c>
      <c r="T314" s="14">
        <f t="shared" si="113"/>
        <v>42.822010042167975</v>
      </c>
      <c r="U314" s="14">
        <f t="shared" si="97"/>
        <v>2.9152449598182639</v>
      </c>
      <c r="V314" s="14">
        <v>38.674197735063366</v>
      </c>
      <c r="W314" s="16">
        <f t="shared" si="114"/>
        <v>14.647368344670486</v>
      </c>
      <c r="X314" s="16">
        <f t="shared" si="115"/>
        <v>0.37981374951485025</v>
      </c>
      <c r="Y314" s="16">
        <f t="shared" si="116"/>
        <v>0.47653946562921368</v>
      </c>
      <c r="Z314" s="16">
        <f t="shared" si="98"/>
        <v>5.0386819130797358</v>
      </c>
      <c r="AA314" s="16">
        <f t="shared" si="99"/>
        <v>0.21229524447724499</v>
      </c>
      <c r="AB314" s="14">
        <f t="shared" si="117"/>
        <v>2.9152449598182639</v>
      </c>
      <c r="AC314" s="16">
        <f t="shared" si="100"/>
        <v>5.7741049120257557</v>
      </c>
      <c r="AD314" s="16">
        <f t="shared" si="101"/>
        <v>0.69801643336096597</v>
      </c>
      <c r="AE314" s="23" t="str">
        <f t="shared" si="118"/>
        <v/>
      </c>
      <c r="AF314" s="23" t="str">
        <f t="shared" si="102"/>
        <v/>
      </c>
      <c r="AG314" s="23" t="str">
        <f t="shared" si="103"/>
        <v/>
      </c>
      <c r="AH314" s="23" t="str">
        <f t="shared" si="119"/>
        <v/>
      </c>
      <c r="AI314" s="23" t="str">
        <f t="shared" si="104"/>
        <v/>
      </c>
      <c r="AJ314" s="23" t="str">
        <f t="shared" si="105"/>
        <v/>
      </c>
      <c r="AK314" s="23" t="str">
        <f t="shared" si="106"/>
        <v/>
      </c>
      <c r="AL314" s="23" t="str">
        <f t="shared" si="107"/>
        <v/>
      </c>
      <c r="AM314" s="52">
        <f t="shared" si="108"/>
        <v>0</v>
      </c>
      <c r="AN314" s="26">
        <f t="shared" si="109"/>
        <v>40.767922277576417</v>
      </c>
    </row>
    <row r="315" spans="1:40" x14ac:dyDescent="0.2">
      <c r="A315" s="12">
        <v>44869</v>
      </c>
      <c r="B315" s="6">
        <v>4</v>
      </c>
      <c r="C315" s="6">
        <v>308</v>
      </c>
      <c r="D315" s="6">
        <v>6</v>
      </c>
      <c r="E315" s="6" t="s">
        <v>17</v>
      </c>
      <c r="F315" s="6">
        <v>44</v>
      </c>
      <c r="G315" s="6">
        <v>11</v>
      </c>
      <c r="H315" s="6" t="s">
        <v>27</v>
      </c>
      <c r="I315" s="6">
        <v>4</v>
      </c>
      <c r="J315" s="14">
        <v>7.8242127663425736</v>
      </c>
      <c r="K315" s="14">
        <v>58.471842258353092</v>
      </c>
      <c r="L315" s="14">
        <f t="shared" si="110"/>
        <v>457.49613466937546</v>
      </c>
      <c r="M315" s="16">
        <v>0.62937073335519955</v>
      </c>
      <c r="N315" s="14">
        <f t="shared" si="111"/>
        <v>287.93467778403397</v>
      </c>
      <c r="O315" s="14">
        <f t="shared" si="112"/>
        <v>169.5614568853415</v>
      </c>
      <c r="P315" s="14">
        <v>61.499204235700439</v>
      </c>
      <c r="Q315" s="14">
        <v>17.191402950629026</v>
      </c>
      <c r="R315" s="14">
        <f t="shared" si="96"/>
        <v>12.987012987012987</v>
      </c>
      <c r="S315" s="14">
        <v>33.422809270501958</v>
      </c>
      <c r="T315" s="14">
        <f t="shared" si="113"/>
        <v>320.24729426856283</v>
      </c>
      <c r="U315" s="14">
        <f t="shared" si="97"/>
        <v>40.930289580847166</v>
      </c>
      <c r="V315" s="14">
        <v>29.232855302495821</v>
      </c>
      <c r="W315" s="16">
        <f t="shared" si="114"/>
        <v>1.502535282928422</v>
      </c>
      <c r="X315" s="16">
        <f t="shared" si="115"/>
        <v>0.26765133564200838</v>
      </c>
      <c r="Y315" s="16">
        <f t="shared" si="116"/>
        <v>0.89910104765028509</v>
      </c>
      <c r="Z315" s="16">
        <f t="shared" si="98"/>
        <v>0.19115947740579434</v>
      </c>
      <c r="AA315" s="16">
        <f t="shared" si="99"/>
        <v>2.8387153470484459E-2</v>
      </c>
      <c r="AB315" s="14">
        <f t="shared" si="117"/>
        <v>40.930289580847166</v>
      </c>
      <c r="AC315" s="16">
        <f t="shared" si="100"/>
        <v>0.29401165221834824</v>
      </c>
      <c r="AD315" s="16">
        <f t="shared" si="101"/>
        <v>0.13442562586926521</v>
      </c>
      <c r="AE315" s="23" t="str">
        <f t="shared" si="118"/>
        <v/>
      </c>
      <c r="AF315" s="23" t="str">
        <f t="shared" si="102"/>
        <v/>
      </c>
      <c r="AG315" s="23" t="str">
        <f t="shared" si="103"/>
        <v/>
      </c>
      <c r="AH315" s="23" t="str">
        <f t="shared" si="119"/>
        <v/>
      </c>
      <c r="AI315" s="23" t="str">
        <f t="shared" si="104"/>
        <v/>
      </c>
      <c r="AJ315" s="23" t="str">
        <f t="shared" si="105"/>
        <v/>
      </c>
      <c r="AK315" s="23" t="str">
        <f t="shared" si="106"/>
        <v/>
      </c>
      <c r="AL315" s="23" t="str">
        <f t="shared" si="107"/>
        <v/>
      </c>
      <c r="AM315" s="52">
        <f t="shared" si="108"/>
        <v>0</v>
      </c>
      <c r="AN315" s="26">
        <f t="shared" si="109"/>
        <v>169.5614568853415</v>
      </c>
    </row>
    <row r="316" spans="1:40" x14ac:dyDescent="0.2">
      <c r="A316" s="12">
        <v>44870</v>
      </c>
      <c r="B316" s="6">
        <v>5</v>
      </c>
      <c r="C316" s="6">
        <v>309</v>
      </c>
      <c r="D316" s="6">
        <v>7</v>
      </c>
      <c r="E316" s="6" t="s">
        <v>10</v>
      </c>
      <c r="F316" s="6">
        <v>44</v>
      </c>
      <c r="G316" s="6">
        <v>11</v>
      </c>
      <c r="H316" s="6" t="s">
        <v>27</v>
      </c>
      <c r="I316" s="6">
        <v>4</v>
      </c>
      <c r="J316" s="14">
        <v>20.930733362884119</v>
      </c>
      <c r="K316" s="14">
        <v>78.712862985946288</v>
      </c>
      <c r="L316" s="14">
        <f t="shared" si="110"/>
        <v>1647.5179473880723</v>
      </c>
      <c r="M316" s="16">
        <v>0.21768976302766782</v>
      </c>
      <c r="N316" s="14">
        <f t="shared" si="111"/>
        <v>358.64779155073916</v>
      </c>
      <c r="O316" s="14">
        <f t="shared" si="112"/>
        <v>1288.8701558373332</v>
      </c>
      <c r="P316" s="14">
        <v>38.469910296677973</v>
      </c>
      <c r="Q316" s="14">
        <v>12.334262034888789</v>
      </c>
      <c r="R316" s="14">
        <f t="shared" si="96"/>
        <v>12.987012987012987</v>
      </c>
      <c r="S316" s="14">
        <v>30.088509159963277</v>
      </c>
      <c r="T316" s="14">
        <f t="shared" si="113"/>
        <v>1153.2625631716505</v>
      </c>
      <c r="U316" s="14">
        <f t="shared" si="97"/>
        <v>55.099004090162396</v>
      </c>
      <c r="V316" s="14">
        <v>38.647215089729393</v>
      </c>
      <c r="W316" s="16">
        <f t="shared" si="114"/>
        <v>0.69819610956537326</v>
      </c>
      <c r="X316" s="16">
        <f t="shared" si="115"/>
        <v>0.54158451816742992</v>
      </c>
      <c r="Y316" s="16">
        <f t="shared" si="116"/>
        <v>0.31098537575381119</v>
      </c>
      <c r="Z316" s="16">
        <f t="shared" si="98"/>
        <v>0.37987498519272112</v>
      </c>
      <c r="AA316" s="16">
        <f t="shared" si="99"/>
        <v>7.8827748174775426E-3</v>
      </c>
      <c r="AB316" s="14">
        <f t="shared" si="117"/>
        <v>55.099004090162396</v>
      </c>
      <c r="AC316" s="16">
        <f t="shared" si="100"/>
        <v>0.15669944615139966</v>
      </c>
      <c r="AD316" s="16">
        <f t="shared" si="101"/>
        <v>2.3350222289030033E-2</v>
      </c>
      <c r="AE316" s="23" t="str">
        <f t="shared" si="118"/>
        <v/>
      </c>
      <c r="AF316" s="23" t="str">
        <f t="shared" si="102"/>
        <v/>
      </c>
      <c r="AG316" s="23" t="str">
        <f t="shared" si="103"/>
        <v/>
      </c>
      <c r="AH316" s="23" t="str">
        <f t="shared" si="119"/>
        <v/>
      </c>
      <c r="AI316" s="23" t="str">
        <f t="shared" si="104"/>
        <v/>
      </c>
      <c r="AJ316" s="23" t="str">
        <f t="shared" si="105"/>
        <v/>
      </c>
      <c r="AK316" s="23" t="str">
        <f t="shared" si="106"/>
        <v/>
      </c>
      <c r="AL316" s="23">
        <f t="shared" si="107"/>
        <v>1000</v>
      </c>
      <c r="AM316" s="52">
        <f t="shared" si="108"/>
        <v>1000</v>
      </c>
      <c r="AN316" s="26">
        <f t="shared" si="109"/>
        <v>288.87015583733319</v>
      </c>
    </row>
    <row r="317" spans="1:40" x14ac:dyDescent="0.2">
      <c r="A317" s="12">
        <v>44871</v>
      </c>
      <c r="B317" s="6">
        <v>6</v>
      </c>
      <c r="C317" s="6">
        <v>310</v>
      </c>
      <c r="D317" s="6">
        <v>1</v>
      </c>
      <c r="E317" s="6" t="s">
        <v>12</v>
      </c>
      <c r="F317" s="6">
        <v>45</v>
      </c>
      <c r="G317" s="6">
        <v>11</v>
      </c>
      <c r="H317" s="6" t="s">
        <v>27</v>
      </c>
      <c r="I317" s="6">
        <v>4</v>
      </c>
      <c r="J317" s="14">
        <v>5.8985955935819536</v>
      </c>
      <c r="K317" s="14">
        <v>33.025234739089484</v>
      </c>
      <c r="L317" s="14">
        <f t="shared" si="110"/>
        <v>194.80250410900288</v>
      </c>
      <c r="M317" s="16">
        <v>0.18828496419838722</v>
      </c>
      <c r="N317" s="14">
        <f t="shared" si="111"/>
        <v>36.678382511919786</v>
      </c>
      <c r="O317" s="14">
        <f t="shared" si="112"/>
        <v>158.1241215970831</v>
      </c>
      <c r="P317" s="14">
        <v>17.189249164943938</v>
      </c>
      <c r="Q317" s="14">
        <v>6.1420344231439783</v>
      </c>
      <c r="R317" s="14">
        <f t="shared" si="96"/>
        <v>28.571428571428573</v>
      </c>
      <c r="S317" s="14">
        <v>16.356593853665299</v>
      </c>
      <c r="T317" s="14">
        <f t="shared" si="113"/>
        <v>136.36175287630201</v>
      </c>
      <c r="U317" s="14">
        <f t="shared" si="97"/>
        <v>23.117664317362635</v>
      </c>
      <c r="V317" s="14">
        <v>20.414774373100766</v>
      </c>
      <c r="W317" s="16">
        <f t="shared" si="114"/>
        <v>0.74355475228671208</v>
      </c>
      <c r="X317" s="16">
        <f t="shared" si="115"/>
        <v>0.28893758440721018</v>
      </c>
      <c r="Y317" s="16">
        <f t="shared" si="116"/>
        <v>0.26897852028341035</v>
      </c>
      <c r="Z317" s="16">
        <f t="shared" si="98"/>
        <v>0.25515534409554447</v>
      </c>
      <c r="AA317" s="16">
        <f t="shared" si="99"/>
        <v>0.1466686924899141</v>
      </c>
      <c r="AB317" s="14">
        <f t="shared" si="117"/>
        <v>23.117664317362635</v>
      </c>
      <c r="AC317" s="16">
        <f t="shared" si="100"/>
        <v>0.18598003834546903</v>
      </c>
      <c r="AD317" s="16">
        <f t="shared" si="101"/>
        <v>8.8239364496698627E-2</v>
      </c>
      <c r="AE317" s="23" t="str">
        <f t="shared" si="118"/>
        <v/>
      </c>
      <c r="AF317" s="23">
        <f t="shared" si="102"/>
        <v>1000</v>
      </c>
      <c r="AG317" s="23" t="str">
        <f t="shared" si="103"/>
        <v/>
      </c>
      <c r="AH317" s="23" t="str">
        <f t="shared" si="119"/>
        <v/>
      </c>
      <c r="AI317" s="23" t="str">
        <f t="shared" si="104"/>
        <v/>
      </c>
      <c r="AJ317" s="23" t="str">
        <f t="shared" si="105"/>
        <v/>
      </c>
      <c r="AK317" s="23" t="str">
        <f t="shared" si="106"/>
        <v/>
      </c>
      <c r="AL317" s="23" t="str">
        <f t="shared" si="107"/>
        <v/>
      </c>
      <c r="AM317" s="52">
        <f t="shared" si="108"/>
        <v>1000</v>
      </c>
      <c r="AN317" s="26">
        <f t="shared" si="109"/>
        <v>-841.8758784029169</v>
      </c>
    </row>
    <row r="318" spans="1:40" x14ac:dyDescent="0.2">
      <c r="A318" s="12">
        <v>44872</v>
      </c>
      <c r="B318" s="6">
        <v>7</v>
      </c>
      <c r="C318" s="6">
        <v>311</v>
      </c>
      <c r="D318" s="6">
        <v>2</v>
      </c>
      <c r="E318" s="6" t="s">
        <v>13</v>
      </c>
      <c r="F318" s="6">
        <v>45</v>
      </c>
      <c r="G318" s="6">
        <v>11</v>
      </c>
      <c r="H318" s="6" t="s">
        <v>27</v>
      </c>
      <c r="I318" s="6">
        <v>4</v>
      </c>
      <c r="J318" s="14">
        <v>12.041636140871482</v>
      </c>
      <c r="K318" s="14">
        <v>38.770077581601214</v>
      </c>
      <c r="L318" s="14">
        <f t="shared" si="110"/>
        <v>466.85516739100041</v>
      </c>
      <c r="M318" s="16">
        <v>0.67973852018122516</v>
      </c>
      <c r="N318" s="14">
        <f t="shared" si="111"/>
        <v>317.33944062131678</v>
      </c>
      <c r="O318" s="14">
        <f t="shared" si="112"/>
        <v>149.51572676968362</v>
      </c>
      <c r="P318" s="14">
        <v>45.607349030268978</v>
      </c>
      <c r="Q318" s="14">
        <v>16.902003228366549</v>
      </c>
      <c r="R318" s="14">
        <f t="shared" si="96"/>
        <v>12.987012987012987</v>
      </c>
      <c r="S318" s="14">
        <v>35.654468447644554</v>
      </c>
      <c r="T318" s="14">
        <f t="shared" si="113"/>
        <v>326.79861717370028</v>
      </c>
      <c r="U318" s="14">
        <f t="shared" si="97"/>
        <v>27.139054307120851</v>
      </c>
      <c r="V318" s="14">
        <v>39.17989291895703</v>
      </c>
      <c r="W318" s="16">
        <f t="shared" si="114"/>
        <v>1.6805062001848141</v>
      </c>
      <c r="X318" s="16">
        <f t="shared" si="115"/>
        <v>0.30734224225113149</v>
      </c>
      <c r="Y318" s="16">
        <f t="shared" si="116"/>
        <v>0.97105502883032169</v>
      </c>
      <c r="Z318" s="16">
        <f t="shared" si="98"/>
        <v>0.44370139079282328</v>
      </c>
      <c r="AA318" s="16">
        <f t="shared" si="99"/>
        <v>2.7818076984325434E-2</v>
      </c>
      <c r="AB318" s="14">
        <f t="shared" si="117"/>
        <v>27.139054307120851</v>
      </c>
      <c r="AC318" s="16">
        <f t="shared" si="100"/>
        <v>0.43595484669309997</v>
      </c>
      <c r="AD318" s="16">
        <f t="shared" si="101"/>
        <v>9.7690573470876729E-2</v>
      </c>
      <c r="AE318" s="23" t="str">
        <f t="shared" si="118"/>
        <v/>
      </c>
      <c r="AF318" s="23" t="str">
        <f t="shared" si="102"/>
        <v/>
      </c>
      <c r="AG318" s="23" t="str">
        <f t="shared" si="103"/>
        <v/>
      </c>
      <c r="AH318" s="23" t="str">
        <f t="shared" si="119"/>
        <v/>
      </c>
      <c r="AI318" s="23" t="str">
        <f t="shared" si="104"/>
        <v/>
      </c>
      <c r="AJ318" s="23" t="str">
        <f t="shared" si="105"/>
        <v/>
      </c>
      <c r="AK318" s="23" t="str">
        <f t="shared" si="106"/>
        <v/>
      </c>
      <c r="AL318" s="23" t="str">
        <f t="shared" si="107"/>
        <v/>
      </c>
      <c r="AM318" s="52">
        <f t="shared" si="108"/>
        <v>0</v>
      </c>
      <c r="AN318" s="26">
        <f t="shared" si="109"/>
        <v>149.51572676968362</v>
      </c>
    </row>
    <row r="319" spans="1:40" x14ac:dyDescent="0.2">
      <c r="A319" s="12">
        <v>44873</v>
      </c>
      <c r="B319" s="6">
        <v>8</v>
      </c>
      <c r="C319" s="6">
        <v>312</v>
      </c>
      <c r="D319" s="6">
        <v>3</v>
      </c>
      <c r="E319" s="6" t="s">
        <v>14</v>
      </c>
      <c r="F319" s="6">
        <v>45</v>
      </c>
      <c r="G319" s="6">
        <v>11</v>
      </c>
      <c r="H319" s="6" t="s">
        <v>27</v>
      </c>
      <c r="I319" s="6">
        <v>4</v>
      </c>
      <c r="J319" s="14">
        <v>10.913286051030781</v>
      </c>
      <c r="K319" s="14">
        <v>62.664642348994661</v>
      </c>
      <c r="L319" s="14">
        <f t="shared" si="110"/>
        <v>683.87716724011614</v>
      </c>
      <c r="M319" s="16">
        <v>0.45447724803582668</v>
      </c>
      <c r="N319" s="14">
        <f t="shared" si="111"/>
        <v>310.80661296182478</v>
      </c>
      <c r="O319" s="14">
        <f t="shared" si="112"/>
        <v>373.07055427829135</v>
      </c>
      <c r="P319" s="14">
        <v>43.24802889098931</v>
      </c>
      <c r="Q319" s="14">
        <v>14.424191498375933</v>
      </c>
      <c r="R319" s="14">
        <f t="shared" si="96"/>
        <v>12.987012987012987</v>
      </c>
      <c r="S319" s="14">
        <v>41.98235029677852</v>
      </c>
      <c r="T319" s="14">
        <f t="shared" si="113"/>
        <v>478.71401706808126</v>
      </c>
      <c r="U319" s="14">
        <f t="shared" si="97"/>
        <v>43.865249644296256</v>
      </c>
      <c r="V319" s="14">
        <v>30.870380800431153</v>
      </c>
      <c r="W319" s="16">
        <f t="shared" si="114"/>
        <v>0.98592916355630034</v>
      </c>
      <c r="X319" s="16">
        <f t="shared" si="115"/>
        <v>0.35351964465816887</v>
      </c>
      <c r="Y319" s="16">
        <f t="shared" si="116"/>
        <v>0.64925321147975246</v>
      </c>
      <c r="Z319" s="16">
        <f t="shared" si="98"/>
        <v>0.24879115335092644</v>
      </c>
      <c r="AA319" s="16">
        <f t="shared" si="99"/>
        <v>1.8990271366163502E-2</v>
      </c>
      <c r="AB319" s="14">
        <f t="shared" si="117"/>
        <v>43.865249644296256</v>
      </c>
      <c r="AC319" s="16">
        <f t="shared" si="100"/>
        <v>0.2301807041049416</v>
      </c>
      <c r="AD319" s="16">
        <f t="shared" si="101"/>
        <v>6.32394689612506E-2</v>
      </c>
      <c r="AE319" s="23" t="str">
        <f t="shared" si="118"/>
        <v/>
      </c>
      <c r="AF319" s="23" t="str">
        <f t="shared" si="102"/>
        <v/>
      </c>
      <c r="AG319" s="23" t="str">
        <f t="shared" si="103"/>
        <v/>
      </c>
      <c r="AH319" s="23" t="str">
        <f t="shared" si="119"/>
        <v/>
      </c>
      <c r="AI319" s="23" t="str">
        <f t="shared" si="104"/>
        <v/>
      </c>
      <c r="AJ319" s="23" t="str">
        <f t="shared" si="105"/>
        <v/>
      </c>
      <c r="AK319" s="23" t="str">
        <f t="shared" si="106"/>
        <v/>
      </c>
      <c r="AL319" s="23" t="str">
        <f t="shared" si="107"/>
        <v/>
      </c>
      <c r="AM319" s="52">
        <f t="shared" si="108"/>
        <v>0</v>
      </c>
      <c r="AN319" s="26">
        <f t="shared" si="109"/>
        <v>373.07055427829135</v>
      </c>
    </row>
    <row r="320" spans="1:40" x14ac:dyDescent="0.2">
      <c r="A320" s="12">
        <v>44874</v>
      </c>
      <c r="B320" s="6">
        <v>9</v>
      </c>
      <c r="C320" s="6">
        <v>313</v>
      </c>
      <c r="D320" s="6">
        <v>4</v>
      </c>
      <c r="E320" s="6" t="s">
        <v>15</v>
      </c>
      <c r="F320" s="6">
        <v>45</v>
      </c>
      <c r="G320" s="6">
        <v>11</v>
      </c>
      <c r="H320" s="6" t="s">
        <v>27</v>
      </c>
      <c r="I320" s="6">
        <v>4</v>
      </c>
      <c r="J320" s="14">
        <v>17.706255008473924</v>
      </c>
      <c r="K320" s="14">
        <v>10.097176543227706</v>
      </c>
      <c r="L320" s="14">
        <f t="shared" si="110"/>
        <v>178.78318273997098</v>
      </c>
      <c r="M320" s="16">
        <v>0.3609867553656797</v>
      </c>
      <c r="N320" s="14">
        <f t="shared" si="111"/>
        <v>64.538361051251513</v>
      </c>
      <c r="O320" s="14">
        <f t="shared" si="112"/>
        <v>114.24482168871947</v>
      </c>
      <c r="P320" s="14">
        <v>62.750197353120996</v>
      </c>
      <c r="Q320" s="14">
        <v>14.639251757421656</v>
      </c>
      <c r="R320" s="14">
        <f t="shared" si="96"/>
        <v>12.987012987012987</v>
      </c>
      <c r="S320" s="14">
        <v>37.254604365094025</v>
      </c>
      <c r="T320" s="14">
        <f t="shared" si="113"/>
        <v>125.14822791797968</v>
      </c>
      <c r="U320" s="14">
        <f t="shared" si="97"/>
        <v>7.0680235802593936</v>
      </c>
      <c r="V320" s="14">
        <v>34.152971883259681</v>
      </c>
      <c r="W320" s="16">
        <f t="shared" si="114"/>
        <v>8.8780401820360204</v>
      </c>
      <c r="X320" s="16">
        <f t="shared" si="115"/>
        <v>0.51843965640813738</v>
      </c>
      <c r="Y320" s="16">
        <f t="shared" si="116"/>
        <v>0.51569536480811384</v>
      </c>
      <c r="Z320" s="16">
        <f t="shared" si="98"/>
        <v>2.505121100320963</v>
      </c>
      <c r="AA320" s="16">
        <f t="shared" si="99"/>
        <v>7.2641133175830014E-2</v>
      </c>
      <c r="AB320" s="14">
        <f t="shared" si="117"/>
        <v>7.0680235802593936</v>
      </c>
      <c r="AC320" s="16">
        <f t="shared" si="100"/>
        <v>1.4498361690269121</v>
      </c>
      <c r="AD320" s="16">
        <f t="shared" si="101"/>
        <v>0.35098489909080127</v>
      </c>
      <c r="AE320" s="23" t="str">
        <f t="shared" si="118"/>
        <v/>
      </c>
      <c r="AF320" s="23" t="str">
        <f t="shared" si="102"/>
        <v/>
      </c>
      <c r="AG320" s="23" t="str">
        <f t="shared" si="103"/>
        <v/>
      </c>
      <c r="AH320" s="23" t="str">
        <f t="shared" si="119"/>
        <v/>
      </c>
      <c r="AI320" s="23" t="str">
        <f t="shared" si="104"/>
        <v/>
      </c>
      <c r="AJ320" s="23" t="str">
        <f t="shared" si="105"/>
        <v/>
      </c>
      <c r="AK320" s="23" t="str">
        <f t="shared" si="106"/>
        <v/>
      </c>
      <c r="AL320" s="23" t="str">
        <f t="shared" si="107"/>
        <v/>
      </c>
      <c r="AM320" s="52">
        <f t="shared" si="108"/>
        <v>0</v>
      </c>
      <c r="AN320" s="26">
        <f t="shared" si="109"/>
        <v>114.24482168871947</v>
      </c>
    </row>
    <row r="321" spans="1:40" x14ac:dyDescent="0.2">
      <c r="A321" s="12">
        <v>44875</v>
      </c>
      <c r="B321" s="6">
        <v>10</v>
      </c>
      <c r="C321" s="6">
        <v>314</v>
      </c>
      <c r="D321" s="6">
        <v>5</v>
      </c>
      <c r="E321" s="6" t="s">
        <v>16</v>
      </c>
      <c r="F321" s="6">
        <v>45</v>
      </c>
      <c r="G321" s="6">
        <v>11</v>
      </c>
      <c r="H321" s="6" t="s">
        <v>27</v>
      </c>
      <c r="I321" s="6">
        <v>4</v>
      </c>
      <c r="J321" s="14">
        <v>20.129490314148885</v>
      </c>
      <c r="K321" s="14">
        <v>61.738538471675845</v>
      </c>
      <c r="L321" s="14">
        <f t="shared" si="110"/>
        <v>1242.7653121753071</v>
      </c>
      <c r="M321" s="16">
        <v>0.36114060573793083</v>
      </c>
      <c r="N321" s="14">
        <f t="shared" si="111"/>
        <v>448.81301762907913</v>
      </c>
      <c r="O321" s="14">
        <f t="shared" si="112"/>
        <v>793.95229454622802</v>
      </c>
      <c r="P321" s="14">
        <v>57.580056843879348</v>
      </c>
      <c r="Q321" s="14">
        <v>13.535054739438786</v>
      </c>
      <c r="R321" s="14">
        <f t="shared" si="96"/>
        <v>12.987012987012987</v>
      </c>
      <c r="S321" s="14">
        <v>32.735471043472032</v>
      </c>
      <c r="T321" s="14">
        <f t="shared" si="113"/>
        <v>869.93571852271498</v>
      </c>
      <c r="U321" s="14">
        <f t="shared" si="97"/>
        <v>43.216976930173089</v>
      </c>
      <c r="V321" s="14">
        <v>36.632068754013353</v>
      </c>
      <c r="W321" s="16">
        <f t="shared" si="114"/>
        <v>1.3323480940583396</v>
      </c>
      <c r="X321" s="16">
        <f t="shared" si="115"/>
        <v>0.54950460071801244</v>
      </c>
      <c r="Y321" s="16">
        <f t="shared" si="116"/>
        <v>0.51591515105418695</v>
      </c>
      <c r="Z321" s="16">
        <f t="shared" si="98"/>
        <v>0.46577738065003205</v>
      </c>
      <c r="AA321" s="16">
        <f t="shared" si="99"/>
        <v>1.0450092917608737E-2</v>
      </c>
      <c r="AB321" s="14">
        <f t="shared" si="117"/>
        <v>43.216976930173089</v>
      </c>
      <c r="AC321" s="16">
        <f t="shared" si="100"/>
        <v>0.2192318618887997</v>
      </c>
      <c r="AD321" s="16">
        <f t="shared" si="101"/>
        <v>4.6332204704919361E-2</v>
      </c>
      <c r="AE321" s="23" t="str">
        <f t="shared" si="118"/>
        <v/>
      </c>
      <c r="AF321" s="23" t="str">
        <f t="shared" si="102"/>
        <v/>
      </c>
      <c r="AG321" s="23" t="str">
        <f t="shared" si="103"/>
        <v/>
      </c>
      <c r="AH321" s="23">
        <f t="shared" si="119"/>
        <v>300</v>
      </c>
      <c r="AI321" s="23" t="str">
        <f t="shared" si="104"/>
        <v/>
      </c>
      <c r="AJ321" s="23" t="str">
        <f t="shared" si="105"/>
        <v/>
      </c>
      <c r="AK321" s="23" t="str">
        <f t="shared" si="106"/>
        <v/>
      </c>
      <c r="AL321" s="23" t="str">
        <f t="shared" si="107"/>
        <v/>
      </c>
      <c r="AM321" s="52">
        <f t="shared" si="108"/>
        <v>300</v>
      </c>
      <c r="AN321" s="26">
        <f t="shared" si="109"/>
        <v>493.95229454622802</v>
      </c>
    </row>
    <row r="322" spans="1:40" x14ac:dyDescent="0.2">
      <c r="A322" s="12">
        <v>44876</v>
      </c>
      <c r="B322" s="6">
        <v>11</v>
      </c>
      <c r="C322" s="6">
        <v>315</v>
      </c>
      <c r="D322" s="6">
        <v>6</v>
      </c>
      <c r="E322" s="6" t="s">
        <v>17</v>
      </c>
      <c r="F322" s="6">
        <v>45</v>
      </c>
      <c r="G322" s="6">
        <v>11</v>
      </c>
      <c r="H322" s="6" t="s">
        <v>27</v>
      </c>
      <c r="I322" s="6">
        <v>4</v>
      </c>
      <c r="J322" s="14">
        <v>15.91080836208501</v>
      </c>
      <c r="K322" s="14">
        <v>35.848952130528467</v>
      </c>
      <c r="L322" s="14">
        <f t="shared" si="110"/>
        <v>570.3858073303976</v>
      </c>
      <c r="M322" s="16">
        <v>0.73702375917837815</v>
      </c>
      <c r="N322" s="14">
        <f t="shared" si="111"/>
        <v>420.38789190064375</v>
      </c>
      <c r="O322" s="14">
        <f t="shared" si="112"/>
        <v>149.99791542975385</v>
      </c>
      <c r="P322" s="14">
        <v>40.05484967881322</v>
      </c>
      <c r="Q322" s="14">
        <v>16.102474274360386</v>
      </c>
      <c r="R322" s="14">
        <f t="shared" si="96"/>
        <v>12.987012987012987</v>
      </c>
      <c r="S322" s="14">
        <v>35.658499910866361</v>
      </c>
      <c r="T322" s="14">
        <f t="shared" si="113"/>
        <v>399.27006513127827</v>
      </c>
      <c r="U322" s="14">
        <f t="shared" si="97"/>
        <v>25.094266491369925</v>
      </c>
      <c r="V322" s="14">
        <v>38.941058253765775</v>
      </c>
      <c r="W322" s="16">
        <f t="shared" si="114"/>
        <v>1.5961753531464382</v>
      </c>
      <c r="X322" s="16">
        <f t="shared" si="115"/>
        <v>0.40858695360561659</v>
      </c>
      <c r="Y322" s="16">
        <f t="shared" si="116"/>
        <v>1.0528910845405404</v>
      </c>
      <c r="Z322" s="16">
        <f t="shared" si="98"/>
        <v>0.63404157948019069</v>
      </c>
      <c r="AA322" s="16">
        <f t="shared" si="99"/>
        <v>2.276882212023593E-2</v>
      </c>
      <c r="AB322" s="14">
        <f t="shared" si="117"/>
        <v>25.094266491369925</v>
      </c>
      <c r="AC322" s="16">
        <f t="shared" si="100"/>
        <v>0.4491755914016729</v>
      </c>
      <c r="AD322" s="16">
        <f t="shared" si="101"/>
        <v>7.0224134549005945E-2</v>
      </c>
      <c r="AE322" s="23" t="str">
        <f t="shared" si="118"/>
        <v/>
      </c>
      <c r="AF322" s="23" t="str">
        <f t="shared" si="102"/>
        <v/>
      </c>
      <c r="AG322" s="23" t="str">
        <f t="shared" si="103"/>
        <v/>
      </c>
      <c r="AH322" s="23" t="str">
        <f t="shared" si="119"/>
        <v/>
      </c>
      <c r="AI322" s="23" t="str">
        <f t="shared" si="104"/>
        <v/>
      </c>
      <c r="AJ322" s="23" t="str">
        <f t="shared" si="105"/>
        <v/>
      </c>
      <c r="AK322" s="23" t="str">
        <f t="shared" si="106"/>
        <v/>
      </c>
      <c r="AL322" s="23" t="str">
        <f t="shared" si="107"/>
        <v/>
      </c>
      <c r="AM322" s="52">
        <f t="shared" si="108"/>
        <v>0</v>
      </c>
      <c r="AN322" s="26">
        <f t="shared" si="109"/>
        <v>149.99791542975385</v>
      </c>
    </row>
    <row r="323" spans="1:40" x14ac:dyDescent="0.2">
      <c r="A323" s="12">
        <v>44877</v>
      </c>
      <c r="B323" s="6">
        <v>12</v>
      </c>
      <c r="C323" s="6">
        <v>316</v>
      </c>
      <c r="D323" s="6">
        <v>7</v>
      </c>
      <c r="E323" s="6" t="s">
        <v>10</v>
      </c>
      <c r="F323" s="6">
        <v>45</v>
      </c>
      <c r="G323" s="6">
        <v>11</v>
      </c>
      <c r="H323" s="6" t="s">
        <v>27</v>
      </c>
      <c r="I323" s="6">
        <v>4</v>
      </c>
      <c r="J323" s="14">
        <v>9.0040132738071179</v>
      </c>
      <c r="K323" s="14">
        <v>56.778051550829332</v>
      </c>
      <c r="L323" s="14">
        <f t="shared" si="110"/>
        <v>511.2303298245721</v>
      </c>
      <c r="M323" s="16">
        <v>0.44979652335634612</v>
      </c>
      <c r="N323" s="14">
        <f t="shared" si="111"/>
        <v>229.94962498941067</v>
      </c>
      <c r="O323" s="14">
        <f t="shared" si="112"/>
        <v>281.28070483516143</v>
      </c>
      <c r="P323" s="14">
        <v>36.921485040071431</v>
      </c>
      <c r="Q323" s="14">
        <v>14.75842908041326</v>
      </c>
      <c r="R323" s="14">
        <f t="shared" si="96"/>
        <v>12.987012987012987</v>
      </c>
      <c r="S323" s="14">
        <v>30.930551877736761</v>
      </c>
      <c r="T323" s="14">
        <f t="shared" si="113"/>
        <v>357.86123087720046</v>
      </c>
      <c r="U323" s="14">
        <f t="shared" si="97"/>
        <v>39.744636085580531</v>
      </c>
      <c r="V323" s="14">
        <v>33.062747744550137</v>
      </c>
      <c r="W323" s="16">
        <f t="shared" si="114"/>
        <v>0.92896774700792017</v>
      </c>
      <c r="X323" s="16">
        <f t="shared" si="115"/>
        <v>0.27233106405353996</v>
      </c>
      <c r="Y323" s="16">
        <f t="shared" si="116"/>
        <v>0.64256646193763733</v>
      </c>
      <c r="Z323" s="16">
        <f t="shared" si="98"/>
        <v>0.22654662768629047</v>
      </c>
      <c r="AA323" s="16">
        <f t="shared" si="99"/>
        <v>2.5403447779535029E-2</v>
      </c>
      <c r="AB323" s="14">
        <f t="shared" si="117"/>
        <v>39.744636085580531</v>
      </c>
      <c r="AC323" s="16">
        <f t="shared" si="100"/>
        <v>0.25993193984828966</v>
      </c>
      <c r="AD323" s="16">
        <f t="shared" si="101"/>
        <v>7.2220842321192052E-2</v>
      </c>
      <c r="AE323" s="23" t="str">
        <f t="shared" si="118"/>
        <v/>
      </c>
      <c r="AF323" s="23" t="str">
        <f t="shared" si="102"/>
        <v/>
      </c>
      <c r="AG323" s="23" t="str">
        <f t="shared" si="103"/>
        <v/>
      </c>
      <c r="AH323" s="23" t="str">
        <f t="shared" si="119"/>
        <v/>
      </c>
      <c r="AI323" s="23" t="str">
        <f t="shared" si="104"/>
        <v/>
      </c>
      <c r="AJ323" s="23">
        <f t="shared" si="105"/>
        <v>480</v>
      </c>
      <c r="AK323" s="23" t="str">
        <f t="shared" si="106"/>
        <v/>
      </c>
      <c r="AL323" s="23" t="str">
        <f t="shared" si="107"/>
        <v/>
      </c>
      <c r="AM323" s="52">
        <f t="shared" si="108"/>
        <v>480</v>
      </c>
      <c r="AN323" s="26">
        <f t="shared" si="109"/>
        <v>-198.71929516483857</v>
      </c>
    </row>
    <row r="324" spans="1:40" x14ac:dyDescent="0.2">
      <c r="A324" s="12">
        <v>44878</v>
      </c>
      <c r="B324" s="6">
        <v>13</v>
      </c>
      <c r="C324" s="6">
        <v>317</v>
      </c>
      <c r="D324" s="6">
        <v>1</v>
      </c>
      <c r="E324" s="6" t="s">
        <v>12</v>
      </c>
      <c r="F324" s="6">
        <v>46</v>
      </c>
      <c r="G324" s="6">
        <v>11</v>
      </c>
      <c r="H324" s="6" t="s">
        <v>27</v>
      </c>
      <c r="I324" s="6">
        <v>4</v>
      </c>
      <c r="J324" s="14">
        <v>5.378401432765556</v>
      </c>
      <c r="K324" s="14">
        <v>25.857404680478098</v>
      </c>
      <c r="L324" s="14">
        <f t="shared" si="110"/>
        <v>139.07150238108218</v>
      </c>
      <c r="M324" s="16">
        <v>0.19267068713802529</v>
      </c>
      <c r="N324" s="14">
        <f t="shared" si="111"/>
        <v>26.795001925080626</v>
      </c>
      <c r="O324" s="14">
        <f t="shared" si="112"/>
        <v>112.27650045600156</v>
      </c>
      <c r="P324" s="14">
        <v>18.367515899650783</v>
      </c>
      <c r="Q324" s="14">
        <v>6.8774455038960891</v>
      </c>
      <c r="R324" s="14">
        <f t="shared" si="96"/>
        <v>28.571428571428573</v>
      </c>
      <c r="S324" s="14">
        <v>13.954304852223917</v>
      </c>
      <c r="T324" s="14">
        <f t="shared" si="113"/>
        <v>97.350051666757523</v>
      </c>
      <c r="U324" s="14">
        <f t="shared" si="97"/>
        <v>18.100183276334665</v>
      </c>
      <c r="V324" s="14">
        <v>15.248784642632829</v>
      </c>
      <c r="W324" s="16">
        <f t="shared" si="114"/>
        <v>1.0147696086406841</v>
      </c>
      <c r="X324" s="16">
        <f t="shared" si="115"/>
        <v>0.35271017060130311</v>
      </c>
      <c r="Y324" s="16">
        <f t="shared" si="116"/>
        <v>0.27524383876860758</v>
      </c>
      <c r="Z324" s="16">
        <f t="shared" si="98"/>
        <v>0.2971462415962175</v>
      </c>
      <c r="AA324" s="16">
        <f t="shared" si="99"/>
        <v>0.2054441642050969</v>
      </c>
      <c r="AB324" s="14">
        <f t="shared" si="117"/>
        <v>18.100183276334665</v>
      </c>
      <c r="AC324" s="16">
        <f t="shared" si="100"/>
        <v>0.26597586219039393</v>
      </c>
      <c r="AD324" s="16">
        <f t="shared" si="101"/>
        <v>0.13207246333846542</v>
      </c>
      <c r="AE324" s="23" t="str">
        <f t="shared" si="118"/>
        <v/>
      </c>
      <c r="AF324" s="23">
        <f t="shared" si="102"/>
        <v>1000</v>
      </c>
      <c r="AG324" s="23" t="str">
        <f t="shared" si="103"/>
        <v/>
      </c>
      <c r="AH324" s="23" t="str">
        <f t="shared" si="119"/>
        <v/>
      </c>
      <c r="AI324" s="23" t="str">
        <f t="shared" si="104"/>
        <v/>
      </c>
      <c r="AJ324" s="23" t="str">
        <f t="shared" si="105"/>
        <v/>
      </c>
      <c r="AK324" s="23" t="str">
        <f t="shared" si="106"/>
        <v/>
      </c>
      <c r="AL324" s="23" t="str">
        <f t="shared" si="107"/>
        <v/>
      </c>
      <c r="AM324" s="52">
        <f t="shared" si="108"/>
        <v>1000</v>
      </c>
      <c r="AN324" s="26">
        <f t="shared" si="109"/>
        <v>-887.7234995439984</v>
      </c>
    </row>
    <row r="325" spans="1:40" x14ac:dyDescent="0.2">
      <c r="A325" s="12">
        <v>44879</v>
      </c>
      <c r="B325" s="6">
        <v>14</v>
      </c>
      <c r="C325" s="6">
        <v>318</v>
      </c>
      <c r="D325" s="6">
        <v>2</v>
      </c>
      <c r="E325" s="6" t="s">
        <v>13</v>
      </c>
      <c r="F325" s="6">
        <v>46</v>
      </c>
      <c r="G325" s="6">
        <v>11</v>
      </c>
      <c r="H325" s="6" t="s">
        <v>27</v>
      </c>
      <c r="I325" s="6">
        <v>4</v>
      </c>
      <c r="J325" s="14">
        <v>14.812009070542366</v>
      </c>
      <c r="K325" s="14">
        <v>23.655743731861858</v>
      </c>
      <c r="L325" s="14">
        <f t="shared" si="110"/>
        <v>350.38909072676358</v>
      </c>
      <c r="M325" s="16">
        <v>1.0233087538833545</v>
      </c>
      <c r="N325" s="14">
        <f t="shared" si="111"/>
        <v>358.55622380592609</v>
      </c>
      <c r="O325" s="14">
        <f t="shared" si="112"/>
        <v>-8.167133079162511</v>
      </c>
      <c r="P325" s="14">
        <v>33.803994817271231</v>
      </c>
      <c r="Q325" s="14">
        <v>13.849697148706069</v>
      </c>
      <c r="R325" s="14">
        <f t="shared" si="96"/>
        <v>12.987012987012987</v>
      </c>
      <c r="S325" s="14">
        <v>44.481338406180967</v>
      </c>
      <c r="T325" s="14">
        <f t="shared" si="113"/>
        <v>245.27236350873449</v>
      </c>
      <c r="U325" s="14">
        <f t="shared" si="97"/>
        <v>16.5590206123033</v>
      </c>
      <c r="V325" s="14">
        <v>39.418288297688633</v>
      </c>
      <c r="W325" s="16">
        <f t="shared" si="114"/>
        <v>2.0414247683317073</v>
      </c>
      <c r="X325" s="16">
        <f t="shared" si="115"/>
        <v>0.37576489772162169</v>
      </c>
      <c r="Y325" s="16">
        <f t="shared" si="116"/>
        <v>1.4618696484047924</v>
      </c>
      <c r="Z325" s="16">
        <f t="shared" si="98"/>
        <v>0.89449789437046112</v>
      </c>
      <c r="AA325" s="16">
        <f t="shared" si="99"/>
        <v>3.7064547186888223E-2</v>
      </c>
      <c r="AB325" s="14">
        <f t="shared" si="117"/>
        <v>16.5590206123033</v>
      </c>
      <c r="AC325" s="16">
        <f t="shared" si="100"/>
        <v>0.58546868387198281</v>
      </c>
      <c r="AD325" s="16">
        <f t="shared" si="101"/>
        <v>9.6475591597775731E-2</v>
      </c>
      <c r="AE325" s="23" t="str">
        <f t="shared" si="118"/>
        <v/>
      </c>
      <c r="AF325" s="23" t="str">
        <f t="shared" si="102"/>
        <v/>
      </c>
      <c r="AG325" s="23" t="str">
        <f t="shared" si="103"/>
        <v/>
      </c>
      <c r="AH325" s="23" t="str">
        <f t="shared" si="119"/>
        <v/>
      </c>
      <c r="AI325" s="23" t="str">
        <f t="shared" si="104"/>
        <v/>
      </c>
      <c r="AJ325" s="23" t="str">
        <f t="shared" si="105"/>
        <v/>
      </c>
      <c r="AK325" s="23" t="str">
        <f t="shared" si="106"/>
        <v/>
      </c>
      <c r="AL325" s="23" t="str">
        <f t="shared" si="107"/>
        <v/>
      </c>
      <c r="AM325" s="52">
        <f t="shared" si="108"/>
        <v>0</v>
      </c>
      <c r="AN325" s="26">
        <f t="shared" si="109"/>
        <v>-8.167133079162511</v>
      </c>
    </row>
    <row r="326" spans="1:40" x14ac:dyDescent="0.2">
      <c r="A326" s="12">
        <v>44880</v>
      </c>
      <c r="B326" s="6">
        <v>15</v>
      </c>
      <c r="C326" s="6">
        <v>319</v>
      </c>
      <c r="D326" s="6">
        <v>3</v>
      </c>
      <c r="E326" s="6" t="s">
        <v>14</v>
      </c>
      <c r="F326" s="6">
        <v>46</v>
      </c>
      <c r="G326" s="6">
        <v>11</v>
      </c>
      <c r="H326" s="6" t="s">
        <v>27</v>
      </c>
      <c r="I326" s="6">
        <v>4</v>
      </c>
      <c r="J326" s="14">
        <v>7.3517257409388996</v>
      </c>
      <c r="K326" s="14">
        <v>36.542496067695801</v>
      </c>
      <c r="L326" s="14">
        <f t="shared" si="110"/>
        <v>268.65040897903776</v>
      </c>
      <c r="M326" s="16">
        <v>0.43525138489210968</v>
      </c>
      <c r="N326" s="14">
        <f t="shared" si="111"/>
        <v>116.93046255995785</v>
      </c>
      <c r="O326" s="14">
        <f t="shared" si="112"/>
        <v>151.71994641907992</v>
      </c>
      <c r="P326" s="14">
        <v>29.453239393504006</v>
      </c>
      <c r="Q326" s="14">
        <v>14.67348863606421</v>
      </c>
      <c r="R326" s="14">
        <f t="shared" si="96"/>
        <v>12.987012987012987</v>
      </c>
      <c r="S326" s="14">
        <v>37.930896075610349</v>
      </c>
      <c r="T326" s="14">
        <f t="shared" si="113"/>
        <v>188.05528628532642</v>
      </c>
      <c r="U326" s="14">
        <f t="shared" si="97"/>
        <v>25.579747247387061</v>
      </c>
      <c r="V326" s="14">
        <v>37.596505075197676</v>
      </c>
      <c r="W326" s="16">
        <f t="shared" si="114"/>
        <v>1.1514280852213119</v>
      </c>
      <c r="X326" s="16">
        <f t="shared" si="115"/>
        <v>0.19554279649756104</v>
      </c>
      <c r="Y326" s="16">
        <f t="shared" si="116"/>
        <v>0.62178769270301393</v>
      </c>
      <c r="Z326" s="16">
        <f t="shared" si="98"/>
        <v>0.28740415883858544</v>
      </c>
      <c r="AA326" s="16">
        <f t="shared" si="99"/>
        <v>4.8341683291561029E-2</v>
      </c>
      <c r="AB326" s="14">
        <f t="shared" si="117"/>
        <v>25.579747247387061</v>
      </c>
      <c r="AC326" s="16">
        <f t="shared" si="100"/>
        <v>0.40154587713114182</v>
      </c>
      <c r="AD326" s="16">
        <f t="shared" si="101"/>
        <v>0.10963407614169007</v>
      </c>
      <c r="AE326" s="23" t="str">
        <f t="shared" si="118"/>
        <v/>
      </c>
      <c r="AF326" s="23" t="str">
        <f t="shared" si="102"/>
        <v/>
      </c>
      <c r="AG326" s="23">
        <f t="shared" si="103"/>
        <v>300</v>
      </c>
      <c r="AH326" s="23" t="str">
        <f t="shared" si="119"/>
        <v/>
      </c>
      <c r="AI326" s="23" t="str">
        <f t="shared" si="104"/>
        <v/>
      </c>
      <c r="AJ326" s="23" t="str">
        <f t="shared" si="105"/>
        <v/>
      </c>
      <c r="AK326" s="23" t="str">
        <f t="shared" si="106"/>
        <v/>
      </c>
      <c r="AL326" s="23" t="str">
        <f t="shared" si="107"/>
        <v/>
      </c>
      <c r="AM326" s="52">
        <f t="shared" si="108"/>
        <v>300</v>
      </c>
      <c r="AN326" s="26">
        <f t="shared" si="109"/>
        <v>-148.28005358092008</v>
      </c>
    </row>
    <row r="327" spans="1:40" x14ac:dyDescent="0.2">
      <c r="A327" s="12">
        <v>44881</v>
      </c>
      <c r="B327" s="6">
        <v>16</v>
      </c>
      <c r="C327" s="6">
        <v>320</v>
      </c>
      <c r="D327" s="6">
        <v>4</v>
      </c>
      <c r="E327" s="6" t="s">
        <v>15</v>
      </c>
      <c r="F327" s="6">
        <v>46</v>
      </c>
      <c r="G327" s="6">
        <v>11</v>
      </c>
      <c r="H327" s="6" t="s">
        <v>27</v>
      </c>
      <c r="I327" s="6">
        <v>4</v>
      </c>
      <c r="J327" s="14">
        <v>14.044186374919555</v>
      </c>
      <c r="K327" s="14">
        <v>54.34816739035189</v>
      </c>
      <c r="L327" s="14">
        <f t="shared" si="110"/>
        <v>763.27579196542729</v>
      </c>
      <c r="M327" s="16">
        <v>0.53596769323724802</v>
      </c>
      <c r="N327" s="14">
        <f t="shared" si="111"/>
        <v>409.09116552354368</v>
      </c>
      <c r="O327" s="14">
        <f t="shared" si="112"/>
        <v>354.18462644188361</v>
      </c>
      <c r="P327" s="14">
        <v>42.889033648583968</v>
      </c>
      <c r="Q327" s="14">
        <v>20.155393858457799</v>
      </c>
      <c r="R327" s="14">
        <f t="shared" si="96"/>
        <v>12.987012987012987</v>
      </c>
      <c r="S327" s="14">
        <v>28.156766366579937</v>
      </c>
      <c r="T327" s="14">
        <f t="shared" si="113"/>
        <v>534.2930543757991</v>
      </c>
      <c r="U327" s="14">
        <f t="shared" si="97"/>
        <v>38.043717173246321</v>
      </c>
      <c r="V327" s="14">
        <v>37.050424683391547</v>
      </c>
      <c r="W327" s="16">
        <f t="shared" si="114"/>
        <v>1.1273618046646883</v>
      </c>
      <c r="X327" s="16">
        <f t="shared" si="115"/>
        <v>0.3790560160897451</v>
      </c>
      <c r="Y327" s="16">
        <f t="shared" si="116"/>
        <v>0.76566813319606863</v>
      </c>
      <c r="Z327" s="16">
        <f t="shared" si="98"/>
        <v>0.36915915211345118</v>
      </c>
      <c r="AA327" s="16">
        <f t="shared" si="99"/>
        <v>1.7014836738856294E-2</v>
      </c>
      <c r="AB327" s="14">
        <f t="shared" si="117"/>
        <v>38.043717173246321</v>
      </c>
      <c r="AC327" s="16">
        <f t="shared" si="100"/>
        <v>0.37085691802067766</v>
      </c>
      <c r="AD327" s="16">
        <f t="shared" si="101"/>
        <v>5.6190742717183717E-2</v>
      </c>
      <c r="AE327" s="23" t="str">
        <f t="shared" si="118"/>
        <v/>
      </c>
      <c r="AF327" s="23" t="str">
        <f t="shared" si="102"/>
        <v/>
      </c>
      <c r="AG327" s="23" t="str">
        <f t="shared" si="103"/>
        <v/>
      </c>
      <c r="AH327" s="23" t="str">
        <f t="shared" si="119"/>
        <v/>
      </c>
      <c r="AI327" s="23" t="str">
        <f t="shared" si="104"/>
        <v/>
      </c>
      <c r="AJ327" s="23" t="str">
        <f t="shared" si="105"/>
        <v/>
      </c>
      <c r="AK327" s="23" t="str">
        <f t="shared" si="106"/>
        <v/>
      </c>
      <c r="AL327" s="23" t="str">
        <f t="shared" si="107"/>
        <v/>
      </c>
      <c r="AM327" s="52">
        <f t="shared" si="108"/>
        <v>0</v>
      </c>
      <c r="AN327" s="26">
        <f t="shared" si="109"/>
        <v>354.18462644188361</v>
      </c>
    </row>
    <row r="328" spans="1:40" x14ac:dyDescent="0.2">
      <c r="A328" s="12">
        <v>44882</v>
      </c>
      <c r="B328" s="6">
        <v>17</v>
      </c>
      <c r="C328" s="6">
        <v>321</v>
      </c>
      <c r="D328" s="6">
        <v>5</v>
      </c>
      <c r="E328" s="6" t="s">
        <v>16</v>
      </c>
      <c r="F328" s="6">
        <v>46</v>
      </c>
      <c r="G328" s="6">
        <v>11</v>
      </c>
      <c r="H328" s="6" t="s">
        <v>27</v>
      </c>
      <c r="I328" s="6">
        <v>4</v>
      </c>
      <c r="J328" s="14">
        <v>6.3662642575850743</v>
      </c>
      <c r="K328" s="14">
        <v>71.725862787937686</v>
      </c>
      <c r="L328" s="14">
        <f t="shared" si="110"/>
        <v>456.62579661129899</v>
      </c>
      <c r="M328" s="16">
        <v>0.52275855981647934</v>
      </c>
      <c r="N328" s="14">
        <f t="shared" si="111"/>
        <v>238.70504381157528</v>
      </c>
      <c r="O328" s="14">
        <f t="shared" si="112"/>
        <v>217.92075279972372</v>
      </c>
      <c r="P328" s="14">
        <v>26.134995315409359</v>
      </c>
      <c r="Q328" s="14">
        <v>19.881917959061838</v>
      </c>
      <c r="R328" s="14">
        <f t="shared" ref="R328:R373" si="120">IF(E328=$AF$6,$R$2/5,$R$2/11)</f>
        <v>12.987012987012987</v>
      </c>
      <c r="S328" s="14">
        <v>31.817675572022576</v>
      </c>
      <c r="T328" s="14">
        <f t="shared" si="113"/>
        <v>319.63805762790929</v>
      </c>
      <c r="U328" s="14">
        <f t="shared" ref="U328:U373" si="121">T328/J328</f>
        <v>50.208103951556375</v>
      </c>
      <c r="V328" s="14">
        <v>30.145028394964271</v>
      </c>
      <c r="W328" s="16">
        <f t="shared" si="114"/>
        <v>0.52053340513766233</v>
      </c>
      <c r="X328" s="16">
        <f t="shared" si="115"/>
        <v>0.21118786733830244</v>
      </c>
      <c r="Y328" s="16">
        <f t="shared" si="116"/>
        <v>0.74679794259497057</v>
      </c>
      <c r="Z328" s="16">
        <f t="shared" ref="Z328:Z373" si="122">J328/U328</f>
        <v>0.12679754375364596</v>
      </c>
      <c r="AA328" s="16">
        <f t="shared" ref="AA328:AA373" si="123">R328/L328</f>
        <v>2.8441259962516164E-2</v>
      </c>
      <c r="AB328" s="14">
        <f t="shared" si="117"/>
        <v>50.208103951556375</v>
      </c>
      <c r="AC328" s="16">
        <f t="shared" ref="AC328:AC373" si="124">Q328/K328</f>
        <v>0.27719315162292379</v>
      </c>
      <c r="AD328" s="16">
        <f t="shared" ref="AD328:AD373" si="125">P328/L328</f>
        <v>5.7235039083121879E-2</v>
      </c>
      <c r="AE328" s="23" t="str">
        <f t="shared" si="118"/>
        <v/>
      </c>
      <c r="AF328" s="23" t="str">
        <f t="shared" ref="AF328:AF373" si="126">IF(E328=$AF$6,$AF$5,"")</f>
        <v/>
      </c>
      <c r="AG328" s="23" t="str">
        <f t="shared" ref="AG328:AG373" si="127">IF(B328=$AG$6,$AG$5,"")</f>
        <v/>
      </c>
      <c r="AH328" s="23" t="str">
        <f t="shared" si="119"/>
        <v/>
      </c>
      <c r="AI328" s="23" t="str">
        <f t="shared" ref="AI328:AI373" si="128">IF($B328=$AI$6,$AI$5,"")</f>
        <v/>
      </c>
      <c r="AJ328" s="23" t="str">
        <f t="shared" ref="AJ328:AJ373" si="129">IF($B328=$AJ$6,$AJ$5,"")</f>
        <v/>
      </c>
      <c r="AK328" s="23" t="str">
        <f t="shared" ref="AK328:AK373" si="130">IF($B328=$AK$6,$AK$5,"")</f>
        <v/>
      </c>
      <c r="AL328" s="23" t="str">
        <f t="shared" ref="AL328:AL373" si="131">IF($B328=$AL$6,$AL$5,"")</f>
        <v/>
      </c>
      <c r="AM328" s="52">
        <f t="shared" ref="AM328:AM373" si="132">SUM(AE328:AL328)</f>
        <v>0</v>
      </c>
      <c r="AN328" s="26">
        <f t="shared" ref="AN328:AN373" si="133">O328-AM328</f>
        <v>217.92075279972372</v>
      </c>
    </row>
    <row r="329" spans="1:40" x14ac:dyDescent="0.2">
      <c r="A329" s="12">
        <v>44883</v>
      </c>
      <c r="B329" s="6">
        <v>18</v>
      </c>
      <c r="C329" s="6">
        <v>322</v>
      </c>
      <c r="D329" s="6">
        <v>6</v>
      </c>
      <c r="E329" s="6" t="s">
        <v>17</v>
      </c>
      <c r="F329" s="6">
        <v>46</v>
      </c>
      <c r="G329" s="6">
        <v>11</v>
      </c>
      <c r="H329" s="6" t="s">
        <v>27</v>
      </c>
      <c r="I329" s="6">
        <v>4</v>
      </c>
      <c r="J329" s="14">
        <v>17.529371644383019</v>
      </c>
      <c r="K329" s="14">
        <v>33.256425477243432</v>
      </c>
      <c r="L329" s="14">
        <f t="shared" ref="L329:L373" si="134">J329*K329</f>
        <v>582.96424175432799</v>
      </c>
      <c r="M329" s="16">
        <v>0.61014667340928119</v>
      </c>
      <c r="N329" s="14">
        <f t="shared" ref="N329:N373" si="135">L329*M329</f>
        <v>355.69369282296719</v>
      </c>
      <c r="O329" s="14">
        <f t="shared" ref="O329:O373" si="136">L329-N329</f>
        <v>227.27054893136079</v>
      </c>
      <c r="P329" s="14">
        <v>50.235738539848597</v>
      </c>
      <c r="Q329" s="14">
        <v>26.283874350973274</v>
      </c>
      <c r="R329" s="14">
        <f t="shared" si="120"/>
        <v>12.987012987012987</v>
      </c>
      <c r="S329" s="14">
        <v>26.714752368725676</v>
      </c>
      <c r="T329" s="14">
        <f t="shared" ref="T329:T373" si="137">L329*0.7</f>
        <v>408.07496922802954</v>
      </c>
      <c r="U329" s="14">
        <f t="shared" si="121"/>
        <v>23.279497834070398</v>
      </c>
      <c r="V329" s="14">
        <v>32.390260998320521</v>
      </c>
      <c r="W329" s="16">
        <f t="shared" ref="W329:W373" si="138">P329/U329</f>
        <v>2.157939097222568</v>
      </c>
      <c r="X329" s="16">
        <f t="shared" ref="X329:X373" si="139">J329/V329</f>
        <v>0.54119266421755419</v>
      </c>
      <c r="Y329" s="16">
        <f t="shared" ref="Y329:Y373" si="140">N329/T329</f>
        <v>0.87163810487040172</v>
      </c>
      <c r="Z329" s="16">
        <f t="shared" si="122"/>
        <v>0.75299612428615803</v>
      </c>
      <c r="AA329" s="16">
        <f t="shared" si="123"/>
        <v>2.2277546471685578E-2</v>
      </c>
      <c r="AB329" s="14">
        <f t="shared" ref="AB329:AB373" si="141">T329/J329</f>
        <v>23.279497834070398</v>
      </c>
      <c r="AC329" s="16">
        <f t="shared" si="124"/>
        <v>0.79033973055699247</v>
      </c>
      <c r="AD329" s="16">
        <f t="shared" si="125"/>
        <v>8.6172932989291087E-2</v>
      </c>
      <c r="AE329" s="23" t="str">
        <f t="shared" ref="AE329:AE373" si="142">IF(B329=$AE$6,$AE$5, "")</f>
        <v/>
      </c>
      <c r="AF329" s="23" t="str">
        <f t="shared" si="126"/>
        <v/>
      </c>
      <c r="AG329" s="23" t="str">
        <f t="shared" si="127"/>
        <v/>
      </c>
      <c r="AH329" s="23" t="str">
        <f t="shared" ref="AH329:AH373" si="143">IF(B329=$AH$6,$AH$5,"")</f>
        <v/>
      </c>
      <c r="AI329" s="23" t="str">
        <f t="shared" si="128"/>
        <v/>
      </c>
      <c r="AJ329" s="23" t="str">
        <f t="shared" si="129"/>
        <v/>
      </c>
      <c r="AK329" s="23" t="str">
        <f t="shared" si="130"/>
        <v/>
      </c>
      <c r="AL329" s="23" t="str">
        <f t="shared" si="131"/>
        <v/>
      </c>
      <c r="AM329" s="52">
        <f t="shared" si="132"/>
        <v>0</v>
      </c>
      <c r="AN329" s="26">
        <f t="shared" si="133"/>
        <v>227.27054893136079</v>
      </c>
    </row>
    <row r="330" spans="1:40" x14ac:dyDescent="0.2">
      <c r="A330" s="12">
        <v>44884</v>
      </c>
      <c r="B330" s="6">
        <v>19</v>
      </c>
      <c r="C330" s="6">
        <v>323</v>
      </c>
      <c r="D330" s="6">
        <v>7</v>
      </c>
      <c r="E330" s="6" t="s">
        <v>10</v>
      </c>
      <c r="F330" s="6">
        <v>46</v>
      </c>
      <c r="G330" s="6">
        <v>11</v>
      </c>
      <c r="H330" s="6" t="s">
        <v>27</v>
      </c>
      <c r="I330" s="6">
        <v>4</v>
      </c>
      <c r="J330" s="14">
        <v>21.118571432854871</v>
      </c>
      <c r="K330" s="14">
        <v>24.343161532148496</v>
      </c>
      <c r="L330" s="14">
        <f t="shared" si="134"/>
        <v>514.09279571820286</v>
      </c>
      <c r="M330" s="16">
        <v>0.52479712939706114</v>
      </c>
      <c r="N330" s="14">
        <f t="shared" si="135"/>
        <v>269.79442343662265</v>
      </c>
      <c r="O330" s="14">
        <f t="shared" si="136"/>
        <v>244.29837228158021</v>
      </c>
      <c r="P330" s="14">
        <v>28.577143479279062</v>
      </c>
      <c r="Q330" s="14">
        <v>18.995574018383778</v>
      </c>
      <c r="R330" s="14">
        <f t="shared" si="120"/>
        <v>12.987012987012987</v>
      </c>
      <c r="S330" s="14">
        <v>33.377946199950919</v>
      </c>
      <c r="T330" s="14">
        <f t="shared" si="137"/>
        <v>359.86495700274196</v>
      </c>
      <c r="U330" s="14">
        <f t="shared" si="121"/>
        <v>17.040213072503946</v>
      </c>
      <c r="V330" s="14">
        <v>32.033624528007131</v>
      </c>
      <c r="W330" s="16">
        <f t="shared" si="138"/>
        <v>1.6770414406021181</v>
      </c>
      <c r="X330" s="16">
        <f t="shared" si="139"/>
        <v>0.6592626261942609</v>
      </c>
      <c r="Y330" s="16">
        <f t="shared" si="140"/>
        <v>0.74971018485294461</v>
      </c>
      <c r="Z330" s="16">
        <f t="shared" si="122"/>
        <v>1.2393372866288719</v>
      </c>
      <c r="AA330" s="16">
        <f t="shared" si="123"/>
        <v>2.5262001520308691E-2</v>
      </c>
      <c r="AB330" s="14">
        <f t="shared" si="141"/>
        <v>17.040213072503946</v>
      </c>
      <c r="AC330" s="16">
        <f t="shared" si="124"/>
        <v>0.78032485605033297</v>
      </c>
      <c r="AD330" s="16">
        <f t="shared" si="125"/>
        <v>5.5587519835511301E-2</v>
      </c>
      <c r="AE330" s="23" t="str">
        <f t="shared" si="142"/>
        <v/>
      </c>
      <c r="AF330" s="23" t="str">
        <f t="shared" si="126"/>
        <v/>
      </c>
      <c r="AG330" s="23" t="str">
        <f t="shared" si="127"/>
        <v/>
      </c>
      <c r="AH330" s="23" t="str">
        <f t="shared" si="143"/>
        <v/>
      </c>
      <c r="AI330" s="23" t="str">
        <f t="shared" si="128"/>
        <v/>
      </c>
      <c r="AJ330" s="23" t="str">
        <f t="shared" si="129"/>
        <v/>
      </c>
      <c r="AK330" s="23" t="str">
        <f t="shared" si="130"/>
        <v/>
      </c>
      <c r="AL330" s="23" t="str">
        <f t="shared" si="131"/>
        <v/>
      </c>
      <c r="AM330" s="52">
        <f t="shared" si="132"/>
        <v>0</v>
      </c>
      <c r="AN330" s="26">
        <f t="shared" si="133"/>
        <v>244.29837228158021</v>
      </c>
    </row>
    <row r="331" spans="1:40" x14ac:dyDescent="0.2">
      <c r="A331" s="12">
        <v>44885</v>
      </c>
      <c r="B331" s="6">
        <v>20</v>
      </c>
      <c r="C331" s="6">
        <v>324</v>
      </c>
      <c r="D331" s="6">
        <v>1</v>
      </c>
      <c r="E331" s="6" t="s">
        <v>12</v>
      </c>
      <c r="F331" s="6">
        <v>47</v>
      </c>
      <c r="G331" s="6">
        <v>11</v>
      </c>
      <c r="H331" s="6" t="s">
        <v>27</v>
      </c>
      <c r="I331" s="6">
        <v>4</v>
      </c>
      <c r="J331" s="14">
        <v>3.8578575388526684</v>
      </c>
      <c r="K331" s="14">
        <v>26.617637779289758</v>
      </c>
      <c r="L331" s="14">
        <f t="shared" si="134"/>
        <v>102.68705457328259</v>
      </c>
      <c r="M331" s="16">
        <v>0.23930573947930686</v>
      </c>
      <c r="N331" s="14">
        <f t="shared" si="135"/>
        <v>24.573601529611331</v>
      </c>
      <c r="O331" s="14">
        <f t="shared" si="136"/>
        <v>78.113453043671257</v>
      </c>
      <c r="P331" s="14">
        <v>18.558333916619073</v>
      </c>
      <c r="Q331" s="14">
        <v>7.6371182488185942</v>
      </c>
      <c r="R331" s="14">
        <f t="shared" si="120"/>
        <v>28.571428571428573</v>
      </c>
      <c r="S331" s="14">
        <v>17.122816101221485</v>
      </c>
      <c r="T331" s="14">
        <f t="shared" si="137"/>
        <v>71.880938201297809</v>
      </c>
      <c r="U331" s="14">
        <f t="shared" si="121"/>
        <v>18.632346445502829</v>
      </c>
      <c r="V331" s="14">
        <v>16.697090306745274</v>
      </c>
      <c r="W331" s="16">
        <f t="shared" si="138"/>
        <v>0.99602773976427317</v>
      </c>
      <c r="X331" s="16">
        <f t="shared" si="139"/>
        <v>0.23104968997467631</v>
      </c>
      <c r="Y331" s="16">
        <f t="shared" si="140"/>
        <v>0.34186534211329556</v>
      </c>
      <c r="Z331" s="16">
        <f t="shared" si="122"/>
        <v>0.20705162122958565</v>
      </c>
      <c r="AA331" s="16">
        <f t="shared" si="123"/>
        <v>0.27823788198188681</v>
      </c>
      <c r="AB331" s="14">
        <f t="shared" si="141"/>
        <v>18.632346445502829</v>
      </c>
      <c r="AC331" s="16">
        <f t="shared" si="124"/>
        <v>0.28691945965095239</v>
      </c>
      <c r="AD331" s="16">
        <f t="shared" si="125"/>
        <v>0.18072710327254465</v>
      </c>
      <c r="AE331" s="23" t="str">
        <f t="shared" si="142"/>
        <v/>
      </c>
      <c r="AF331" s="23">
        <f t="shared" si="126"/>
        <v>1000</v>
      </c>
      <c r="AG331" s="23" t="str">
        <f t="shared" si="127"/>
        <v/>
      </c>
      <c r="AH331" s="23" t="str">
        <f t="shared" si="143"/>
        <v/>
      </c>
      <c r="AI331" s="23">
        <f t="shared" si="128"/>
        <v>100</v>
      </c>
      <c r="AJ331" s="23" t="str">
        <f t="shared" si="129"/>
        <v/>
      </c>
      <c r="AK331" s="23" t="str">
        <f t="shared" si="130"/>
        <v/>
      </c>
      <c r="AL331" s="23" t="str">
        <f t="shared" si="131"/>
        <v/>
      </c>
      <c r="AM331" s="52">
        <f t="shared" si="132"/>
        <v>1100</v>
      </c>
      <c r="AN331" s="26">
        <f t="shared" si="133"/>
        <v>-1021.8865469563287</v>
      </c>
    </row>
    <row r="332" spans="1:40" x14ac:dyDescent="0.2">
      <c r="A332" s="12">
        <v>44886</v>
      </c>
      <c r="B332" s="6">
        <v>21</v>
      </c>
      <c r="C332" s="6">
        <v>325</v>
      </c>
      <c r="D332" s="6">
        <v>2</v>
      </c>
      <c r="E332" s="6" t="s">
        <v>13</v>
      </c>
      <c r="F332" s="6">
        <v>47</v>
      </c>
      <c r="G332" s="6">
        <v>11</v>
      </c>
      <c r="H332" s="6" t="s">
        <v>27</v>
      </c>
      <c r="I332" s="6">
        <v>4</v>
      </c>
      <c r="J332" s="14">
        <v>25.319485380825363</v>
      </c>
      <c r="K332" s="14">
        <v>37.289910154580397</v>
      </c>
      <c r="L332" s="14">
        <f t="shared" si="134"/>
        <v>944.16133501118964</v>
      </c>
      <c r="M332" s="16">
        <v>0.67754052300373691</v>
      </c>
      <c r="N332" s="14">
        <f t="shared" si="135"/>
        <v>639.70756472338792</v>
      </c>
      <c r="O332" s="14">
        <f t="shared" si="136"/>
        <v>304.45377028780172</v>
      </c>
      <c r="P332" s="14">
        <v>39.152773305669221</v>
      </c>
      <c r="Q332" s="14">
        <v>10.408570747692131</v>
      </c>
      <c r="R332" s="14">
        <f t="shared" si="120"/>
        <v>12.987012987012987</v>
      </c>
      <c r="S332" s="14">
        <v>38.586242150565816</v>
      </c>
      <c r="T332" s="14">
        <f t="shared" si="137"/>
        <v>660.91293450783269</v>
      </c>
      <c r="U332" s="14">
        <f t="shared" si="121"/>
        <v>26.102937108206277</v>
      </c>
      <c r="V332" s="14">
        <v>36.283306722541617</v>
      </c>
      <c r="W332" s="16">
        <f t="shared" si="138"/>
        <v>1.4999374646372772</v>
      </c>
      <c r="X332" s="16">
        <f t="shared" si="139"/>
        <v>0.69782739413591555</v>
      </c>
      <c r="Y332" s="16">
        <f t="shared" si="140"/>
        <v>0.96791503286248148</v>
      </c>
      <c r="Z332" s="16">
        <f t="shared" si="122"/>
        <v>0.96998606999154091</v>
      </c>
      <c r="AA332" s="16">
        <f t="shared" si="123"/>
        <v>1.3755078189956881E-2</v>
      </c>
      <c r="AB332" s="14">
        <f t="shared" si="141"/>
        <v>26.102937108206277</v>
      </c>
      <c r="AC332" s="16">
        <f t="shared" si="124"/>
        <v>0.279125659046771</v>
      </c>
      <c r="AD332" s="16">
        <f t="shared" si="125"/>
        <v>4.1468308279331526E-2</v>
      </c>
      <c r="AE332" s="23" t="str">
        <f t="shared" si="142"/>
        <v/>
      </c>
      <c r="AF332" s="23" t="str">
        <f t="shared" si="126"/>
        <v/>
      </c>
      <c r="AG332" s="23" t="str">
        <f t="shared" si="127"/>
        <v/>
      </c>
      <c r="AH332" s="23" t="str">
        <f t="shared" si="143"/>
        <v/>
      </c>
      <c r="AI332" s="23" t="str">
        <f t="shared" si="128"/>
        <v/>
      </c>
      <c r="AJ332" s="23" t="str">
        <f t="shared" si="129"/>
        <v/>
      </c>
      <c r="AK332" s="23" t="str">
        <f t="shared" si="130"/>
        <v/>
      </c>
      <c r="AL332" s="23" t="str">
        <f t="shared" si="131"/>
        <v/>
      </c>
      <c r="AM332" s="52">
        <f t="shared" si="132"/>
        <v>0</v>
      </c>
      <c r="AN332" s="26">
        <f t="shared" si="133"/>
        <v>304.45377028780172</v>
      </c>
    </row>
    <row r="333" spans="1:40" x14ac:dyDescent="0.2">
      <c r="A333" s="12">
        <v>44887</v>
      </c>
      <c r="B333" s="6">
        <v>22</v>
      </c>
      <c r="C333" s="6">
        <v>326</v>
      </c>
      <c r="D333" s="6">
        <v>3</v>
      </c>
      <c r="E333" s="6" t="s">
        <v>14</v>
      </c>
      <c r="F333" s="6">
        <v>47</v>
      </c>
      <c r="G333" s="6">
        <v>11</v>
      </c>
      <c r="H333" s="6" t="s">
        <v>27</v>
      </c>
      <c r="I333" s="6">
        <v>4</v>
      </c>
      <c r="J333" s="14">
        <v>24.237410193766618</v>
      </c>
      <c r="K333" s="14">
        <v>7.5770284266562591</v>
      </c>
      <c r="L333" s="14">
        <f t="shared" si="134"/>
        <v>183.64754602669785</v>
      </c>
      <c r="M333" s="16">
        <v>0.56313850276401578</v>
      </c>
      <c r="N333" s="14">
        <f t="shared" si="135"/>
        <v>103.41900410576031</v>
      </c>
      <c r="O333" s="14">
        <f t="shared" si="136"/>
        <v>80.228541920937545</v>
      </c>
      <c r="P333" s="14">
        <v>41.338720634017704</v>
      </c>
      <c r="Q333" s="14">
        <v>17.526777847403533</v>
      </c>
      <c r="R333" s="14">
        <f t="shared" si="120"/>
        <v>12.987012987012987</v>
      </c>
      <c r="S333" s="14">
        <v>39.877414898454127</v>
      </c>
      <c r="T333" s="14">
        <f t="shared" si="137"/>
        <v>128.55328221868848</v>
      </c>
      <c r="U333" s="14">
        <f t="shared" si="121"/>
        <v>5.3039198986593812</v>
      </c>
      <c r="V333" s="14">
        <v>27.551939642945594</v>
      </c>
      <c r="W333" s="16">
        <f t="shared" si="138"/>
        <v>7.793994144682781</v>
      </c>
      <c r="X333" s="16">
        <f t="shared" si="139"/>
        <v>0.87969887085508225</v>
      </c>
      <c r="Y333" s="16">
        <f t="shared" si="140"/>
        <v>0.80448357537716553</v>
      </c>
      <c r="Z333" s="16">
        <f t="shared" si="122"/>
        <v>4.5697164845745251</v>
      </c>
      <c r="AA333" s="16">
        <f t="shared" si="123"/>
        <v>7.0717051591448948E-2</v>
      </c>
      <c r="AB333" s="14">
        <f t="shared" si="141"/>
        <v>5.3039198986593812</v>
      </c>
      <c r="AC333" s="16">
        <f t="shared" si="124"/>
        <v>2.3131466401450598</v>
      </c>
      <c r="AD333" s="16">
        <f t="shared" si="125"/>
        <v>0.22509813786462504</v>
      </c>
      <c r="AE333" s="23" t="str">
        <f t="shared" si="142"/>
        <v/>
      </c>
      <c r="AF333" s="23" t="str">
        <f t="shared" si="126"/>
        <v/>
      </c>
      <c r="AG333" s="23" t="str">
        <f t="shared" si="127"/>
        <v/>
      </c>
      <c r="AH333" s="23" t="str">
        <f t="shared" si="143"/>
        <v/>
      </c>
      <c r="AI333" s="23" t="str">
        <f t="shared" si="128"/>
        <v/>
      </c>
      <c r="AJ333" s="23" t="str">
        <f t="shared" si="129"/>
        <v/>
      </c>
      <c r="AK333" s="23" t="str">
        <f t="shared" si="130"/>
        <v/>
      </c>
      <c r="AL333" s="23" t="str">
        <f t="shared" si="131"/>
        <v/>
      </c>
      <c r="AM333" s="52">
        <f t="shared" si="132"/>
        <v>0</v>
      </c>
      <c r="AN333" s="26">
        <f t="shared" si="133"/>
        <v>80.228541920937545</v>
      </c>
    </row>
    <row r="334" spans="1:40" x14ac:dyDescent="0.2">
      <c r="A334" s="12">
        <v>44888</v>
      </c>
      <c r="B334" s="6">
        <v>23</v>
      </c>
      <c r="C334" s="6">
        <v>327</v>
      </c>
      <c r="D334" s="6">
        <v>4</v>
      </c>
      <c r="E334" s="6" t="s">
        <v>15</v>
      </c>
      <c r="F334" s="6">
        <v>47</v>
      </c>
      <c r="G334" s="6">
        <v>11</v>
      </c>
      <c r="H334" s="6" t="s">
        <v>27</v>
      </c>
      <c r="I334" s="6">
        <v>4</v>
      </c>
      <c r="J334" s="14">
        <v>12.79518802888494</v>
      </c>
      <c r="K334" s="14">
        <v>91.974932534220159</v>
      </c>
      <c r="L334" s="14">
        <f t="shared" si="134"/>
        <v>1176.8365557193538</v>
      </c>
      <c r="M334" s="16">
        <v>0.57380557983011393</v>
      </c>
      <c r="N334" s="14">
        <f t="shared" si="135"/>
        <v>675.27538221981797</v>
      </c>
      <c r="O334" s="14">
        <f t="shared" si="136"/>
        <v>501.56117349953581</v>
      </c>
      <c r="P334" s="14">
        <v>43.531823277714857</v>
      </c>
      <c r="Q334" s="14">
        <v>12.226457896739639</v>
      </c>
      <c r="R334" s="14">
        <f t="shared" si="120"/>
        <v>12.987012987012987</v>
      </c>
      <c r="S334" s="14">
        <v>38.211533645544229</v>
      </c>
      <c r="T334" s="14">
        <f t="shared" si="137"/>
        <v>823.78558900354756</v>
      </c>
      <c r="U334" s="14">
        <f t="shared" si="121"/>
        <v>64.3824527739541</v>
      </c>
      <c r="V334" s="14">
        <v>32.218049652479607</v>
      </c>
      <c r="W334" s="16">
        <f t="shared" si="138"/>
        <v>0.67614421945921332</v>
      </c>
      <c r="X334" s="16">
        <f t="shared" si="139"/>
        <v>0.3971434697910145</v>
      </c>
      <c r="Y334" s="16">
        <f t="shared" si="140"/>
        <v>0.81972225690016287</v>
      </c>
      <c r="Z334" s="16">
        <f t="shared" si="122"/>
        <v>0.19873719433785272</v>
      </c>
      <c r="AA334" s="16">
        <f t="shared" si="123"/>
        <v>1.1035528191146763E-2</v>
      </c>
      <c r="AB334" s="14">
        <f t="shared" si="141"/>
        <v>64.3824527739541</v>
      </c>
      <c r="AC334" s="16">
        <f t="shared" si="124"/>
        <v>0.13293250193133513</v>
      </c>
      <c r="AD334" s="16">
        <f t="shared" si="125"/>
        <v>3.6990543050479573E-2</v>
      </c>
      <c r="AE334" s="23" t="str">
        <f t="shared" si="142"/>
        <v/>
      </c>
      <c r="AF334" s="23" t="str">
        <f t="shared" si="126"/>
        <v/>
      </c>
      <c r="AG334" s="23" t="str">
        <f t="shared" si="127"/>
        <v/>
      </c>
      <c r="AH334" s="23" t="str">
        <f t="shared" si="143"/>
        <v/>
      </c>
      <c r="AI334" s="23" t="str">
        <f t="shared" si="128"/>
        <v/>
      </c>
      <c r="AJ334" s="23" t="str">
        <f t="shared" si="129"/>
        <v/>
      </c>
      <c r="AK334" s="23" t="str">
        <f t="shared" si="130"/>
        <v/>
      </c>
      <c r="AL334" s="23" t="str">
        <f t="shared" si="131"/>
        <v/>
      </c>
      <c r="AM334" s="52">
        <f t="shared" si="132"/>
        <v>0</v>
      </c>
      <c r="AN334" s="26">
        <f t="shared" si="133"/>
        <v>501.56117349953581</v>
      </c>
    </row>
    <row r="335" spans="1:40" x14ac:dyDescent="0.2">
      <c r="A335" s="12">
        <v>44889</v>
      </c>
      <c r="B335" s="6">
        <v>24</v>
      </c>
      <c r="C335" s="6">
        <v>328</v>
      </c>
      <c r="D335" s="6">
        <v>5</v>
      </c>
      <c r="E335" s="6" t="s">
        <v>16</v>
      </c>
      <c r="F335" s="6">
        <v>47</v>
      </c>
      <c r="G335" s="6">
        <v>11</v>
      </c>
      <c r="H335" s="6" t="s">
        <v>27</v>
      </c>
      <c r="I335" s="6">
        <v>4</v>
      </c>
      <c r="J335" s="14">
        <v>20.642755519751727</v>
      </c>
      <c r="K335" s="14">
        <v>51.339987111672087</v>
      </c>
      <c r="L335" s="14">
        <f t="shared" si="134"/>
        <v>1059.7988023334515</v>
      </c>
      <c r="M335" s="16">
        <v>0.66413710286219585</v>
      </c>
      <c r="N335" s="14">
        <f t="shared" si="135"/>
        <v>703.85170619856342</v>
      </c>
      <c r="O335" s="14">
        <f t="shared" si="136"/>
        <v>355.94709613488806</v>
      </c>
      <c r="P335" s="14">
        <v>38.007376165834891</v>
      </c>
      <c r="Q335" s="14">
        <v>11.486358037811076</v>
      </c>
      <c r="R335" s="14">
        <f t="shared" si="120"/>
        <v>12.987012987012987</v>
      </c>
      <c r="S335" s="14">
        <v>43.194252320129692</v>
      </c>
      <c r="T335" s="14">
        <f t="shared" si="137"/>
        <v>741.85916163341597</v>
      </c>
      <c r="U335" s="14">
        <f t="shared" si="121"/>
        <v>35.937990978170454</v>
      </c>
      <c r="V335" s="14">
        <v>42.169312234916859</v>
      </c>
      <c r="W335" s="16">
        <f t="shared" si="138"/>
        <v>1.0575821054916907</v>
      </c>
      <c r="X335" s="16">
        <f t="shared" si="139"/>
        <v>0.4895208014006735</v>
      </c>
      <c r="Y335" s="16">
        <f t="shared" si="140"/>
        <v>0.94876728980313696</v>
      </c>
      <c r="Z335" s="16">
        <f t="shared" si="122"/>
        <v>0.57439926267137753</v>
      </c>
      <c r="AA335" s="16">
        <f t="shared" si="123"/>
        <v>1.2254225008009396E-2</v>
      </c>
      <c r="AB335" s="14">
        <f t="shared" si="141"/>
        <v>35.937990978170454</v>
      </c>
      <c r="AC335" s="16">
        <f t="shared" si="124"/>
        <v>0.22373122168547771</v>
      </c>
      <c r="AD335" s="16">
        <f t="shared" si="125"/>
        <v>3.5862822341514951E-2</v>
      </c>
      <c r="AE335" s="23" t="str">
        <f t="shared" si="142"/>
        <v/>
      </c>
      <c r="AF335" s="23" t="str">
        <f t="shared" si="126"/>
        <v/>
      </c>
      <c r="AG335" s="23" t="str">
        <f t="shared" si="127"/>
        <v/>
      </c>
      <c r="AH335" s="23" t="str">
        <f t="shared" si="143"/>
        <v/>
      </c>
      <c r="AI335" s="23" t="str">
        <f t="shared" si="128"/>
        <v/>
      </c>
      <c r="AJ335" s="23" t="str">
        <f t="shared" si="129"/>
        <v/>
      </c>
      <c r="AK335" s="23" t="str">
        <f t="shared" si="130"/>
        <v/>
      </c>
      <c r="AL335" s="23" t="str">
        <f t="shared" si="131"/>
        <v/>
      </c>
      <c r="AM335" s="52">
        <f t="shared" si="132"/>
        <v>0</v>
      </c>
      <c r="AN335" s="26">
        <f t="shared" si="133"/>
        <v>355.94709613488806</v>
      </c>
    </row>
    <row r="336" spans="1:40" x14ac:dyDescent="0.2">
      <c r="A336" s="12">
        <v>44890</v>
      </c>
      <c r="B336" s="6">
        <v>25</v>
      </c>
      <c r="C336" s="6">
        <v>329</v>
      </c>
      <c r="D336" s="6">
        <v>6</v>
      </c>
      <c r="E336" s="6" t="s">
        <v>17</v>
      </c>
      <c r="F336" s="6">
        <v>47</v>
      </c>
      <c r="G336" s="6">
        <v>11</v>
      </c>
      <c r="H336" s="6" t="s">
        <v>27</v>
      </c>
      <c r="I336" s="6">
        <v>4</v>
      </c>
      <c r="J336" s="14">
        <v>21.679810172649574</v>
      </c>
      <c r="K336" s="14">
        <v>63.923602731621578</v>
      </c>
      <c r="L336" s="14">
        <f t="shared" si="134"/>
        <v>1385.8515727734195</v>
      </c>
      <c r="M336" s="16">
        <v>0.71863560582043751</v>
      </c>
      <c r="N336" s="14">
        <f t="shared" si="135"/>
        <v>995.92228457723252</v>
      </c>
      <c r="O336" s="14">
        <f t="shared" si="136"/>
        <v>389.92928819618703</v>
      </c>
      <c r="P336" s="14">
        <v>39.698352604509566</v>
      </c>
      <c r="Q336" s="14">
        <v>13.294560178167286</v>
      </c>
      <c r="R336" s="14">
        <f t="shared" si="120"/>
        <v>12.987012987012987</v>
      </c>
      <c r="S336" s="14">
        <v>40.398147895984039</v>
      </c>
      <c r="T336" s="14">
        <f t="shared" si="137"/>
        <v>970.09610094139362</v>
      </c>
      <c r="U336" s="14">
        <f t="shared" si="121"/>
        <v>44.746521912135101</v>
      </c>
      <c r="V336" s="14">
        <v>42.039246564932625</v>
      </c>
      <c r="W336" s="16">
        <f t="shared" si="138"/>
        <v>0.88718297887960562</v>
      </c>
      <c r="X336" s="16">
        <f t="shared" si="139"/>
        <v>0.51570406094608656</v>
      </c>
      <c r="Y336" s="16">
        <f t="shared" si="140"/>
        <v>1.0266222940291965</v>
      </c>
      <c r="Z336" s="16">
        <f t="shared" si="122"/>
        <v>0.48450268861611978</v>
      </c>
      <c r="AA336" s="16">
        <f t="shared" si="123"/>
        <v>9.3711427992413908E-3</v>
      </c>
      <c r="AB336" s="14">
        <f t="shared" si="141"/>
        <v>44.746521912135101</v>
      </c>
      <c r="AC336" s="16">
        <f t="shared" si="124"/>
        <v>0.20797576497656889</v>
      </c>
      <c r="AD336" s="16">
        <f t="shared" si="125"/>
        <v>2.8645457698665156E-2</v>
      </c>
      <c r="AE336" s="23" t="str">
        <f t="shared" si="142"/>
        <v/>
      </c>
      <c r="AF336" s="23" t="str">
        <f t="shared" si="126"/>
        <v/>
      </c>
      <c r="AG336" s="23" t="str">
        <f t="shared" si="127"/>
        <v/>
      </c>
      <c r="AH336" s="23" t="str">
        <f t="shared" si="143"/>
        <v/>
      </c>
      <c r="AI336" s="23" t="str">
        <f t="shared" si="128"/>
        <v/>
      </c>
      <c r="AJ336" s="23" t="str">
        <f t="shared" si="129"/>
        <v/>
      </c>
      <c r="AK336" s="23">
        <f t="shared" si="130"/>
        <v>83</v>
      </c>
      <c r="AL336" s="23" t="str">
        <f t="shared" si="131"/>
        <v/>
      </c>
      <c r="AM336" s="52">
        <f t="shared" si="132"/>
        <v>83</v>
      </c>
      <c r="AN336" s="26">
        <f t="shared" si="133"/>
        <v>306.92928819618703</v>
      </c>
    </row>
    <row r="337" spans="1:40" x14ac:dyDescent="0.2">
      <c r="A337" s="12">
        <v>44891</v>
      </c>
      <c r="B337" s="6">
        <v>26</v>
      </c>
      <c r="C337" s="6">
        <v>330</v>
      </c>
      <c r="D337" s="6">
        <v>7</v>
      </c>
      <c r="E337" s="6" t="s">
        <v>10</v>
      </c>
      <c r="F337" s="6">
        <v>47</v>
      </c>
      <c r="G337" s="6">
        <v>11</v>
      </c>
      <c r="H337" s="6" t="s">
        <v>27</v>
      </c>
      <c r="I337" s="6">
        <v>4</v>
      </c>
      <c r="J337" s="14">
        <v>19.858464650907937</v>
      </c>
      <c r="K337" s="14">
        <v>96.740413073118191</v>
      </c>
      <c r="L337" s="14">
        <f t="shared" si="134"/>
        <v>1921.1160733267498</v>
      </c>
      <c r="M337" s="16">
        <v>0.26726404845906299</v>
      </c>
      <c r="N337" s="14">
        <f t="shared" si="135"/>
        <v>513.44525931708529</v>
      </c>
      <c r="O337" s="14">
        <f t="shared" si="136"/>
        <v>1407.6708140096644</v>
      </c>
      <c r="P337" s="14">
        <v>45.154389834998916</v>
      </c>
      <c r="Q337" s="14">
        <v>13.393761994640222</v>
      </c>
      <c r="R337" s="14">
        <f t="shared" si="120"/>
        <v>12.987012987012987</v>
      </c>
      <c r="S337" s="14">
        <v>29.037262309382871</v>
      </c>
      <c r="T337" s="14">
        <f t="shared" si="137"/>
        <v>1344.7812513287247</v>
      </c>
      <c r="U337" s="14">
        <f t="shared" si="121"/>
        <v>67.718289151182731</v>
      </c>
      <c r="V337" s="14">
        <v>33.387457655624729</v>
      </c>
      <c r="W337" s="16">
        <f t="shared" si="138"/>
        <v>0.66679755795647233</v>
      </c>
      <c r="X337" s="16">
        <f t="shared" si="139"/>
        <v>0.59478816433818571</v>
      </c>
      <c r="Y337" s="16">
        <f t="shared" si="140"/>
        <v>0.38180578351294719</v>
      </c>
      <c r="Z337" s="16">
        <f t="shared" si="122"/>
        <v>0.2932511275731351</v>
      </c>
      <c r="AA337" s="16">
        <f t="shared" si="123"/>
        <v>6.7601396747067419E-3</v>
      </c>
      <c r="AB337" s="14">
        <f t="shared" si="141"/>
        <v>67.718289151182731</v>
      </c>
      <c r="AC337" s="16">
        <f t="shared" si="124"/>
        <v>0.13845053550181732</v>
      </c>
      <c r="AD337" s="16">
        <f t="shared" si="125"/>
        <v>2.3504248630227827E-2</v>
      </c>
      <c r="AE337" s="23" t="str">
        <f t="shared" si="142"/>
        <v/>
      </c>
      <c r="AF337" s="23" t="str">
        <f t="shared" si="126"/>
        <v/>
      </c>
      <c r="AG337" s="23" t="str">
        <f t="shared" si="127"/>
        <v/>
      </c>
      <c r="AH337" s="23" t="str">
        <f t="shared" si="143"/>
        <v/>
      </c>
      <c r="AI337" s="23" t="str">
        <f t="shared" si="128"/>
        <v/>
      </c>
      <c r="AJ337" s="23" t="str">
        <f t="shared" si="129"/>
        <v/>
      </c>
      <c r="AK337" s="23" t="str">
        <f t="shared" si="130"/>
        <v/>
      </c>
      <c r="AL337" s="23" t="str">
        <f t="shared" si="131"/>
        <v/>
      </c>
      <c r="AM337" s="52">
        <f t="shared" si="132"/>
        <v>0</v>
      </c>
      <c r="AN337" s="26">
        <f t="shared" si="133"/>
        <v>1407.6708140096644</v>
      </c>
    </row>
    <row r="338" spans="1:40" x14ac:dyDescent="0.2">
      <c r="A338" s="12">
        <v>44892</v>
      </c>
      <c r="B338" s="6">
        <v>27</v>
      </c>
      <c r="C338" s="6">
        <v>331</v>
      </c>
      <c r="D338" s="6">
        <v>1</v>
      </c>
      <c r="E338" s="6" t="s">
        <v>12</v>
      </c>
      <c r="F338" s="6">
        <v>48</v>
      </c>
      <c r="G338" s="6">
        <v>11</v>
      </c>
      <c r="H338" s="6" t="s">
        <v>27</v>
      </c>
      <c r="I338" s="6">
        <v>4</v>
      </c>
      <c r="J338" s="14">
        <v>9.2401064164272722</v>
      </c>
      <c r="K338" s="14">
        <v>30.874807697999884</v>
      </c>
      <c r="L338" s="14">
        <f t="shared" si="134"/>
        <v>285.28650871624689</v>
      </c>
      <c r="M338" s="16">
        <v>0.21842893300092356</v>
      </c>
      <c r="N338" s="14">
        <f t="shared" si="135"/>
        <v>62.314827698448482</v>
      </c>
      <c r="O338" s="14">
        <f t="shared" si="136"/>
        <v>222.9716810177984</v>
      </c>
      <c r="P338" s="14">
        <v>18.488319978273321</v>
      </c>
      <c r="Q338" s="14">
        <v>7.9591777433738056</v>
      </c>
      <c r="R338" s="14">
        <f t="shared" si="120"/>
        <v>28.571428571428573</v>
      </c>
      <c r="S338" s="14">
        <v>16.305418507077523</v>
      </c>
      <c r="T338" s="14">
        <f t="shared" si="137"/>
        <v>199.7005561013728</v>
      </c>
      <c r="U338" s="14">
        <f t="shared" si="121"/>
        <v>21.612365388599919</v>
      </c>
      <c r="V338" s="14">
        <v>17.666519068395125</v>
      </c>
      <c r="W338" s="16">
        <f t="shared" si="138"/>
        <v>0.8554510182409526</v>
      </c>
      <c r="X338" s="16">
        <f t="shared" si="139"/>
        <v>0.52302926120616178</v>
      </c>
      <c r="Y338" s="16">
        <f t="shared" si="140"/>
        <v>0.31204133285846225</v>
      </c>
      <c r="Z338" s="16">
        <f t="shared" si="122"/>
        <v>0.427537951088928</v>
      </c>
      <c r="AA338" s="16">
        <f t="shared" si="123"/>
        <v>0.10014994645206456</v>
      </c>
      <c r="AB338" s="14">
        <f t="shared" si="141"/>
        <v>21.612365388599919</v>
      </c>
      <c r="AC338" s="16">
        <f t="shared" si="124"/>
        <v>0.25778873900126065</v>
      </c>
      <c r="AD338" s="16">
        <f t="shared" si="125"/>
        <v>6.4806148953444789E-2</v>
      </c>
      <c r="AE338" s="23" t="str">
        <f t="shared" si="142"/>
        <v/>
      </c>
      <c r="AF338" s="23">
        <f t="shared" si="126"/>
        <v>1000</v>
      </c>
      <c r="AG338" s="23" t="str">
        <f t="shared" si="127"/>
        <v/>
      </c>
      <c r="AH338" s="23" t="str">
        <f t="shared" si="143"/>
        <v/>
      </c>
      <c r="AI338" s="23" t="str">
        <f t="shared" si="128"/>
        <v/>
      </c>
      <c r="AJ338" s="23" t="str">
        <f t="shared" si="129"/>
        <v/>
      </c>
      <c r="AK338" s="23" t="str">
        <f t="shared" si="130"/>
        <v/>
      </c>
      <c r="AL338" s="23" t="str">
        <f t="shared" si="131"/>
        <v/>
      </c>
      <c r="AM338" s="52">
        <f t="shared" si="132"/>
        <v>1000</v>
      </c>
      <c r="AN338" s="26">
        <f t="shared" si="133"/>
        <v>-777.02831898220165</v>
      </c>
    </row>
    <row r="339" spans="1:40" x14ac:dyDescent="0.2">
      <c r="A339" s="12">
        <v>44893</v>
      </c>
      <c r="B339" s="6">
        <v>28</v>
      </c>
      <c r="C339" s="6">
        <v>332</v>
      </c>
      <c r="D339" s="6">
        <v>2</v>
      </c>
      <c r="E339" s="6" t="s">
        <v>13</v>
      </c>
      <c r="F339" s="6">
        <v>48</v>
      </c>
      <c r="G339" s="6">
        <v>11</v>
      </c>
      <c r="H339" s="6" t="s">
        <v>27</v>
      </c>
      <c r="I339" s="6">
        <v>4</v>
      </c>
      <c r="J339" s="14">
        <v>24.645011198511185</v>
      </c>
      <c r="K339" s="14">
        <v>72.152174155883458</v>
      </c>
      <c r="L339" s="14">
        <f t="shared" si="134"/>
        <v>1778.191140068677</v>
      </c>
      <c r="M339" s="16">
        <v>0.41997973365967001</v>
      </c>
      <c r="N339" s="14">
        <f t="shared" si="135"/>
        <v>746.80424140202797</v>
      </c>
      <c r="O339" s="14">
        <f t="shared" si="136"/>
        <v>1031.3868986666489</v>
      </c>
      <c r="P339" s="14">
        <v>38.831624021094363</v>
      </c>
      <c r="Q339" s="14">
        <v>12.977273098560344</v>
      </c>
      <c r="R339" s="14">
        <f t="shared" si="120"/>
        <v>12.987012987012987</v>
      </c>
      <c r="S339" s="14">
        <v>35.629044351654059</v>
      </c>
      <c r="T339" s="14">
        <f t="shared" si="137"/>
        <v>1244.7337980480738</v>
      </c>
      <c r="U339" s="14">
        <f t="shared" si="121"/>
        <v>50.506521909118412</v>
      </c>
      <c r="V339" s="14">
        <v>39.192962042635877</v>
      </c>
      <c r="W339" s="16">
        <f t="shared" si="138"/>
        <v>0.76884375627702306</v>
      </c>
      <c r="X339" s="16">
        <f t="shared" si="139"/>
        <v>0.62881216203310242</v>
      </c>
      <c r="Y339" s="16">
        <f t="shared" si="140"/>
        <v>0.59997104808524293</v>
      </c>
      <c r="Z339" s="16">
        <f t="shared" si="122"/>
        <v>0.48795700568844341</v>
      </c>
      <c r="AA339" s="16">
        <f t="shared" si="123"/>
        <v>7.3034966232659359E-3</v>
      </c>
      <c r="AB339" s="14">
        <f t="shared" si="141"/>
        <v>50.506521909118412</v>
      </c>
      <c r="AC339" s="16">
        <f t="shared" si="124"/>
        <v>0.17985976514752255</v>
      </c>
      <c r="AD339" s="16">
        <f t="shared" si="125"/>
        <v>2.1837710888377621E-2</v>
      </c>
      <c r="AE339" s="23" t="str">
        <f t="shared" si="142"/>
        <v/>
      </c>
      <c r="AF339" s="23" t="str">
        <f t="shared" si="126"/>
        <v/>
      </c>
      <c r="AG339" s="23" t="str">
        <f t="shared" si="127"/>
        <v/>
      </c>
      <c r="AH339" s="23" t="str">
        <f t="shared" si="143"/>
        <v/>
      </c>
      <c r="AI339" s="23" t="str">
        <f t="shared" si="128"/>
        <v/>
      </c>
      <c r="AJ339" s="23" t="str">
        <f t="shared" si="129"/>
        <v/>
      </c>
      <c r="AK339" s="23" t="str">
        <f t="shared" si="130"/>
        <v/>
      </c>
      <c r="AL339" s="23" t="str">
        <f t="shared" si="131"/>
        <v/>
      </c>
      <c r="AM339" s="52">
        <f t="shared" si="132"/>
        <v>0</v>
      </c>
      <c r="AN339" s="26">
        <f t="shared" si="133"/>
        <v>1031.3868986666489</v>
      </c>
    </row>
    <row r="340" spans="1:40" x14ac:dyDescent="0.2">
      <c r="A340" s="12">
        <v>44894</v>
      </c>
      <c r="B340" s="6">
        <v>29</v>
      </c>
      <c r="C340" s="6">
        <v>333</v>
      </c>
      <c r="D340" s="6">
        <v>3</v>
      </c>
      <c r="E340" s="6" t="s">
        <v>14</v>
      </c>
      <c r="F340" s="6">
        <v>48</v>
      </c>
      <c r="G340" s="6">
        <v>11</v>
      </c>
      <c r="H340" s="6" t="s">
        <v>27</v>
      </c>
      <c r="I340" s="6">
        <v>4</v>
      </c>
      <c r="J340" s="14">
        <v>12.979648612053976</v>
      </c>
      <c r="K340" s="14">
        <v>37.906361497396873</v>
      </c>
      <c r="L340" s="14">
        <f t="shared" si="134"/>
        <v>492.01125239770363</v>
      </c>
      <c r="M340" s="16">
        <v>0.66997179975351273</v>
      </c>
      <c r="N340" s="14">
        <f t="shared" si="135"/>
        <v>329.63366426786928</v>
      </c>
      <c r="O340" s="14">
        <f t="shared" si="136"/>
        <v>162.37758812983435</v>
      </c>
      <c r="P340" s="14">
        <v>43.850976464278162</v>
      </c>
      <c r="Q340" s="14">
        <v>15.941292787176236</v>
      </c>
      <c r="R340" s="14">
        <f t="shared" si="120"/>
        <v>12.987012987012987</v>
      </c>
      <c r="S340" s="14">
        <v>35.968643440360673</v>
      </c>
      <c r="T340" s="14">
        <f t="shared" si="137"/>
        <v>344.40787667839254</v>
      </c>
      <c r="U340" s="14">
        <f t="shared" si="121"/>
        <v>26.534453048177813</v>
      </c>
      <c r="V340" s="14">
        <v>35.506535190200729</v>
      </c>
      <c r="W340" s="16">
        <f t="shared" si="138"/>
        <v>1.6526052519213137</v>
      </c>
      <c r="X340" s="16">
        <f t="shared" si="139"/>
        <v>0.3655566092981149</v>
      </c>
      <c r="Y340" s="16">
        <f t="shared" si="140"/>
        <v>0.9571025710764467</v>
      </c>
      <c r="Z340" s="16">
        <f t="shared" si="122"/>
        <v>0.48916209384407572</v>
      </c>
      <c r="AA340" s="16">
        <f t="shared" si="123"/>
        <v>2.6395764169465163E-2</v>
      </c>
      <c r="AB340" s="14">
        <f t="shared" si="141"/>
        <v>26.534453048177813</v>
      </c>
      <c r="AC340" s="16">
        <f t="shared" si="124"/>
        <v>0.42054399729900127</v>
      </c>
      <c r="AD340" s="16">
        <f t="shared" si="125"/>
        <v>8.9125962568092743E-2</v>
      </c>
      <c r="AE340" s="23" t="str">
        <f t="shared" si="142"/>
        <v/>
      </c>
      <c r="AF340" s="23" t="str">
        <f t="shared" si="126"/>
        <v/>
      </c>
      <c r="AG340" s="23" t="str">
        <f t="shared" si="127"/>
        <v/>
      </c>
      <c r="AH340" s="23" t="str">
        <f t="shared" si="143"/>
        <v/>
      </c>
      <c r="AI340" s="23" t="str">
        <f t="shared" si="128"/>
        <v/>
      </c>
      <c r="AJ340" s="23" t="str">
        <f t="shared" si="129"/>
        <v/>
      </c>
      <c r="AK340" s="23" t="str">
        <f t="shared" si="130"/>
        <v/>
      </c>
      <c r="AL340" s="23" t="str">
        <f t="shared" si="131"/>
        <v/>
      </c>
      <c r="AM340" s="52">
        <f t="shared" si="132"/>
        <v>0</v>
      </c>
      <c r="AN340" s="26">
        <f t="shared" si="133"/>
        <v>162.37758812983435</v>
      </c>
    </row>
    <row r="341" spans="1:40" x14ac:dyDescent="0.2">
      <c r="A341" s="12">
        <v>44895</v>
      </c>
      <c r="B341" s="6">
        <v>30</v>
      </c>
      <c r="C341" s="6">
        <v>334</v>
      </c>
      <c r="D341" s="6">
        <v>4</v>
      </c>
      <c r="E341" s="6" t="s">
        <v>15</v>
      </c>
      <c r="F341" s="6">
        <v>48</v>
      </c>
      <c r="G341" s="6">
        <v>11</v>
      </c>
      <c r="H341" s="6" t="s">
        <v>27</v>
      </c>
      <c r="I341" s="6">
        <v>4</v>
      </c>
      <c r="J341" s="14">
        <v>16.088254584938856</v>
      </c>
      <c r="K341" s="14">
        <v>125.09340206764884</v>
      </c>
      <c r="L341" s="14">
        <f t="shared" si="134"/>
        <v>2012.5344993604513</v>
      </c>
      <c r="M341" s="16">
        <v>0.68302656848968224</v>
      </c>
      <c r="N341" s="14">
        <f t="shared" si="135"/>
        <v>1374.6145330652696</v>
      </c>
      <c r="O341" s="14">
        <f t="shared" si="136"/>
        <v>637.91996629518167</v>
      </c>
      <c r="P341" s="14">
        <v>38.241386017454808</v>
      </c>
      <c r="Q341" s="14">
        <v>17.553359680848885</v>
      </c>
      <c r="R341" s="14">
        <f t="shared" si="120"/>
        <v>12.987012987012987</v>
      </c>
      <c r="S341" s="14">
        <v>41.309195749308486</v>
      </c>
      <c r="T341" s="14">
        <f t="shared" si="137"/>
        <v>1408.7741495523157</v>
      </c>
      <c r="U341" s="14">
        <f t="shared" si="121"/>
        <v>87.565381447354184</v>
      </c>
      <c r="V341" s="14">
        <v>32.405776477730619</v>
      </c>
      <c r="W341" s="16">
        <f t="shared" si="138"/>
        <v>0.43671808864837969</v>
      </c>
      <c r="X341" s="16">
        <f t="shared" si="139"/>
        <v>0.49646255493969632</v>
      </c>
      <c r="Y341" s="16">
        <f t="shared" si="140"/>
        <v>0.97575224069954614</v>
      </c>
      <c r="Z341" s="16">
        <f t="shared" si="122"/>
        <v>0.18372848172438319</v>
      </c>
      <c r="AA341" s="16">
        <f t="shared" si="123"/>
        <v>6.4530635331419336E-3</v>
      </c>
      <c r="AB341" s="14">
        <f t="shared" si="141"/>
        <v>87.565381447354184</v>
      </c>
      <c r="AC341" s="16">
        <f t="shared" si="124"/>
        <v>0.14032202650749129</v>
      </c>
      <c r="AD341" s="16">
        <f t="shared" si="125"/>
        <v>1.9001605204585194E-2</v>
      </c>
      <c r="AE341" s="23" t="str">
        <f t="shared" si="142"/>
        <v/>
      </c>
      <c r="AF341" s="23" t="str">
        <f t="shared" si="126"/>
        <v/>
      </c>
      <c r="AG341" s="23" t="str">
        <f t="shared" si="127"/>
        <v/>
      </c>
      <c r="AH341" s="23" t="str">
        <f t="shared" si="143"/>
        <v/>
      </c>
      <c r="AI341" s="23" t="str">
        <f t="shared" si="128"/>
        <v/>
      </c>
      <c r="AJ341" s="23" t="str">
        <f t="shared" si="129"/>
        <v/>
      </c>
      <c r="AK341" s="23" t="str">
        <f t="shared" si="130"/>
        <v/>
      </c>
      <c r="AL341" s="23" t="str">
        <f t="shared" si="131"/>
        <v/>
      </c>
      <c r="AM341" s="52">
        <f t="shared" si="132"/>
        <v>0</v>
      </c>
      <c r="AN341" s="26">
        <f t="shared" si="133"/>
        <v>637.91996629518167</v>
      </c>
    </row>
    <row r="342" spans="1:40" x14ac:dyDescent="0.2">
      <c r="A342" s="12">
        <v>44896</v>
      </c>
      <c r="B342" s="6">
        <v>1</v>
      </c>
      <c r="C342" s="6">
        <v>335</v>
      </c>
      <c r="D342" s="6">
        <v>5</v>
      </c>
      <c r="E342" s="6" t="s">
        <v>16</v>
      </c>
      <c r="F342" s="6">
        <v>48</v>
      </c>
      <c r="G342" s="6">
        <v>12</v>
      </c>
      <c r="H342" s="6" t="s">
        <v>28</v>
      </c>
      <c r="I342" s="6">
        <v>4</v>
      </c>
      <c r="J342" s="14">
        <v>13.030814619952341</v>
      </c>
      <c r="K342" s="14">
        <v>86.227151713788061</v>
      </c>
      <c r="L342" s="14">
        <f t="shared" si="134"/>
        <v>1123.6100291888781</v>
      </c>
      <c r="M342" s="16">
        <v>0.37827019990131111</v>
      </c>
      <c r="N342" s="14">
        <f t="shared" si="135"/>
        <v>425.02819035239492</v>
      </c>
      <c r="O342" s="14">
        <f t="shared" si="136"/>
        <v>698.58183883648326</v>
      </c>
      <c r="P342" s="14">
        <v>46.51769892382007</v>
      </c>
      <c r="Q342" s="14">
        <v>11.346692570045482</v>
      </c>
      <c r="R342" s="14">
        <f t="shared" si="120"/>
        <v>12.987012987012987</v>
      </c>
      <c r="S342" s="14">
        <v>33.189388170549989</v>
      </c>
      <c r="T342" s="14">
        <f t="shared" si="137"/>
        <v>786.52702043221461</v>
      </c>
      <c r="U342" s="14">
        <f t="shared" si="121"/>
        <v>60.359006199651638</v>
      </c>
      <c r="V342" s="14">
        <v>27.773276028362506</v>
      </c>
      <c r="W342" s="16">
        <f t="shared" si="138"/>
        <v>0.77068364528653466</v>
      </c>
      <c r="X342" s="16">
        <f t="shared" si="139"/>
        <v>0.46918536389603693</v>
      </c>
      <c r="Y342" s="16">
        <f t="shared" si="140"/>
        <v>0.54038599985901592</v>
      </c>
      <c r="Z342" s="16">
        <f t="shared" si="122"/>
        <v>0.21588848856871254</v>
      </c>
      <c r="AA342" s="16">
        <f t="shared" si="123"/>
        <v>1.1558292156210256E-2</v>
      </c>
      <c r="AB342" s="14">
        <f t="shared" si="141"/>
        <v>60.359006199651638</v>
      </c>
      <c r="AC342" s="16">
        <f t="shared" si="124"/>
        <v>0.13159071527386543</v>
      </c>
      <c r="AD342" s="16">
        <f t="shared" si="125"/>
        <v>4.1400216903902762E-2</v>
      </c>
      <c r="AE342" s="23">
        <f t="shared" si="142"/>
        <v>3000</v>
      </c>
      <c r="AF342" s="23" t="str">
        <f t="shared" si="126"/>
        <v/>
      </c>
      <c r="AG342" s="23" t="str">
        <f t="shared" si="127"/>
        <v/>
      </c>
      <c r="AH342" s="23" t="str">
        <f t="shared" si="143"/>
        <v/>
      </c>
      <c r="AI342" s="23" t="str">
        <f t="shared" si="128"/>
        <v/>
      </c>
      <c r="AJ342" s="23" t="str">
        <f t="shared" si="129"/>
        <v/>
      </c>
      <c r="AK342" s="23" t="str">
        <f t="shared" si="130"/>
        <v/>
      </c>
      <c r="AL342" s="23" t="str">
        <f t="shared" si="131"/>
        <v/>
      </c>
      <c r="AM342" s="52">
        <f t="shared" si="132"/>
        <v>3000</v>
      </c>
      <c r="AN342" s="26">
        <f t="shared" si="133"/>
        <v>-2301.4181611635167</v>
      </c>
    </row>
    <row r="343" spans="1:40" x14ac:dyDescent="0.2">
      <c r="A343" s="12">
        <v>44897</v>
      </c>
      <c r="B343" s="6">
        <v>2</v>
      </c>
      <c r="C343" s="6">
        <v>336</v>
      </c>
      <c r="D343" s="6">
        <v>6</v>
      </c>
      <c r="E343" s="6" t="s">
        <v>17</v>
      </c>
      <c r="F343" s="6">
        <v>48</v>
      </c>
      <c r="G343" s="6">
        <v>12</v>
      </c>
      <c r="H343" s="6" t="s">
        <v>28</v>
      </c>
      <c r="I343" s="6">
        <v>4</v>
      </c>
      <c r="J343" s="14">
        <v>8.2869891360896073</v>
      </c>
      <c r="K343" s="14">
        <v>86.96079652051705</v>
      </c>
      <c r="L343" s="14">
        <f t="shared" si="134"/>
        <v>720.64317603122367</v>
      </c>
      <c r="M343" s="16">
        <v>0.79243747724362346</v>
      </c>
      <c r="N343" s="14">
        <f t="shared" si="135"/>
        <v>571.06466040701537</v>
      </c>
      <c r="O343" s="14">
        <f t="shared" si="136"/>
        <v>149.57851562420831</v>
      </c>
      <c r="P343" s="14">
        <v>46.336542148989317</v>
      </c>
      <c r="Q343" s="14">
        <v>14.568282323078789</v>
      </c>
      <c r="R343" s="14">
        <f t="shared" si="120"/>
        <v>12.987012987012987</v>
      </c>
      <c r="S343" s="14">
        <v>39.518117204467003</v>
      </c>
      <c r="T343" s="14">
        <f t="shared" si="137"/>
        <v>504.45022322185656</v>
      </c>
      <c r="U343" s="14">
        <f t="shared" si="121"/>
        <v>60.872557564361927</v>
      </c>
      <c r="V343" s="14">
        <v>34.892186524877609</v>
      </c>
      <c r="W343" s="16">
        <f t="shared" si="138"/>
        <v>0.76120577158264868</v>
      </c>
      <c r="X343" s="16">
        <f t="shared" si="139"/>
        <v>0.23750271798475878</v>
      </c>
      <c r="Y343" s="16">
        <f t="shared" si="140"/>
        <v>1.1320535389194621</v>
      </c>
      <c r="Z343" s="16">
        <f t="shared" si="122"/>
        <v>0.13613670047176163</v>
      </c>
      <c r="AA343" s="16">
        <f t="shared" si="123"/>
        <v>1.8021419502694758E-2</v>
      </c>
      <c r="AB343" s="14">
        <f t="shared" si="141"/>
        <v>60.872557564361927</v>
      </c>
      <c r="AC343" s="16">
        <f t="shared" si="124"/>
        <v>0.16752701108989529</v>
      </c>
      <c r="AD343" s="16">
        <f t="shared" si="125"/>
        <v>6.4298870356585006E-2</v>
      </c>
      <c r="AE343" s="23" t="str">
        <f t="shared" si="142"/>
        <v/>
      </c>
      <c r="AF343" s="23" t="str">
        <f t="shared" si="126"/>
        <v/>
      </c>
      <c r="AG343" s="23" t="str">
        <f t="shared" si="127"/>
        <v/>
      </c>
      <c r="AH343" s="23" t="str">
        <f t="shared" si="143"/>
        <v/>
      </c>
      <c r="AI343" s="23" t="str">
        <f t="shared" si="128"/>
        <v/>
      </c>
      <c r="AJ343" s="23" t="str">
        <f t="shared" si="129"/>
        <v/>
      </c>
      <c r="AK343" s="23" t="str">
        <f t="shared" si="130"/>
        <v/>
      </c>
      <c r="AL343" s="23" t="str">
        <f t="shared" si="131"/>
        <v/>
      </c>
      <c r="AM343" s="52">
        <f t="shared" si="132"/>
        <v>0</v>
      </c>
      <c r="AN343" s="26">
        <f t="shared" si="133"/>
        <v>149.57851562420831</v>
      </c>
    </row>
    <row r="344" spans="1:40" x14ac:dyDescent="0.2">
      <c r="A344" s="12">
        <v>44898</v>
      </c>
      <c r="B344" s="6">
        <v>3</v>
      </c>
      <c r="C344" s="6">
        <v>337</v>
      </c>
      <c r="D344" s="6">
        <v>7</v>
      </c>
      <c r="E344" s="6" t="s">
        <v>10</v>
      </c>
      <c r="F344" s="6">
        <v>48</v>
      </c>
      <c r="G344" s="6">
        <v>12</v>
      </c>
      <c r="H344" s="6" t="s">
        <v>28</v>
      </c>
      <c r="I344" s="6">
        <v>4</v>
      </c>
      <c r="J344" s="14">
        <v>8.2165424414631296</v>
      </c>
      <c r="K344" s="14">
        <v>22.881997380987201</v>
      </c>
      <c r="L344" s="14">
        <f t="shared" si="134"/>
        <v>188.01090262632951</v>
      </c>
      <c r="M344" s="16">
        <v>0.66069568096760767</v>
      </c>
      <c r="N344" s="14">
        <f t="shared" si="135"/>
        <v>124.21799134003736</v>
      </c>
      <c r="O344" s="14">
        <f t="shared" si="136"/>
        <v>63.792911286292153</v>
      </c>
      <c r="P344" s="14">
        <v>32.823694397474377</v>
      </c>
      <c r="Q344" s="14">
        <v>11.817531219188448</v>
      </c>
      <c r="R344" s="14">
        <f t="shared" si="120"/>
        <v>12.987012987012987</v>
      </c>
      <c r="S344" s="14">
        <v>35.112319114428715</v>
      </c>
      <c r="T344" s="14">
        <f t="shared" si="137"/>
        <v>131.60763183843065</v>
      </c>
      <c r="U344" s="14">
        <f t="shared" si="121"/>
        <v>16.017398166691038</v>
      </c>
      <c r="V344" s="14">
        <v>29.00857321371851</v>
      </c>
      <c r="W344" s="16">
        <f t="shared" si="138"/>
        <v>2.0492525724766493</v>
      </c>
      <c r="X344" s="16">
        <f t="shared" si="139"/>
        <v>0.2832453144430222</v>
      </c>
      <c r="Y344" s="16">
        <f t="shared" si="140"/>
        <v>0.94385097281086816</v>
      </c>
      <c r="Z344" s="16">
        <f t="shared" si="122"/>
        <v>0.51297609986057735</v>
      </c>
      <c r="AA344" s="16">
        <f t="shared" si="123"/>
        <v>6.9075850419295065E-2</v>
      </c>
      <c r="AB344" s="14">
        <f t="shared" si="141"/>
        <v>16.017398166691038</v>
      </c>
      <c r="AC344" s="16">
        <f t="shared" si="124"/>
        <v>0.51645540476320961</v>
      </c>
      <c r="AD344" s="16">
        <f t="shared" si="125"/>
        <v>0.17458399453946169</v>
      </c>
      <c r="AE344" s="23" t="str">
        <f t="shared" si="142"/>
        <v/>
      </c>
      <c r="AF344" s="23" t="str">
        <f t="shared" si="126"/>
        <v/>
      </c>
      <c r="AG344" s="23" t="str">
        <f t="shared" si="127"/>
        <v/>
      </c>
      <c r="AH344" s="23" t="str">
        <f t="shared" si="143"/>
        <v/>
      </c>
      <c r="AI344" s="23" t="str">
        <f t="shared" si="128"/>
        <v/>
      </c>
      <c r="AJ344" s="23" t="str">
        <f t="shared" si="129"/>
        <v/>
      </c>
      <c r="AK344" s="23" t="str">
        <f t="shared" si="130"/>
        <v/>
      </c>
      <c r="AL344" s="23" t="str">
        <f t="shared" si="131"/>
        <v/>
      </c>
      <c r="AM344" s="52">
        <f t="shared" si="132"/>
        <v>0</v>
      </c>
      <c r="AN344" s="26">
        <f t="shared" si="133"/>
        <v>63.792911286292153</v>
      </c>
    </row>
    <row r="345" spans="1:40" x14ac:dyDescent="0.2">
      <c r="A345" s="12">
        <v>44899</v>
      </c>
      <c r="B345" s="6">
        <v>4</v>
      </c>
      <c r="C345" s="6">
        <v>338</v>
      </c>
      <c r="D345" s="6">
        <v>1</v>
      </c>
      <c r="E345" s="6" t="s">
        <v>12</v>
      </c>
      <c r="F345" s="6">
        <v>49</v>
      </c>
      <c r="G345" s="6">
        <v>12</v>
      </c>
      <c r="H345" s="6" t="s">
        <v>28</v>
      </c>
      <c r="I345" s="6">
        <v>4</v>
      </c>
      <c r="J345" s="14">
        <v>3.1155231310056486</v>
      </c>
      <c r="K345" s="14">
        <v>25.772128300093517</v>
      </c>
      <c r="L345" s="14">
        <f t="shared" si="134"/>
        <v>80.293661854186638</v>
      </c>
      <c r="M345" s="16">
        <v>0.13378139176856862</v>
      </c>
      <c r="N345" s="14">
        <f t="shared" si="135"/>
        <v>10.741797833047917</v>
      </c>
      <c r="O345" s="14">
        <f t="shared" si="136"/>
        <v>69.551864021138726</v>
      </c>
      <c r="P345" s="14">
        <v>17.707369036906783</v>
      </c>
      <c r="Q345" s="14">
        <v>7.5512330867343822</v>
      </c>
      <c r="R345" s="14">
        <f t="shared" si="120"/>
        <v>28.571428571428573</v>
      </c>
      <c r="S345" s="14">
        <v>18.221113490188898</v>
      </c>
      <c r="T345" s="14">
        <f t="shared" si="137"/>
        <v>56.205563297930645</v>
      </c>
      <c r="U345" s="14">
        <f t="shared" si="121"/>
        <v>18.040489810065463</v>
      </c>
      <c r="V345" s="14">
        <v>17.560729287808748</v>
      </c>
      <c r="W345" s="16">
        <f t="shared" si="138"/>
        <v>0.98153482656702484</v>
      </c>
      <c r="X345" s="16">
        <f t="shared" si="139"/>
        <v>0.17741422237905291</v>
      </c>
      <c r="Y345" s="16">
        <f t="shared" si="140"/>
        <v>0.19111627395509803</v>
      </c>
      <c r="Z345" s="16">
        <f t="shared" si="122"/>
        <v>0.17269614981669631</v>
      </c>
      <c r="AA345" s="16">
        <f t="shared" si="123"/>
        <v>0.35583666147041981</v>
      </c>
      <c r="AB345" s="14">
        <f t="shared" si="141"/>
        <v>18.040489810065463</v>
      </c>
      <c r="AC345" s="16">
        <f t="shared" si="124"/>
        <v>0.29299998039769892</v>
      </c>
      <c r="AD345" s="16">
        <f t="shared" si="125"/>
        <v>0.22053258785311575</v>
      </c>
      <c r="AE345" s="23" t="str">
        <f t="shared" si="142"/>
        <v/>
      </c>
      <c r="AF345" s="23">
        <f t="shared" si="126"/>
        <v>1000</v>
      </c>
      <c r="AG345" s="23" t="str">
        <f t="shared" si="127"/>
        <v/>
      </c>
      <c r="AH345" s="23" t="str">
        <f t="shared" si="143"/>
        <v/>
      </c>
      <c r="AI345" s="23" t="str">
        <f t="shared" si="128"/>
        <v/>
      </c>
      <c r="AJ345" s="23" t="str">
        <f t="shared" si="129"/>
        <v/>
      </c>
      <c r="AK345" s="23" t="str">
        <f t="shared" si="130"/>
        <v/>
      </c>
      <c r="AL345" s="23" t="str">
        <f t="shared" si="131"/>
        <v/>
      </c>
      <c r="AM345" s="52">
        <f t="shared" si="132"/>
        <v>1000</v>
      </c>
      <c r="AN345" s="26">
        <f t="shared" si="133"/>
        <v>-930.44813597886127</v>
      </c>
    </row>
    <row r="346" spans="1:40" x14ac:dyDescent="0.2">
      <c r="A346" s="12">
        <v>44900</v>
      </c>
      <c r="B346" s="6">
        <v>5</v>
      </c>
      <c r="C346" s="6">
        <v>339</v>
      </c>
      <c r="D346" s="6">
        <v>2</v>
      </c>
      <c r="E346" s="6" t="s">
        <v>13</v>
      </c>
      <c r="F346" s="6">
        <v>49</v>
      </c>
      <c r="G346" s="6">
        <v>12</v>
      </c>
      <c r="H346" s="6" t="s">
        <v>28</v>
      </c>
      <c r="I346" s="6">
        <v>4</v>
      </c>
      <c r="J346" s="14">
        <v>18.173121218107205</v>
      </c>
      <c r="K346" s="14">
        <v>84.268349659627802</v>
      </c>
      <c r="L346" s="14">
        <f t="shared" si="134"/>
        <v>1531.4189332142591</v>
      </c>
      <c r="M346" s="16">
        <v>0.58218815210069585</v>
      </c>
      <c r="N346" s="14">
        <f t="shared" si="135"/>
        <v>891.57395882002845</v>
      </c>
      <c r="O346" s="14">
        <f t="shared" si="136"/>
        <v>639.84497439423069</v>
      </c>
      <c r="P346" s="14">
        <v>35.83362166380703</v>
      </c>
      <c r="Q346" s="14">
        <v>13.452818994725442</v>
      </c>
      <c r="R346" s="14">
        <f t="shared" si="120"/>
        <v>12.987012987012987</v>
      </c>
      <c r="S346" s="14">
        <v>35.303728843974497</v>
      </c>
      <c r="T346" s="14">
        <f t="shared" si="137"/>
        <v>1071.9932532499813</v>
      </c>
      <c r="U346" s="14">
        <f t="shared" si="121"/>
        <v>58.98784476173946</v>
      </c>
      <c r="V346" s="14">
        <v>37.102885177078925</v>
      </c>
      <c r="W346" s="16">
        <f t="shared" si="138"/>
        <v>0.60747467225738239</v>
      </c>
      <c r="X346" s="16">
        <f t="shared" si="139"/>
        <v>0.48980345143978254</v>
      </c>
      <c r="Y346" s="16">
        <f t="shared" si="140"/>
        <v>0.83169736014385121</v>
      </c>
      <c r="Z346" s="16">
        <f t="shared" si="122"/>
        <v>0.30808247515248444</v>
      </c>
      <c r="AA346" s="16">
        <f t="shared" si="123"/>
        <v>8.4803790167037128E-3</v>
      </c>
      <c r="AB346" s="14">
        <f t="shared" si="141"/>
        <v>58.98784476173946</v>
      </c>
      <c r="AC346" s="16">
        <f t="shared" si="124"/>
        <v>0.15964260661402943</v>
      </c>
      <c r="AD346" s="16">
        <f t="shared" si="125"/>
        <v>2.3398967380269149E-2</v>
      </c>
      <c r="AE346" s="23" t="str">
        <f t="shared" si="142"/>
        <v/>
      </c>
      <c r="AF346" s="23" t="str">
        <f t="shared" si="126"/>
        <v/>
      </c>
      <c r="AG346" s="23" t="str">
        <f t="shared" si="127"/>
        <v/>
      </c>
      <c r="AH346" s="23" t="str">
        <f t="shared" si="143"/>
        <v/>
      </c>
      <c r="AI346" s="23" t="str">
        <f t="shared" si="128"/>
        <v/>
      </c>
      <c r="AJ346" s="23" t="str">
        <f t="shared" si="129"/>
        <v/>
      </c>
      <c r="AK346" s="23" t="str">
        <f t="shared" si="130"/>
        <v/>
      </c>
      <c r="AL346" s="23">
        <f t="shared" si="131"/>
        <v>1000</v>
      </c>
      <c r="AM346" s="52">
        <f t="shared" si="132"/>
        <v>1000</v>
      </c>
      <c r="AN346" s="26">
        <f t="shared" si="133"/>
        <v>-360.15502560576931</v>
      </c>
    </row>
    <row r="347" spans="1:40" x14ac:dyDescent="0.2">
      <c r="A347" s="12">
        <v>44901</v>
      </c>
      <c r="B347" s="6">
        <v>6</v>
      </c>
      <c r="C347" s="6">
        <v>340</v>
      </c>
      <c r="D347" s="6">
        <v>3</v>
      </c>
      <c r="E347" s="6" t="s">
        <v>14</v>
      </c>
      <c r="F347" s="6">
        <v>49</v>
      </c>
      <c r="G347" s="6">
        <v>12</v>
      </c>
      <c r="H347" s="6" t="s">
        <v>28</v>
      </c>
      <c r="I347" s="6">
        <v>4</v>
      </c>
      <c r="J347" s="14">
        <v>17.659162395419401</v>
      </c>
      <c r="K347" s="14">
        <v>22.07113523148211</v>
      </c>
      <c r="L347" s="14">
        <f t="shared" si="134"/>
        <v>389.75776130400516</v>
      </c>
      <c r="M347" s="16">
        <v>0.46451765169030018</v>
      </c>
      <c r="N347" s="14">
        <f t="shared" si="135"/>
        <v>181.04936000900503</v>
      </c>
      <c r="O347" s="14">
        <f t="shared" si="136"/>
        <v>208.70840129500013</v>
      </c>
      <c r="P347" s="14">
        <v>44.288670637607517</v>
      </c>
      <c r="Q347" s="14">
        <v>8.4243379040425932</v>
      </c>
      <c r="R347" s="14">
        <f t="shared" si="120"/>
        <v>12.987012987012987</v>
      </c>
      <c r="S347" s="14">
        <v>34.075391775963787</v>
      </c>
      <c r="T347" s="14">
        <f t="shared" si="137"/>
        <v>272.83043291280359</v>
      </c>
      <c r="U347" s="14">
        <f t="shared" si="121"/>
        <v>15.449794662037476</v>
      </c>
      <c r="V347" s="14">
        <v>29.271705356399409</v>
      </c>
      <c r="W347" s="16">
        <f t="shared" si="138"/>
        <v>2.8666187225407986</v>
      </c>
      <c r="X347" s="16">
        <f t="shared" si="139"/>
        <v>0.60328437241387911</v>
      </c>
      <c r="Y347" s="16">
        <f t="shared" si="140"/>
        <v>0.66359664527185747</v>
      </c>
      <c r="Z347" s="16">
        <f t="shared" si="122"/>
        <v>1.1430030483712952</v>
      </c>
      <c r="AA347" s="16">
        <f t="shared" si="123"/>
        <v>3.3320729633612899E-2</v>
      </c>
      <c r="AB347" s="14">
        <f t="shared" si="141"/>
        <v>15.449794662037476</v>
      </c>
      <c r="AC347" s="16">
        <f t="shared" si="124"/>
        <v>0.38169028532914689</v>
      </c>
      <c r="AD347" s="16">
        <f t="shared" si="125"/>
        <v>0.11363127315138447</v>
      </c>
      <c r="AE347" s="23" t="str">
        <f t="shared" si="142"/>
        <v/>
      </c>
      <c r="AF347" s="23" t="str">
        <f t="shared" si="126"/>
        <v/>
      </c>
      <c r="AG347" s="23" t="str">
        <f t="shared" si="127"/>
        <v/>
      </c>
      <c r="AH347" s="23" t="str">
        <f t="shared" si="143"/>
        <v/>
      </c>
      <c r="AI347" s="23" t="str">
        <f t="shared" si="128"/>
        <v/>
      </c>
      <c r="AJ347" s="23" t="str">
        <f t="shared" si="129"/>
        <v/>
      </c>
      <c r="AK347" s="23" t="str">
        <f t="shared" si="130"/>
        <v/>
      </c>
      <c r="AL347" s="23" t="str">
        <f t="shared" si="131"/>
        <v/>
      </c>
      <c r="AM347" s="52">
        <f t="shared" si="132"/>
        <v>0</v>
      </c>
      <c r="AN347" s="26">
        <f t="shared" si="133"/>
        <v>208.70840129500013</v>
      </c>
    </row>
    <row r="348" spans="1:40" x14ac:dyDescent="0.2">
      <c r="A348" s="12">
        <v>44902</v>
      </c>
      <c r="B348" s="6">
        <v>7</v>
      </c>
      <c r="C348" s="6">
        <v>341</v>
      </c>
      <c r="D348" s="6">
        <v>4</v>
      </c>
      <c r="E348" s="6" t="s">
        <v>15</v>
      </c>
      <c r="F348" s="6">
        <v>49</v>
      </c>
      <c r="G348" s="6">
        <v>12</v>
      </c>
      <c r="H348" s="6" t="s">
        <v>28</v>
      </c>
      <c r="I348" s="6">
        <v>4</v>
      </c>
      <c r="J348" s="14">
        <v>6.115273393596671</v>
      </c>
      <c r="K348" s="14">
        <v>79.495005669750896</v>
      </c>
      <c r="L348" s="14">
        <f t="shared" si="134"/>
        <v>486.13369309604417</v>
      </c>
      <c r="M348" s="16">
        <v>0.98351114073853785</v>
      </c>
      <c r="N348" s="14">
        <f t="shared" si="135"/>
        <v>478.11790304832869</v>
      </c>
      <c r="O348" s="14">
        <f t="shared" si="136"/>
        <v>8.015790047715484</v>
      </c>
      <c r="P348" s="14">
        <v>40.22784725987291</v>
      </c>
      <c r="Q348" s="14">
        <v>14.551474742791065</v>
      </c>
      <c r="R348" s="14">
        <f t="shared" si="120"/>
        <v>12.987012987012987</v>
      </c>
      <c r="S348" s="14">
        <v>40.009131094099061</v>
      </c>
      <c r="T348" s="14">
        <f t="shared" si="137"/>
        <v>340.2935851672309</v>
      </c>
      <c r="U348" s="14">
        <f t="shared" si="121"/>
        <v>55.646503968825627</v>
      </c>
      <c r="V348" s="14">
        <v>35.048718681563187</v>
      </c>
      <c r="W348" s="16">
        <f t="shared" si="138"/>
        <v>0.72291778262313511</v>
      </c>
      <c r="X348" s="16">
        <f t="shared" si="139"/>
        <v>0.17447922844647418</v>
      </c>
      <c r="Y348" s="16">
        <f t="shared" si="140"/>
        <v>1.4050159153407684</v>
      </c>
      <c r="Z348" s="16">
        <f t="shared" si="122"/>
        <v>0.10989501509425605</v>
      </c>
      <c r="AA348" s="16">
        <f t="shared" si="123"/>
        <v>2.6714899978033772E-2</v>
      </c>
      <c r="AB348" s="14">
        <f t="shared" si="141"/>
        <v>55.646503968825627</v>
      </c>
      <c r="AC348" s="16">
        <f t="shared" si="124"/>
        <v>0.18304891760424305</v>
      </c>
      <c r="AD348" s="16">
        <f t="shared" si="125"/>
        <v>8.27505845226926E-2</v>
      </c>
      <c r="AE348" s="23" t="str">
        <f t="shared" si="142"/>
        <v/>
      </c>
      <c r="AF348" s="23" t="str">
        <f t="shared" si="126"/>
        <v/>
      </c>
      <c r="AG348" s="23" t="str">
        <f t="shared" si="127"/>
        <v/>
      </c>
      <c r="AH348" s="23" t="str">
        <f t="shared" si="143"/>
        <v/>
      </c>
      <c r="AI348" s="23" t="str">
        <f t="shared" si="128"/>
        <v/>
      </c>
      <c r="AJ348" s="23" t="str">
        <f t="shared" si="129"/>
        <v/>
      </c>
      <c r="AK348" s="23" t="str">
        <f t="shared" si="130"/>
        <v/>
      </c>
      <c r="AL348" s="23" t="str">
        <f t="shared" si="131"/>
        <v/>
      </c>
      <c r="AM348" s="52">
        <f t="shared" si="132"/>
        <v>0</v>
      </c>
      <c r="AN348" s="26">
        <f t="shared" si="133"/>
        <v>8.015790047715484</v>
      </c>
    </row>
    <row r="349" spans="1:40" x14ac:dyDescent="0.2">
      <c r="A349" s="12">
        <v>44903</v>
      </c>
      <c r="B349" s="6">
        <v>8</v>
      </c>
      <c r="C349" s="6">
        <v>342</v>
      </c>
      <c r="D349" s="6">
        <v>5</v>
      </c>
      <c r="E349" s="6" t="s">
        <v>16</v>
      </c>
      <c r="F349" s="6">
        <v>49</v>
      </c>
      <c r="G349" s="6">
        <v>12</v>
      </c>
      <c r="H349" s="6" t="s">
        <v>28</v>
      </c>
      <c r="I349" s="6">
        <v>4</v>
      </c>
      <c r="J349" s="14">
        <v>18.289035496547577</v>
      </c>
      <c r="K349" s="14">
        <v>45.051413436595922</v>
      </c>
      <c r="L349" s="14">
        <f t="shared" si="134"/>
        <v>823.94689951154328</v>
      </c>
      <c r="M349" s="16">
        <v>0.3913633058319973</v>
      </c>
      <c r="N349" s="14">
        <f t="shared" si="135"/>
        <v>322.46258242286206</v>
      </c>
      <c r="O349" s="14">
        <f t="shared" si="136"/>
        <v>501.48431708868122</v>
      </c>
      <c r="P349" s="14">
        <v>36.18650013593907</v>
      </c>
      <c r="Q349" s="14">
        <v>13.244734354034096</v>
      </c>
      <c r="R349" s="14">
        <f t="shared" si="120"/>
        <v>12.987012987012987</v>
      </c>
      <c r="S349" s="14">
        <v>37.794307151434921</v>
      </c>
      <c r="T349" s="14">
        <f t="shared" si="137"/>
        <v>576.76282965808025</v>
      </c>
      <c r="U349" s="14">
        <f t="shared" si="121"/>
        <v>31.535989405617144</v>
      </c>
      <c r="V349" s="14">
        <v>47.640609877475555</v>
      </c>
      <c r="W349" s="16">
        <f t="shared" si="138"/>
        <v>1.1474667774175997</v>
      </c>
      <c r="X349" s="16">
        <f t="shared" si="139"/>
        <v>0.38389591450622085</v>
      </c>
      <c r="Y349" s="16">
        <f t="shared" si="140"/>
        <v>0.55909043690285332</v>
      </c>
      <c r="Z349" s="16">
        <f t="shared" si="122"/>
        <v>0.57994170600811912</v>
      </c>
      <c r="AA349" s="16">
        <f t="shared" si="123"/>
        <v>1.5761953828228516E-2</v>
      </c>
      <c r="AB349" s="14">
        <f t="shared" si="141"/>
        <v>31.535989405617144</v>
      </c>
      <c r="AC349" s="16">
        <f t="shared" si="124"/>
        <v>0.29399153863783561</v>
      </c>
      <c r="AD349" s="16">
        <f t="shared" si="125"/>
        <v>4.3918485714784961E-2</v>
      </c>
      <c r="AE349" s="23" t="str">
        <f t="shared" si="142"/>
        <v/>
      </c>
      <c r="AF349" s="23" t="str">
        <f t="shared" si="126"/>
        <v/>
      </c>
      <c r="AG349" s="23" t="str">
        <f t="shared" si="127"/>
        <v/>
      </c>
      <c r="AH349" s="23" t="str">
        <f t="shared" si="143"/>
        <v/>
      </c>
      <c r="AI349" s="23" t="str">
        <f t="shared" si="128"/>
        <v/>
      </c>
      <c r="AJ349" s="23" t="str">
        <f t="shared" si="129"/>
        <v/>
      </c>
      <c r="AK349" s="23" t="str">
        <f t="shared" si="130"/>
        <v/>
      </c>
      <c r="AL349" s="23" t="str">
        <f t="shared" si="131"/>
        <v/>
      </c>
      <c r="AM349" s="52">
        <f t="shared" si="132"/>
        <v>0</v>
      </c>
      <c r="AN349" s="26">
        <f t="shared" si="133"/>
        <v>501.48431708868122</v>
      </c>
    </row>
    <row r="350" spans="1:40" x14ac:dyDescent="0.2">
      <c r="A350" s="12">
        <v>44904</v>
      </c>
      <c r="B350" s="6">
        <v>9</v>
      </c>
      <c r="C350" s="6">
        <v>343</v>
      </c>
      <c r="D350" s="6">
        <v>6</v>
      </c>
      <c r="E350" s="6" t="s">
        <v>17</v>
      </c>
      <c r="F350" s="6">
        <v>49</v>
      </c>
      <c r="G350" s="6">
        <v>12</v>
      </c>
      <c r="H350" s="6" t="s">
        <v>28</v>
      </c>
      <c r="I350" s="6">
        <v>4</v>
      </c>
      <c r="J350" s="14">
        <v>24.366466586957088</v>
      </c>
      <c r="K350" s="14">
        <v>92.323326623657152</v>
      </c>
      <c r="L350" s="14">
        <f t="shared" si="134"/>
        <v>2249.5932533720679</v>
      </c>
      <c r="M350" s="16">
        <v>0.88405763314344343</v>
      </c>
      <c r="N350" s="14">
        <f t="shared" si="135"/>
        <v>1988.770087111569</v>
      </c>
      <c r="O350" s="14">
        <f t="shared" si="136"/>
        <v>260.82316626049897</v>
      </c>
      <c r="P350" s="14">
        <v>41.467343068000467</v>
      </c>
      <c r="Q350" s="14">
        <v>15.543862049920202</v>
      </c>
      <c r="R350" s="14">
        <f t="shared" si="120"/>
        <v>12.987012987012987</v>
      </c>
      <c r="S350" s="14">
        <v>37.288820023681673</v>
      </c>
      <c r="T350" s="14">
        <f t="shared" si="137"/>
        <v>1574.7152773604475</v>
      </c>
      <c r="U350" s="14">
        <f t="shared" si="121"/>
        <v>64.626328636560018</v>
      </c>
      <c r="V350" s="14">
        <v>35.237461608505214</v>
      </c>
      <c r="W350" s="16">
        <f t="shared" si="138"/>
        <v>0.64164782284323996</v>
      </c>
      <c r="X350" s="16">
        <f t="shared" si="139"/>
        <v>0.69149324255172195</v>
      </c>
      <c r="Y350" s="16">
        <f t="shared" si="140"/>
        <v>1.262939475919205</v>
      </c>
      <c r="Z350" s="16">
        <f t="shared" si="122"/>
        <v>0.37703621884490957</v>
      </c>
      <c r="AA350" s="16">
        <f t="shared" si="123"/>
        <v>5.7730494023956877E-3</v>
      </c>
      <c r="AB350" s="14">
        <f t="shared" si="141"/>
        <v>64.626328636560018</v>
      </c>
      <c r="AC350" s="16">
        <f t="shared" si="124"/>
        <v>0.16836332288244479</v>
      </c>
      <c r="AD350" s="16">
        <f t="shared" si="125"/>
        <v>1.8433262549059592E-2</v>
      </c>
      <c r="AE350" s="23" t="str">
        <f t="shared" si="142"/>
        <v/>
      </c>
      <c r="AF350" s="23" t="str">
        <f t="shared" si="126"/>
        <v/>
      </c>
      <c r="AG350" s="23" t="str">
        <f t="shared" si="127"/>
        <v/>
      </c>
      <c r="AH350" s="23" t="str">
        <f t="shared" si="143"/>
        <v/>
      </c>
      <c r="AI350" s="23" t="str">
        <f t="shared" si="128"/>
        <v/>
      </c>
      <c r="AJ350" s="23" t="str">
        <f t="shared" si="129"/>
        <v/>
      </c>
      <c r="AK350" s="23" t="str">
        <f t="shared" si="130"/>
        <v/>
      </c>
      <c r="AL350" s="23" t="str">
        <f t="shared" si="131"/>
        <v/>
      </c>
      <c r="AM350" s="52">
        <f t="shared" si="132"/>
        <v>0</v>
      </c>
      <c r="AN350" s="26">
        <f t="shared" si="133"/>
        <v>260.82316626049897</v>
      </c>
    </row>
    <row r="351" spans="1:40" x14ac:dyDescent="0.2">
      <c r="A351" s="12">
        <v>44905</v>
      </c>
      <c r="B351" s="6">
        <v>10</v>
      </c>
      <c r="C351" s="6">
        <v>344</v>
      </c>
      <c r="D351" s="6">
        <v>7</v>
      </c>
      <c r="E351" s="6" t="s">
        <v>10</v>
      </c>
      <c r="F351" s="6">
        <v>49</v>
      </c>
      <c r="G351" s="6">
        <v>12</v>
      </c>
      <c r="H351" s="6" t="s">
        <v>28</v>
      </c>
      <c r="I351" s="6">
        <v>4</v>
      </c>
      <c r="J351" s="14">
        <v>13.204794709474811</v>
      </c>
      <c r="K351" s="14">
        <v>105.4667729897901</v>
      </c>
      <c r="L351" s="14">
        <f t="shared" si="134"/>
        <v>1392.6670860009613</v>
      </c>
      <c r="M351" s="16">
        <v>0.59558051958833158</v>
      </c>
      <c r="N351" s="14">
        <f t="shared" si="135"/>
        <v>829.44538669402016</v>
      </c>
      <c r="O351" s="14">
        <f t="shared" si="136"/>
        <v>563.2216993069411</v>
      </c>
      <c r="P351" s="14">
        <v>40.230405202579306</v>
      </c>
      <c r="Q351" s="14">
        <v>17.351039578458849</v>
      </c>
      <c r="R351" s="14">
        <f t="shared" si="120"/>
        <v>12.987012987012987</v>
      </c>
      <c r="S351" s="14">
        <v>37.174558709279545</v>
      </c>
      <c r="T351" s="14">
        <f t="shared" si="137"/>
        <v>974.86696020067279</v>
      </c>
      <c r="U351" s="14">
        <f t="shared" si="121"/>
        <v>73.826741092853069</v>
      </c>
      <c r="V351" s="14">
        <v>38.420132108033471</v>
      </c>
      <c r="W351" s="16">
        <f t="shared" si="138"/>
        <v>0.54492998887734845</v>
      </c>
      <c r="X351" s="16">
        <f t="shared" si="139"/>
        <v>0.34369467216677657</v>
      </c>
      <c r="Y351" s="16">
        <f t="shared" si="140"/>
        <v>0.85082931369761661</v>
      </c>
      <c r="Z351" s="16">
        <f t="shared" si="122"/>
        <v>0.1788619477712951</v>
      </c>
      <c r="AA351" s="16">
        <f t="shared" si="123"/>
        <v>9.3252817687428449E-3</v>
      </c>
      <c r="AB351" s="14">
        <f t="shared" si="141"/>
        <v>73.826741092853069</v>
      </c>
      <c r="AC351" s="16">
        <f t="shared" si="124"/>
        <v>0.16451664430975382</v>
      </c>
      <c r="AD351" s="16">
        <f t="shared" si="125"/>
        <v>2.8887309542225757E-2</v>
      </c>
      <c r="AE351" s="23" t="str">
        <f t="shared" si="142"/>
        <v/>
      </c>
      <c r="AF351" s="23" t="str">
        <f t="shared" si="126"/>
        <v/>
      </c>
      <c r="AG351" s="23" t="str">
        <f t="shared" si="127"/>
        <v/>
      </c>
      <c r="AH351" s="23">
        <f t="shared" si="143"/>
        <v>300</v>
      </c>
      <c r="AI351" s="23" t="str">
        <f t="shared" si="128"/>
        <v/>
      </c>
      <c r="AJ351" s="23" t="str">
        <f t="shared" si="129"/>
        <v/>
      </c>
      <c r="AK351" s="23" t="str">
        <f t="shared" si="130"/>
        <v/>
      </c>
      <c r="AL351" s="23" t="str">
        <f t="shared" si="131"/>
        <v/>
      </c>
      <c r="AM351" s="52">
        <f t="shared" si="132"/>
        <v>300</v>
      </c>
      <c r="AN351" s="26">
        <f t="shared" si="133"/>
        <v>263.2216993069411</v>
      </c>
    </row>
    <row r="352" spans="1:40" x14ac:dyDescent="0.2">
      <c r="A352" s="12">
        <v>44906</v>
      </c>
      <c r="B352" s="6">
        <v>11</v>
      </c>
      <c r="C352" s="6">
        <v>345</v>
      </c>
      <c r="D352" s="6">
        <v>1</v>
      </c>
      <c r="E352" s="6" t="s">
        <v>12</v>
      </c>
      <c r="F352" s="6">
        <v>50</v>
      </c>
      <c r="G352" s="6">
        <v>12</v>
      </c>
      <c r="H352" s="6" t="s">
        <v>28</v>
      </c>
      <c r="I352" s="6">
        <v>4</v>
      </c>
      <c r="J352" s="14">
        <v>6.776892568352924</v>
      </c>
      <c r="K352" s="14">
        <v>41.073223751642004</v>
      </c>
      <c r="L352" s="14">
        <f t="shared" si="134"/>
        <v>278.34882480079949</v>
      </c>
      <c r="M352" s="16">
        <v>0.43291311927986775</v>
      </c>
      <c r="N352" s="14">
        <f t="shared" si="135"/>
        <v>120.50085799239952</v>
      </c>
      <c r="O352" s="14">
        <f t="shared" si="136"/>
        <v>157.84796680839997</v>
      </c>
      <c r="P352" s="14">
        <v>23.432402730972175</v>
      </c>
      <c r="Q352" s="14">
        <v>6.7196538523186655</v>
      </c>
      <c r="R352" s="14">
        <f t="shared" si="120"/>
        <v>28.571428571428573</v>
      </c>
      <c r="S352" s="14">
        <v>18.346237138386027</v>
      </c>
      <c r="T352" s="14">
        <f t="shared" si="137"/>
        <v>194.84417736055963</v>
      </c>
      <c r="U352" s="14">
        <f t="shared" si="121"/>
        <v>28.751256626149399</v>
      </c>
      <c r="V352" s="14">
        <v>18.088691779147567</v>
      </c>
      <c r="W352" s="16">
        <f t="shared" si="138"/>
        <v>0.8150044721753239</v>
      </c>
      <c r="X352" s="16">
        <f t="shared" si="139"/>
        <v>0.37464802049229712</v>
      </c>
      <c r="Y352" s="16">
        <f t="shared" si="140"/>
        <v>0.61844731325695401</v>
      </c>
      <c r="Z352" s="16">
        <f t="shared" si="122"/>
        <v>0.23570769989195217</v>
      </c>
      <c r="AA352" s="16">
        <f t="shared" si="123"/>
        <v>0.10264612610409163</v>
      </c>
      <c r="AB352" s="14">
        <f t="shared" si="141"/>
        <v>28.751256626149399</v>
      </c>
      <c r="AC352" s="16">
        <f t="shared" si="124"/>
        <v>0.1636018125324295</v>
      </c>
      <c r="AD352" s="16">
        <f t="shared" si="125"/>
        <v>8.4183587797583087E-2</v>
      </c>
      <c r="AE352" s="23" t="str">
        <f t="shared" si="142"/>
        <v/>
      </c>
      <c r="AF352" s="23">
        <f t="shared" si="126"/>
        <v>1000</v>
      </c>
      <c r="AG352" s="23" t="str">
        <f t="shared" si="127"/>
        <v/>
      </c>
      <c r="AH352" s="23" t="str">
        <f t="shared" si="143"/>
        <v/>
      </c>
      <c r="AI352" s="23" t="str">
        <f t="shared" si="128"/>
        <v/>
      </c>
      <c r="AJ352" s="23" t="str">
        <f t="shared" si="129"/>
        <v/>
      </c>
      <c r="AK352" s="23" t="str">
        <f t="shared" si="130"/>
        <v/>
      </c>
      <c r="AL352" s="23" t="str">
        <f t="shared" si="131"/>
        <v/>
      </c>
      <c r="AM352" s="52">
        <f t="shared" si="132"/>
        <v>1000</v>
      </c>
      <c r="AN352" s="26">
        <f t="shared" si="133"/>
        <v>-842.15203319160003</v>
      </c>
    </row>
    <row r="353" spans="1:40" x14ac:dyDescent="0.2">
      <c r="A353" s="12">
        <v>44907</v>
      </c>
      <c r="B353" s="6">
        <v>12</v>
      </c>
      <c r="C353" s="6">
        <v>346</v>
      </c>
      <c r="D353" s="6">
        <v>2</v>
      </c>
      <c r="E353" s="6" t="s">
        <v>13</v>
      </c>
      <c r="F353" s="6">
        <v>50</v>
      </c>
      <c r="G353" s="6">
        <v>12</v>
      </c>
      <c r="H353" s="6" t="s">
        <v>28</v>
      </c>
      <c r="I353" s="6">
        <v>4</v>
      </c>
      <c r="J353" s="14">
        <v>23.571027595515229</v>
      </c>
      <c r="K353" s="14">
        <v>74.94051936366094</v>
      </c>
      <c r="L353" s="14">
        <f t="shared" si="134"/>
        <v>1766.4250499430955</v>
      </c>
      <c r="M353" s="16">
        <v>0.6496135416126918</v>
      </c>
      <c r="N353" s="14">
        <f t="shared" si="135"/>
        <v>1147.4936326869104</v>
      </c>
      <c r="O353" s="14">
        <f t="shared" si="136"/>
        <v>618.93141725618511</v>
      </c>
      <c r="P353" s="14">
        <v>40.149820093531432</v>
      </c>
      <c r="Q353" s="14">
        <v>21.560786251957463</v>
      </c>
      <c r="R353" s="14">
        <f t="shared" si="120"/>
        <v>12.987012987012987</v>
      </c>
      <c r="S353" s="14">
        <v>46.247777626626963</v>
      </c>
      <c r="T353" s="14">
        <f t="shared" si="137"/>
        <v>1236.4975349601668</v>
      </c>
      <c r="U353" s="14">
        <f t="shared" si="121"/>
        <v>52.458363554562659</v>
      </c>
      <c r="V353" s="14">
        <v>39.982622835306103</v>
      </c>
      <c r="W353" s="16">
        <f t="shared" si="138"/>
        <v>0.76536547030810553</v>
      </c>
      <c r="X353" s="16">
        <f t="shared" si="139"/>
        <v>0.58953179966725844</v>
      </c>
      <c r="Y353" s="16">
        <f t="shared" si="140"/>
        <v>0.92801934516098838</v>
      </c>
      <c r="Z353" s="16">
        <f t="shared" si="122"/>
        <v>0.44932830531395973</v>
      </c>
      <c r="AA353" s="16">
        <f t="shared" si="123"/>
        <v>7.3521449367078195E-3</v>
      </c>
      <c r="AB353" s="14">
        <f t="shared" si="141"/>
        <v>52.458363554562659</v>
      </c>
      <c r="AC353" s="16">
        <f t="shared" si="124"/>
        <v>0.28770532196781656</v>
      </c>
      <c r="AD353" s="16">
        <f t="shared" si="125"/>
        <v>2.2729421831299799E-2</v>
      </c>
      <c r="AE353" s="23" t="str">
        <f t="shared" si="142"/>
        <v/>
      </c>
      <c r="AF353" s="23" t="str">
        <f t="shared" si="126"/>
        <v/>
      </c>
      <c r="AG353" s="23" t="str">
        <f t="shared" si="127"/>
        <v/>
      </c>
      <c r="AH353" s="23" t="str">
        <f t="shared" si="143"/>
        <v/>
      </c>
      <c r="AI353" s="23" t="str">
        <f t="shared" si="128"/>
        <v/>
      </c>
      <c r="AJ353" s="23">
        <f t="shared" si="129"/>
        <v>480</v>
      </c>
      <c r="AK353" s="23" t="str">
        <f t="shared" si="130"/>
        <v/>
      </c>
      <c r="AL353" s="23" t="str">
        <f t="shared" si="131"/>
        <v/>
      </c>
      <c r="AM353" s="52">
        <f t="shared" si="132"/>
        <v>480</v>
      </c>
      <c r="AN353" s="26">
        <f t="shared" si="133"/>
        <v>138.93141725618511</v>
      </c>
    </row>
    <row r="354" spans="1:40" x14ac:dyDescent="0.2">
      <c r="A354" s="12">
        <v>44908</v>
      </c>
      <c r="B354" s="6">
        <v>13</v>
      </c>
      <c r="C354" s="6">
        <v>347</v>
      </c>
      <c r="D354" s="6">
        <v>3</v>
      </c>
      <c r="E354" s="6" t="s">
        <v>14</v>
      </c>
      <c r="F354" s="6">
        <v>50</v>
      </c>
      <c r="G354" s="6">
        <v>12</v>
      </c>
      <c r="H354" s="6" t="s">
        <v>28</v>
      </c>
      <c r="I354" s="6">
        <v>4</v>
      </c>
      <c r="J354" s="14">
        <v>15.484761690140104</v>
      </c>
      <c r="K354" s="14">
        <v>79.229620611913973</v>
      </c>
      <c r="L354" s="14">
        <f t="shared" si="134"/>
        <v>1226.8517939757003</v>
      </c>
      <c r="M354" s="16">
        <v>0.733399984820858</v>
      </c>
      <c r="N354" s="14">
        <f t="shared" si="135"/>
        <v>899.773087079221</v>
      </c>
      <c r="O354" s="14">
        <f t="shared" si="136"/>
        <v>327.07870689647928</v>
      </c>
      <c r="P354" s="14">
        <v>44.433916501549831</v>
      </c>
      <c r="Q354" s="14">
        <v>13.706652174245638</v>
      </c>
      <c r="R354" s="14">
        <f t="shared" si="120"/>
        <v>12.987012987012987</v>
      </c>
      <c r="S354" s="14">
        <v>39.520548489860431</v>
      </c>
      <c r="T354" s="14">
        <f t="shared" si="137"/>
        <v>858.7962557829901</v>
      </c>
      <c r="U354" s="14">
        <f t="shared" si="121"/>
        <v>55.460734428339777</v>
      </c>
      <c r="V354" s="14">
        <v>43.940651572115719</v>
      </c>
      <c r="W354" s="16">
        <f t="shared" si="138"/>
        <v>0.80117793173046459</v>
      </c>
      <c r="X354" s="16">
        <f t="shared" si="139"/>
        <v>0.35240173133815278</v>
      </c>
      <c r="Y354" s="16">
        <f t="shared" si="140"/>
        <v>1.0477142640297972</v>
      </c>
      <c r="Z354" s="16">
        <f t="shared" si="122"/>
        <v>0.27920224731513066</v>
      </c>
      <c r="AA354" s="16">
        <f t="shared" si="123"/>
        <v>1.0585641273692603E-2</v>
      </c>
      <c r="AB354" s="14">
        <f t="shared" si="141"/>
        <v>55.460734428339777</v>
      </c>
      <c r="AC354" s="16">
        <f t="shared" si="124"/>
        <v>0.17299908883047879</v>
      </c>
      <c r="AD354" s="16">
        <f t="shared" si="125"/>
        <v>3.6217835536237489E-2</v>
      </c>
      <c r="AE354" s="23" t="str">
        <f t="shared" si="142"/>
        <v/>
      </c>
      <c r="AF354" s="23" t="str">
        <f t="shared" si="126"/>
        <v/>
      </c>
      <c r="AG354" s="23" t="str">
        <f t="shared" si="127"/>
        <v/>
      </c>
      <c r="AH354" s="23" t="str">
        <f t="shared" si="143"/>
        <v/>
      </c>
      <c r="AI354" s="23" t="str">
        <f t="shared" si="128"/>
        <v/>
      </c>
      <c r="AJ354" s="23" t="str">
        <f t="shared" si="129"/>
        <v/>
      </c>
      <c r="AK354" s="23" t="str">
        <f t="shared" si="130"/>
        <v/>
      </c>
      <c r="AL354" s="23" t="str">
        <f t="shared" si="131"/>
        <v/>
      </c>
      <c r="AM354" s="52">
        <f t="shared" si="132"/>
        <v>0</v>
      </c>
      <c r="AN354" s="26">
        <f t="shared" si="133"/>
        <v>327.07870689647928</v>
      </c>
    </row>
    <row r="355" spans="1:40" x14ac:dyDescent="0.2">
      <c r="A355" s="12">
        <v>44909</v>
      </c>
      <c r="B355" s="6">
        <v>14</v>
      </c>
      <c r="C355" s="6">
        <v>348</v>
      </c>
      <c r="D355" s="6">
        <v>4</v>
      </c>
      <c r="E355" s="6" t="s">
        <v>15</v>
      </c>
      <c r="F355" s="6">
        <v>50</v>
      </c>
      <c r="G355" s="6">
        <v>12</v>
      </c>
      <c r="H355" s="6" t="s">
        <v>28</v>
      </c>
      <c r="I355" s="6">
        <v>4</v>
      </c>
      <c r="J355" s="14">
        <v>30.93981752915203</v>
      </c>
      <c r="K355" s="14">
        <v>58.883137771681092</v>
      </c>
      <c r="L355" s="14">
        <f t="shared" si="134"/>
        <v>1821.8335381997326</v>
      </c>
      <c r="M355" s="16">
        <v>0.51102817694254832</v>
      </c>
      <c r="N355" s="14">
        <f t="shared" si="135"/>
        <v>931.00827171900187</v>
      </c>
      <c r="O355" s="14">
        <f t="shared" si="136"/>
        <v>890.82526648073076</v>
      </c>
      <c r="P355" s="14">
        <v>20.60883590637712</v>
      </c>
      <c r="Q355" s="14">
        <v>19.421121851525989</v>
      </c>
      <c r="R355" s="14">
        <f t="shared" si="120"/>
        <v>12.987012987012987</v>
      </c>
      <c r="S355" s="14">
        <v>45.730135092990608</v>
      </c>
      <c r="T355" s="14">
        <f t="shared" si="137"/>
        <v>1275.2834767398128</v>
      </c>
      <c r="U355" s="14">
        <f t="shared" si="121"/>
        <v>41.218196440176762</v>
      </c>
      <c r="V355" s="14">
        <v>43.471540968621959</v>
      </c>
      <c r="W355" s="16">
        <f t="shared" si="138"/>
        <v>0.4999936359730916</v>
      </c>
      <c r="X355" s="16">
        <f t="shared" si="139"/>
        <v>0.7117258058895265</v>
      </c>
      <c r="Y355" s="16">
        <f t="shared" si="140"/>
        <v>0.73004025277506901</v>
      </c>
      <c r="Z355" s="16">
        <f t="shared" si="122"/>
        <v>0.75063491858644138</v>
      </c>
      <c r="AA355" s="16">
        <f t="shared" si="123"/>
        <v>7.1285398554284301E-3</v>
      </c>
      <c r="AB355" s="14">
        <f t="shared" si="141"/>
        <v>41.218196440176762</v>
      </c>
      <c r="AC355" s="16">
        <f t="shared" si="124"/>
        <v>0.32982484606766777</v>
      </c>
      <c r="AD355" s="16">
        <f t="shared" si="125"/>
        <v>1.1312139926209722E-2</v>
      </c>
      <c r="AE355" s="23" t="str">
        <f t="shared" si="142"/>
        <v/>
      </c>
      <c r="AF355" s="23" t="str">
        <f t="shared" si="126"/>
        <v/>
      </c>
      <c r="AG355" s="23" t="str">
        <f t="shared" si="127"/>
        <v/>
      </c>
      <c r="AH355" s="23" t="str">
        <f t="shared" si="143"/>
        <v/>
      </c>
      <c r="AI355" s="23" t="str">
        <f t="shared" si="128"/>
        <v/>
      </c>
      <c r="AJ355" s="23" t="str">
        <f t="shared" si="129"/>
        <v/>
      </c>
      <c r="AK355" s="23" t="str">
        <f t="shared" si="130"/>
        <v/>
      </c>
      <c r="AL355" s="23" t="str">
        <f t="shared" si="131"/>
        <v/>
      </c>
      <c r="AM355" s="52">
        <f t="shared" si="132"/>
        <v>0</v>
      </c>
      <c r="AN355" s="26">
        <f t="shared" si="133"/>
        <v>890.82526648073076</v>
      </c>
    </row>
    <row r="356" spans="1:40" x14ac:dyDescent="0.2">
      <c r="A356" s="12">
        <v>44910</v>
      </c>
      <c r="B356" s="6">
        <v>15</v>
      </c>
      <c r="C356" s="6">
        <v>349</v>
      </c>
      <c r="D356" s="6">
        <v>5</v>
      </c>
      <c r="E356" s="6" t="s">
        <v>16</v>
      </c>
      <c r="F356" s="6">
        <v>50</v>
      </c>
      <c r="G356" s="6">
        <v>12</v>
      </c>
      <c r="H356" s="6" t="s">
        <v>28</v>
      </c>
      <c r="I356" s="6">
        <v>4</v>
      </c>
      <c r="J356" s="14">
        <v>15.261157817760528</v>
      </c>
      <c r="K356" s="14">
        <v>159.21851197828045</v>
      </c>
      <c r="L356" s="14">
        <f t="shared" si="134"/>
        <v>2429.8588388095332</v>
      </c>
      <c r="M356" s="16">
        <v>0.79106869623508735</v>
      </c>
      <c r="N356" s="14">
        <f t="shared" si="135"/>
        <v>1922.1852636523606</v>
      </c>
      <c r="O356" s="14">
        <f t="shared" si="136"/>
        <v>507.67357515717254</v>
      </c>
      <c r="P356" s="14">
        <v>46.88635929826242</v>
      </c>
      <c r="Q356" s="14">
        <v>17.892520762051021</v>
      </c>
      <c r="R356" s="14">
        <f t="shared" si="120"/>
        <v>12.987012987012987</v>
      </c>
      <c r="S356" s="14">
        <v>41.924008437389851</v>
      </c>
      <c r="T356" s="14">
        <f t="shared" si="137"/>
        <v>1700.901187166673</v>
      </c>
      <c r="U356" s="14">
        <f t="shared" si="121"/>
        <v>111.4529583847963</v>
      </c>
      <c r="V356" s="14">
        <v>43.499905981821748</v>
      </c>
      <c r="W356" s="16">
        <f t="shared" si="138"/>
        <v>0.42068294980905913</v>
      </c>
      <c r="X356" s="16">
        <f t="shared" si="139"/>
        <v>0.35083197246766556</v>
      </c>
      <c r="Y356" s="16">
        <f t="shared" si="140"/>
        <v>1.1300981374786963</v>
      </c>
      <c r="Z356" s="16">
        <f t="shared" si="122"/>
        <v>0.13692914067898226</v>
      </c>
      <c r="AA356" s="16">
        <f t="shared" si="123"/>
        <v>5.3447602714961611E-3</v>
      </c>
      <c r="AB356" s="14">
        <f t="shared" si="141"/>
        <v>111.4529583847963</v>
      </c>
      <c r="AC356" s="16">
        <f t="shared" si="124"/>
        <v>0.11237713843533347</v>
      </c>
      <c r="AD356" s="16">
        <f t="shared" si="125"/>
        <v>1.9295918984838466E-2</v>
      </c>
      <c r="AE356" s="23" t="str">
        <f t="shared" si="142"/>
        <v/>
      </c>
      <c r="AF356" s="23" t="str">
        <f t="shared" si="126"/>
        <v/>
      </c>
      <c r="AG356" s="23">
        <f t="shared" si="127"/>
        <v>300</v>
      </c>
      <c r="AH356" s="23" t="str">
        <f t="shared" si="143"/>
        <v/>
      </c>
      <c r="AI356" s="23" t="str">
        <f t="shared" si="128"/>
        <v/>
      </c>
      <c r="AJ356" s="23" t="str">
        <f t="shared" si="129"/>
        <v/>
      </c>
      <c r="AK356" s="23" t="str">
        <f t="shared" si="130"/>
        <v/>
      </c>
      <c r="AL356" s="23" t="str">
        <f t="shared" si="131"/>
        <v/>
      </c>
      <c r="AM356" s="52">
        <f t="shared" si="132"/>
        <v>300</v>
      </c>
      <c r="AN356" s="26">
        <f t="shared" si="133"/>
        <v>207.67357515717254</v>
      </c>
    </row>
    <row r="357" spans="1:40" x14ac:dyDescent="0.2">
      <c r="A357" s="12">
        <v>44911</v>
      </c>
      <c r="B357" s="6">
        <v>16</v>
      </c>
      <c r="C357" s="6">
        <v>350</v>
      </c>
      <c r="D357" s="6">
        <v>6</v>
      </c>
      <c r="E357" s="6" t="s">
        <v>17</v>
      </c>
      <c r="F357" s="6">
        <v>50</v>
      </c>
      <c r="G357" s="6">
        <v>12</v>
      </c>
      <c r="H357" s="6" t="s">
        <v>28</v>
      </c>
      <c r="I357" s="6">
        <v>4</v>
      </c>
      <c r="J357" s="14">
        <v>2.3817212309360958</v>
      </c>
      <c r="K357" s="14">
        <v>57.602033626083461</v>
      </c>
      <c r="L357" s="14">
        <f t="shared" si="134"/>
        <v>137.19198643233787</v>
      </c>
      <c r="M357" s="16">
        <v>0.82999583652703113</v>
      </c>
      <c r="N357" s="14">
        <f t="shared" si="135"/>
        <v>113.86877754371338</v>
      </c>
      <c r="O357" s="14">
        <f t="shared" si="136"/>
        <v>23.323208888624492</v>
      </c>
      <c r="P357" s="14">
        <v>66.310597281762625</v>
      </c>
      <c r="Q357" s="14">
        <v>23.733049877898427</v>
      </c>
      <c r="R357" s="14">
        <f t="shared" si="120"/>
        <v>12.987012987012987</v>
      </c>
      <c r="S357" s="14">
        <v>38.691042591231955</v>
      </c>
      <c r="T357" s="14">
        <f t="shared" si="137"/>
        <v>96.034390502636498</v>
      </c>
      <c r="U357" s="14">
        <f t="shared" si="121"/>
        <v>40.321423538258415</v>
      </c>
      <c r="V357" s="14">
        <v>31.976063718401349</v>
      </c>
      <c r="W357" s="16">
        <f t="shared" si="138"/>
        <v>1.6445500050077535</v>
      </c>
      <c r="X357" s="16">
        <f t="shared" si="139"/>
        <v>7.4484503530854562E-2</v>
      </c>
      <c r="Y357" s="16">
        <f t="shared" si="140"/>
        <v>1.1857083378957589</v>
      </c>
      <c r="Z357" s="16">
        <f t="shared" si="122"/>
        <v>5.9068381568330122E-2</v>
      </c>
      <c r="AA357" s="16">
        <f t="shared" si="123"/>
        <v>9.4663058132904071E-2</v>
      </c>
      <c r="AB357" s="14">
        <f t="shared" si="141"/>
        <v>40.321423538258415</v>
      </c>
      <c r="AC357" s="16">
        <f t="shared" si="124"/>
        <v>0.41201756923997873</v>
      </c>
      <c r="AD357" s="16">
        <f t="shared" si="125"/>
        <v>0.48334162224895366</v>
      </c>
      <c r="AE357" s="23" t="str">
        <f t="shared" si="142"/>
        <v/>
      </c>
      <c r="AF357" s="23" t="str">
        <f t="shared" si="126"/>
        <v/>
      </c>
      <c r="AG357" s="23" t="str">
        <f t="shared" si="127"/>
        <v/>
      </c>
      <c r="AH357" s="23" t="str">
        <f t="shared" si="143"/>
        <v/>
      </c>
      <c r="AI357" s="23" t="str">
        <f t="shared" si="128"/>
        <v/>
      </c>
      <c r="AJ357" s="23" t="str">
        <f t="shared" si="129"/>
        <v/>
      </c>
      <c r="AK357" s="23" t="str">
        <f t="shared" si="130"/>
        <v/>
      </c>
      <c r="AL357" s="23" t="str">
        <f t="shared" si="131"/>
        <v/>
      </c>
      <c r="AM357" s="52">
        <f t="shared" si="132"/>
        <v>0</v>
      </c>
      <c r="AN357" s="26">
        <f t="shared" si="133"/>
        <v>23.323208888624492</v>
      </c>
    </row>
    <row r="358" spans="1:40" x14ac:dyDescent="0.2">
      <c r="A358" s="12">
        <v>44912</v>
      </c>
      <c r="B358" s="6">
        <v>17</v>
      </c>
      <c r="C358" s="6">
        <v>351</v>
      </c>
      <c r="D358" s="6">
        <v>7</v>
      </c>
      <c r="E358" s="6" t="s">
        <v>10</v>
      </c>
      <c r="F358" s="6">
        <v>50</v>
      </c>
      <c r="G358" s="6">
        <v>12</v>
      </c>
      <c r="H358" s="6" t="s">
        <v>28</v>
      </c>
      <c r="I358" s="6">
        <v>4</v>
      </c>
      <c r="J358" s="14">
        <v>32.555199474233973</v>
      </c>
      <c r="K358" s="14">
        <v>72.01704359425257</v>
      </c>
      <c r="L358" s="14">
        <f t="shared" si="134"/>
        <v>2344.5292197554963</v>
      </c>
      <c r="M358" s="16">
        <v>0.67037563938798406</v>
      </c>
      <c r="N358" s="14">
        <f t="shared" si="135"/>
        <v>1571.7152747574023</v>
      </c>
      <c r="O358" s="14">
        <f t="shared" si="136"/>
        <v>772.81394499809403</v>
      </c>
      <c r="P358" s="14">
        <v>39.840468934222194</v>
      </c>
      <c r="Q358" s="14">
        <v>12.933119455223757</v>
      </c>
      <c r="R358" s="14">
        <f t="shared" si="120"/>
        <v>12.987012987012987</v>
      </c>
      <c r="S358" s="14">
        <v>46.812803747303107</v>
      </c>
      <c r="T358" s="14">
        <f t="shared" si="137"/>
        <v>1641.1704538288473</v>
      </c>
      <c r="U358" s="14">
        <f t="shared" si="121"/>
        <v>50.411930515976792</v>
      </c>
      <c r="V358" s="14">
        <v>49.477067238105917</v>
      </c>
      <c r="W358" s="16">
        <f t="shared" si="138"/>
        <v>0.79029841798254008</v>
      </c>
      <c r="X358" s="16">
        <f t="shared" si="139"/>
        <v>0.65798563438620361</v>
      </c>
      <c r="Y358" s="16">
        <f t="shared" si="140"/>
        <v>0.95767948483997734</v>
      </c>
      <c r="Z358" s="16">
        <f t="shared" si="122"/>
        <v>0.64578362980795634</v>
      </c>
      <c r="AA358" s="16">
        <f t="shared" si="123"/>
        <v>5.5392839114913493E-3</v>
      </c>
      <c r="AB358" s="14">
        <f t="shared" si="141"/>
        <v>50.411930515976792</v>
      </c>
      <c r="AC358" s="16">
        <f t="shared" si="124"/>
        <v>0.17958414855363355</v>
      </c>
      <c r="AD358" s="16">
        <f t="shared" si="125"/>
        <v>1.6992950481707809E-2</v>
      </c>
      <c r="AE358" s="23" t="str">
        <f t="shared" si="142"/>
        <v/>
      </c>
      <c r="AF358" s="23" t="str">
        <f t="shared" si="126"/>
        <v/>
      </c>
      <c r="AG358" s="23" t="str">
        <f t="shared" si="127"/>
        <v/>
      </c>
      <c r="AH358" s="23" t="str">
        <f t="shared" si="143"/>
        <v/>
      </c>
      <c r="AI358" s="23" t="str">
        <f t="shared" si="128"/>
        <v/>
      </c>
      <c r="AJ358" s="23" t="str">
        <f t="shared" si="129"/>
        <v/>
      </c>
      <c r="AK358" s="23" t="str">
        <f t="shared" si="130"/>
        <v/>
      </c>
      <c r="AL358" s="23" t="str">
        <f t="shared" si="131"/>
        <v/>
      </c>
      <c r="AM358" s="52">
        <f t="shared" si="132"/>
        <v>0</v>
      </c>
      <c r="AN358" s="26">
        <f t="shared" si="133"/>
        <v>772.81394499809403</v>
      </c>
    </row>
    <row r="359" spans="1:40" x14ac:dyDescent="0.2">
      <c r="A359" s="12">
        <v>44913</v>
      </c>
      <c r="B359" s="6">
        <v>18</v>
      </c>
      <c r="C359" s="6">
        <v>352</v>
      </c>
      <c r="D359" s="6">
        <v>1</v>
      </c>
      <c r="E359" s="6" t="s">
        <v>12</v>
      </c>
      <c r="F359" s="6">
        <v>51</v>
      </c>
      <c r="G359" s="6">
        <v>12</v>
      </c>
      <c r="H359" s="6" t="s">
        <v>28</v>
      </c>
      <c r="I359" s="6">
        <v>4</v>
      </c>
      <c r="J359" s="14">
        <v>6.3974944783203922</v>
      </c>
      <c r="K359" s="14">
        <v>13.652911393397186</v>
      </c>
      <c r="L359" s="14">
        <f t="shared" si="134"/>
        <v>87.344425252256073</v>
      </c>
      <c r="M359" s="16">
        <v>0.34050627750891294</v>
      </c>
      <c r="N359" s="14">
        <f t="shared" si="135"/>
        <v>29.741325103801209</v>
      </c>
      <c r="O359" s="14">
        <f t="shared" si="136"/>
        <v>57.603100148454864</v>
      </c>
      <c r="P359" s="14">
        <v>23.419152012108633</v>
      </c>
      <c r="Q359" s="14">
        <v>10.490258575936998</v>
      </c>
      <c r="R359" s="14">
        <f t="shared" si="120"/>
        <v>28.571428571428573</v>
      </c>
      <c r="S359" s="14">
        <v>17.248269108128554</v>
      </c>
      <c r="T359" s="14">
        <f t="shared" si="137"/>
        <v>61.14109767657925</v>
      </c>
      <c r="U359" s="14">
        <f t="shared" si="121"/>
        <v>9.5570379753780301</v>
      </c>
      <c r="V359" s="14">
        <v>18.642941360177595</v>
      </c>
      <c r="W359" s="16">
        <f t="shared" si="138"/>
        <v>2.4504613325220448</v>
      </c>
      <c r="X359" s="16">
        <f t="shared" si="139"/>
        <v>0.34315907316995653</v>
      </c>
      <c r="Y359" s="16">
        <f t="shared" si="140"/>
        <v>0.48643753929844707</v>
      </c>
      <c r="Z359" s="16">
        <f t="shared" si="122"/>
        <v>0.66940138720829334</v>
      </c>
      <c r="AA359" s="16">
        <f t="shared" si="123"/>
        <v>0.32711221682336944</v>
      </c>
      <c r="AB359" s="14">
        <f t="shared" si="141"/>
        <v>9.5570379753780301</v>
      </c>
      <c r="AC359" s="16">
        <f t="shared" si="124"/>
        <v>0.76835323057983751</v>
      </c>
      <c r="AD359" s="16">
        <f t="shared" si="125"/>
        <v>0.26812417557815144</v>
      </c>
      <c r="AE359" s="23" t="str">
        <f t="shared" si="142"/>
        <v/>
      </c>
      <c r="AF359" s="23">
        <f t="shared" si="126"/>
        <v>1000</v>
      </c>
      <c r="AG359" s="23" t="str">
        <f t="shared" si="127"/>
        <v/>
      </c>
      <c r="AH359" s="23" t="str">
        <f t="shared" si="143"/>
        <v/>
      </c>
      <c r="AI359" s="23" t="str">
        <f t="shared" si="128"/>
        <v/>
      </c>
      <c r="AJ359" s="23" t="str">
        <f t="shared" si="129"/>
        <v/>
      </c>
      <c r="AK359" s="23" t="str">
        <f t="shared" si="130"/>
        <v/>
      </c>
      <c r="AL359" s="23" t="str">
        <f t="shared" si="131"/>
        <v/>
      </c>
      <c r="AM359" s="52">
        <f t="shared" si="132"/>
        <v>1000</v>
      </c>
      <c r="AN359" s="26">
        <f t="shared" si="133"/>
        <v>-942.39689985154519</v>
      </c>
    </row>
    <row r="360" spans="1:40" x14ac:dyDescent="0.2">
      <c r="A360" s="12">
        <v>44914</v>
      </c>
      <c r="B360" s="6">
        <v>19</v>
      </c>
      <c r="C360" s="6">
        <v>353</v>
      </c>
      <c r="D360" s="6">
        <v>2</v>
      </c>
      <c r="E360" s="6" t="s">
        <v>13</v>
      </c>
      <c r="F360" s="6">
        <v>51</v>
      </c>
      <c r="G360" s="6">
        <v>12</v>
      </c>
      <c r="H360" s="6" t="s">
        <v>28</v>
      </c>
      <c r="I360" s="6">
        <v>4</v>
      </c>
      <c r="J360" s="14">
        <v>6.8184140944228737</v>
      </c>
      <c r="K360" s="14">
        <v>28.518699482229103</v>
      </c>
      <c r="L360" s="14">
        <f t="shared" si="134"/>
        <v>194.45230250424123</v>
      </c>
      <c r="M360" s="16">
        <v>0.48413577424314902</v>
      </c>
      <c r="N360" s="14">
        <f t="shared" si="135"/>
        <v>94.141316026253847</v>
      </c>
      <c r="O360" s="14">
        <f t="shared" si="136"/>
        <v>100.31098647798738</v>
      </c>
      <c r="P360" s="14">
        <v>35.067245140251586</v>
      </c>
      <c r="Q360" s="14">
        <v>22.482860594514051</v>
      </c>
      <c r="R360" s="14">
        <f t="shared" si="120"/>
        <v>12.987012987012987</v>
      </c>
      <c r="S360" s="14">
        <v>46.152846381443702</v>
      </c>
      <c r="T360" s="14">
        <f t="shared" si="137"/>
        <v>136.11661175296885</v>
      </c>
      <c r="U360" s="14">
        <f t="shared" si="121"/>
        <v>19.963089637560373</v>
      </c>
      <c r="V360" s="14">
        <v>45.832731020967451</v>
      </c>
      <c r="W360" s="16">
        <f t="shared" si="138"/>
        <v>1.7566041017154419</v>
      </c>
      <c r="X360" s="16">
        <f t="shared" si="139"/>
        <v>0.14876735342922509</v>
      </c>
      <c r="Y360" s="16">
        <f t="shared" si="140"/>
        <v>0.69162253463307</v>
      </c>
      <c r="Z360" s="16">
        <f t="shared" si="122"/>
        <v>0.34155104336124853</v>
      </c>
      <c r="AA360" s="16">
        <f t="shared" si="123"/>
        <v>6.6787653423284743E-2</v>
      </c>
      <c r="AB360" s="14">
        <f t="shared" si="141"/>
        <v>19.963089637560373</v>
      </c>
      <c r="AC360" s="16">
        <f t="shared" si="124"/>
        <v>0.78835504432885617</v>
      </c>
      <c r="AD360" s="16">
        <f t="shared" si="125"/>
        <v>0.18033854415010966</v>
      </c>
      <c r="AE360" s="23" t="str">
        <f t="shared" si="142"/>
        <v/>
      </c>
      <c r="AF360" s="23" t="str">
        <f t="shared" si="126"/>
        <v/>
      </c>
      <c r="AG360" s="23" t="str">
        <f t="shared" si="127"/>
        <v/>
      </c>
      <c r="AH360" s="23" t="str">
        <f t="shared" si="143"/>
        <v/>
      </c>
      <c r="AI360" s="23" t="str">
        <f t="shared" si="128"/>
        <v/>
      </c>
      <c r="AJ360" s="23" t="str">
        <f t="shared" si="129"/>
        <v/>
      </c>
      <c r="AK360" s="23" t="str">
        <f t="shared" si="130"/>
        <v/>
      </c>
      <c r="AL360" s="23" t="str">
        <f t="shared" si="131"/>
        <v/>
      </c>
      <c r="AM360" s="52">
        <f t="shared" si="132"/>
        <v>0</v>
      </c>
      <c r="AN360" s="26">
        <f t="shared" si="133"/>
        <v>100.31098647798738</v>
      </c>
    </row>
    <row r="361" spans="1:40" x14ac:dyDescent="0.2">
      <c r="A361" s="12">
        <v>44915</v>
      </c>
      <c r="B361" s="6">
        <v>20</v>
      </c>
      <c r="C361" s="6">
        <v>354</v>
      </c>
      <c r="D361" s="6">
        <v>3</v>
      </c>
      <c r="E361" s="6" t="s">
        <v>14</v>
      </c>
      <c r="F361" s="6">
        <v>51</v>
      </c>
      <c r="G361" s="6">
        <v>12</v>
      </c>
      <c r="H361" s="6" t="s">
        <v>28</v>
      </c>
      <c r="I361" s="6">
        <v>4</v>
      </c>
      <c r="J361" s="14">
        <v>34.729871884581947</v>
      </c>
      <c r="K361" s="14">
        <v>87.633024449566122</v>
      </c>
      <c r="L361" s="14">
        <v>2700</v>
      </c>
      <c r="M361" s="16">
        <v>0.38146444970618087</v>
      </c>
      <c r="N361" s="14">
        <f t="shared" si="135"/>
        <v>1029.9540142066883</v>
      </c>
      <c r="O361" s="14">
        <f t="shared" si="136"/>
        <v>1670.0459857933117</v>
      </c>
      <c r="P361" s="14">
        <v>61.378809330687098</v>
      </c>
      <c r="Q361" s="14">
        <v>9.6321763522633255</v>
      </c>
      <c r="R361" s="14">
        <f t="shared" si="120"/>
        <v>12.987012987012987</v>
      </c>
      <c r="S361" s="14">
        <v>37.333047705538704</v>
      </c>
      <c r="T361" s="14">
        <f t="shared" si="137"/>
        <v>1889.9999999999998</v>
      </c>
      <c r="U361" s="14">
        <f t="shared" si="121"/>
        <v>54.42001071242219</v>
      </c>
      <c r="V361" s="14">
        <v>52.870810898689513</v>
      </c>
      <c r="W361" s="16">
        <f t="shared" si="138"/>
        <v>1.1278720552819821</v>
      </c>
      <c r="X361" s="16">
        <f t="shared" si="139"/>
        <v>0.65688177075874543</v>
      </c>
      <c r="Y361" s="16">
        <f t="shared" si="140"/>
        <v>0.54494921386597273</v>
      </c>
      <c r="Z361" s="16">
        <f t="shared" si="122"/>
        <v>0.63818201117432583</v>
      </c>
      <c r="AA361" s="16">
        <f t="shared" si="123"/>
        <v>4.8100048100048103E-3</v>
      </c>
      <c r="AB361" s="14">
        <f t="shared" si="141"/>
        <v>54.42001071242219</v>
      </c>
      <c r="AC361" s="16">
        <f t="shared" si="124"/>
        <v>0.10991491407222582</v>
      </c>
      <c r="AD361" s="16">
        <f t="shared" si="125"/>
        <v>2.2732892344698927E-2</v>
      </c>
      <c r="AE361" s="23" t="str">
        <f t="shared" si="142"/>
        <v/>
      </c>
      <c r="AF361" s="23" t="str">
        <f t="shared" si="126"/>
        <v/>
      </c>
      <c r="AG361" s="23" t="str">
        <f t="shared" si="127"/>
        <v/>
      </c>
      <c r="AH361" s="23" t="str">
        <f t="shared" si="143"/>
        <v/>
      </c>
      <c r="AI361" s="23">
        <f t="shared" si="128"/>
        <v>100</v>
      </c>
      <c r="AJ361" s="23" t="str">
        <f t="shared" si="129"/>
        <v/>
      </c>
      <c r="AK361" s="23" t="str">
        <f t="shared" si="130"/>
        <v/>
      </c>
      <c r="AL361" s="23" t="str">
        <f t="shared" si="131"/>
        <v/>
      </c>
      <c r="AM361" s="52">
        <f t="shared" si="132"/>
        <v>100</v>
      </c>
      <c r="AN361" s="26">
        <f t="shared" si="133"/>
        <v>1570.0459857933117</v>
      </c>
    </row>
    <row r="362" spans="1:40" x14ac:dyDescent="0.2">
      <c r="A362" s="12">
        <v>44916</v>
      </c>
      <c r="B362" s="6">
        <v>21</v>
      </c>
      <c r="C362" s="6">
        <v>355</v>
      </c>
      <c r="D362" s="6">
        <v>4</v>
      </c>
      <c r="E362" s="6" t="s">
        <v>15</v>
      </c>
      <c r="F362" s="6">
        <v>51</v>
      </c>
      <c r="G362" s="6">
        <v>12</v>
      </c>
      <c r="H362" s="6" t="s">
        <v>28</v>
      </c>
      <c r="I362" s="6">
        <v>4</v>
      </c>
      <c r="J362" s="14">
        <v>10.265541850465992</v>
      </c>
      <c r="K362" s="14">
        <v>95.81800119617489</v>
      </c>
      <c r="L362" s="14">
        <f t="shared" si="134"/>
        <v>983.62370130733382</v>
      </c>
      <c r="M362" s="16">
        <v>0.71915437466318222</v>
      </c>
      <c r="N362" s="14">
        <f t="shared" si="135"/>
        <v>707.37728781756039</v>
      </c>
      <c r="O362" s="14">
        <f t="shared" si="136"/>
        <v>276.24641348977343</v>
      </c>
      <c r="P362" s="14">
        <v>30.361882825055915</v>
      </c>
      <c r="Q362" s="14">
        <v>24.584827582109497</v>
      </c>
      <c r="R362" s="14">
        <f t="shared" si="120"/>
        <v>12.987012987012987</v>
      </c>
      <c r="S362" s="14">
        <v>41.685306558920885</v>
      </c>
      <c r="T362" s="14">
        <f t="shared" si="137"/>
        <v>688.53659091513362</v>
      </c>
      <c r="U362" s="14">
        <f t="shared" si="121"/>
        <v>67.072600837322426</v>
      </c>
      <c r="V362" s="14">
        <v>38.255350668984278</v>
      </c>
      <c r="W362" s="16">
        <f t="shared" si="138"/>
        <v>0.45267191738539386</v>
      </c>
      <c r="X362" s="16">
        <f t="shared" si="139"/>
        <v>0.26834264151155285</v>
      </c>
      <c r="Y362" s="16">
        <f t="shared" si="140"/>
        <v>1.0273633923759746</v>
      </c>
      <c r="Z362" s="16">
        <f t="shared" si="122"/>
        <v>0.15305119709557691</v>
      </c>
      <c r="AA362" s="16">
        <f t="shared" si="123"/>
        <v>1.3203233075567368E-2</v>
      </c>
      <c r="AB362" s="14">
        <f t="shared" si="141"/>
        <v>67.072600837322426</v>
      </c>
      <c r="AC362" s="16">
        <f t="shared" si="124"/>
        <v>0.25657838062991173</v>
      </c>
      <c r="AD362" s="16">
        <f t="shared" si="125"/>
        <v>3.0867376197525487E-2</v>
      </c>
      <c r="AE362" s="23" t="str">
        <f t="shared" si="142"/>
        <v/>
      </c>
      <c r="AF362" s="23" t="str">
        <f t="shared" si="126"/>
        <v/>
      </c>
      <c r="AG362" s="23" t="str">
        <f t="shared" si="127"/>
        <v/>
      </c>
      <c r="AH362" s="23" t="str">
        <f t="shared" si="143"/>
        <v/>
      </c>
      <c r="AI362" s="23" t="str">
        <f t="shared" si="128"/>
        <v/>
      </c>
      <c r="AJ362" s="23" t="str">
        <f t="shared" si="129"/>
        <v/>
      </c>
      <c r="AK362" s="23" t="str">
        <f t="shared" si="130"/>
        <v/>
      </c>
      <c r="AL362" s="23" t="str">
        <f t="shared" si="131"/>
        <v/>
      </c>
      <c r="AM362" s="52">
        <f t="shared" si="132"/>
        <v>0</v>
      </c>
      <c r="AN362" s="26">
        <f t="shared" si="133"/>
        <v>276.24641348977343</v>
      </c>
    </row>
    <row r="363" spans="1:40" x14ac:dyDescent="0.2">
      <c r="A363" s="12">
        <v>44917</v>
      </c>
      <c r="B363" s="6">
        <v>22</v>
      </c>
      <c r="C363" s="6">
        <v>356</v>
      </c>
      <c r="D363" s="6">
        <v>5</v>
      </c>
      <c r="E363" s="6" t="s">
        <v>16</v>
      </c>
      <c r="F363" s="6">
        <v>51</v>
      </c>
      <c r="G363" s="6">
        <v>12</v>
      </c>
      <c r="H363" s="6" t="s">
        <v>28</v>
      </c>
      <c r="I363" s="6">
        <v>4</v>
      </c>
      <c r="J363" s="14">
        <v>20.317870927934127</v>
      </c>
      <c r="K363" s="14">
        <v>8.5887738437486796</v>
      </c>
      <c r="L363" s="14">
        <f t="shared" si="134"/>
        <v>174.50559838650236</v>
      </c>
      <c r="M363" s="16">
        <v>0.34541968957984565</v>
      </c>
      <c r="N363" s="14">
        <f t="shared" si="135"/>
        <v>60.277669624610859</v>
      </c>
      <c r="O363" s="14">
        <f t="shared" si="136"/>
        <v>114.22792876189149</v>
      </c>
      <c r="P363" s="14">
        <v>52.821631316728471</v>
      </c>
      <c r="Q363" s="14">
        <v>18.605359009551503</v>
      </c>
      <c r="R363" s="14">
        <f t="shared" si="120"/>
        <v>12.987012987012987</v>
      </c>
      <c r="S363" s="14">
        <v>43.516424346620433</v>
      </c>
      <c r="T363" s="14">
        <f t="shared" si="137"/>
        <v>122.15391887055164</v>
      </c>
      <c r="U363" s="14">
        <f t="shared" si="121"/>
        <v>6.0121416906240759</v>
      </c>
      <c r="V363" s="14">
        <v>42.098055794818372</v>
      </c>
      <c r="W363" s="16">
        <f t="shared" si="138"/>
        <v>8.7858260890796558</v>
      </c>
      <c r="X363" s="16">
        <f t="shared" si="139"/>
        <v>0.48263204901816265</v>
      </c>
      <c r="Y363" s="16">
        <f t="shared" si="140"/>
        <v>0.49345669939977954</v>
      </c>
      <c r="Z363" s="16">
        <f t="shared" si="122"/>
        <v>3.3794730685771777</v>
      </c>
      <c r="AA363" s="16">
        <f t="shared" si="123"/>
        <v>7.4421755560235975E-2</v>
      </c>
      <c r="AB363" s="14">
        <f t="shared" si="141"/>
        <v>6.0121416906240759</v>
      </c>
      <c r="AC363" s="16">
        <f t="shared" si="124"/>
        <v>2.1662415786036062</v>
      </c>
      <c r="AD363" s="16">
        <f t="shared" si="125"/>
        <v>0.3026930471292783</v>
      </c>
      <c r="AE363" s="23" t="str">
        <f t="shared" si="142"/>
        <v/>
      </c>
      <c r="AF363" s="23" t="str">
        <f t="shared" si="126"/>
        <v/>
      </c>
      <c r="AG363" s="23" t="str">
        <f t="shared" si="127"/>
        <v/>
      </c>
      <c r="AH363" s="23" t="str">
        <f t="shared" si="143"/>
        <v/>
      </c>
      <c r="AI363" s="23" t="str">
        <f t="shared" si="128"/>
        <v/>
      </c>
      <c r="AJ363" s="23" t="str">
        <f t="shared" si="129"/>
        <v/>
      </c>
      <c r="AK363" s="23" t="str">
        <f t="shared" si="130"/>
        <v/>
      </c>
      <c r="AL363" s="23" t="str">
        <f t="shared" si="131"/>
        <v/>
      </c>
      <c r="AM363" s="52">
        <f t="shared" si="132"/>
        <v>0</v>
      </c>
      <c r="AN363" s="26">
        <f t="shared" si="133"/>
        <v>114.22792876189149</v>
      </c>
    </row>
    <row r="364" spans="1:40" x14ac:dyDescent="0.2">
      <c r="A364" s="12">
        <v>44918</v>
      </c>
      <c r="B364" s="6">
        <v>23</v>
      </c>
      <c r="C364" s="6">
        <v>357</v>
      </c>
      <c r="D364" s="6">
        <v>6</v>
      </c>
      <c r="E364" s="6" t="s">
        <v>17</v>
      </c>
      <c r="F364" s="6">
        <v>51</v>
      </c>
      <c r="G364" s="6">
        <v>12</v>
      </c>
      <c r="H364" s="6" t="s">
        <v>28</v>
      </c>
      <c r="I364" s="6">
        <v>4</v>
      </c>
      <c r="J364" s="14">
        <v>27.07235547270961</v>
      </c>
      <c r="K364" s="14">
        <v>53.693965275205862</v>
      </c>
      <c r="L364" s="14">
        <f t="shared" si="134"/>
        <v>1453.6221146696992</v>
      </c>
      <c r="M364" s="16">
        <v>0.6252053528206768</v>
      </c>
      <c r="N364" s="14">
        <f t="shared" si="135"/>
        <v>908.81232707000754</v>
      </c>
      <c r="O364" s="14">
        <f t="shared" si="136"/>
        <v>544.80978759969162</v>
      </c>
      <c r="P364" s="14">
        <v>56.2960107968768</v>
      </c>
      <c r="Q364" s="14">
        <v>21.532837066243598</v>
      </c>
      <c r="R364" s="14">
        <f t="shared" si="120"/>
        <v>12.987012987012987</v>
      </c>
      <c r="S364" s="14">
        <v>35.255250644564519</v>
      </c>
      <c r="T364" s="14">
        <f t="shared" si="137"/>
        <v>1017.5354802687893</v>
      </c>
      <c r="U364" s="14">
        <f t="shared" si="121"/>
        <v>37.585775692644098</v>
      </c>
      <c r="V364" s="14">
        <v>42.975650399808423</v>
      </c>
      <c r="W364" s="16">
        <f t="shared" si="138"/>
        <v>1.4978009568629038</v>
      </c>
      <c r="X364" s="16">
        <f t="shared" si="139"/>
        <v>0.62994638174993844</v>
      </c>
      <c r="Y364" s="16">
        <f t="shared" si="140"/>
        <v>0.89315050402953833</v>
      </c>
      <c r="Z364" s="16">
        <f t="shared" si="122"/>
        <v>0.72028194107506294</v>
      </c>
      <c r="AA364" s="16">
        <f t="shared" si="123"/>
        <v>8.9342428516671086E-3</v>
      </c>
      <c r="AB364" s="14">
        <f t="shared" si="141"/>
        <v>37.585775692644098</v>
      </c>
      <c r="AC364" s="16">
        <f t="shared" si="124"/>
        <v>0.40102899750238352</v>
      </c>
      <c r="AD364" s="16">
        <f t="shared" si="125"/>
        <v>3.8728091867031564E-2</v>
      </c>
      <c r="AE364" s="23" t="str">
        <f t="shared" si="142"/>
        <v/>
      </c>
      <c r="AF364" s="23" t="str">
        <f t="shared" si="126"/>
        <v/>
      </c>
      <c r="AG364" s="23" t="str">
        <f t="shared" si="127"/>
        <v/>
      </c>
      <c r="AH364" s="23" t="str">
        <f t="shared" si="143"/>
        <v/>
      </c>
      <c r="AI364" s="23" t="str">
        <f t="shared" si="128"/>
        <v/>
      </c>
      <c r="AJ364" s="23" t="str">
        <f t="shared" si="129"/>
        <v/>
      </c>
      <c r="AK364" s="23" t="str">
        <f t="shared" si="130"/>
        <v/>
      </c>
      <c r="AL364" s="23" t="str">
        <f t="shared" si="131"/>
        <v/>
      </c>
      <c r="AM364" s="52">
        <f t="shared" si="132"/>
        <v>0</v>
      </c>
      <c r="AN364" s="26">
        <f t="shared" si="133"/>
        <v>544.80978759969162</v>
      </c>
    </row>
    <row r="365" spans="1:40" x14ac:dyDescent="0.2">
      <c r="A365" s="12">
        <v>44919</v>
      </c>
      <c r="B365" s="6">
        <v>24</v>
      </c>
      <c r="C365" s="6">
        <v>358</v>
      </c>
      <c r="D365" s="6">
        <v>7</v>
      </c>
      <c r="E365" s="6" t="s">
        <v>10</v>
      </c>
      <c r="F365" s="6">
        <v>51</v>
      </c>
      <c r="G365" s="6">
        <v>12</v>
      </c>
      <c r="H365" s="6" t="s">
        <v>28</v>
      </c>
      <c r="I365" s="6">
        <v>4</v>
      </c>
      <c r="J365" s="14">
        <v>23.923232664044921</v>
      </c>
      <c r="K365" s="14">
        <v>85.222040677679871</v>
      </c>
      <c r="L365" s="14">
        <f t="shared" si="134"/>
        <v>2038.786707236836</v>
      </c>
      <c r="M365" s="16">
        <v>0.54986694539842895</v>
      </c>
      <c r="N365" s="14">
        <f t="shared" si="135"/>
        <v>1121.0614190272402</v>
      </c>
      <c r="O365" s="14">
        <f t="shared" si="136"/>
        <v>917.72528820959587</v>
      </c>
      <c r="P365" s="14">
        <v>42.83419174667992</v>
      </c>
      <c r="Q365" s="14">
        <v>26.15171471134077</v>
      </c>
      <c r="R365" s="14">
        <f t="shared" si="120"/>
        <v>12.987012987012987</v>
      </c>
      <c r="S365" s="14">
        <v>41.956360645334087</v>
      </c>
      <c r="T365" s="14">
        <f t="shared" si="137"/>
        <v>1427.1506950657852</v>
      </c>
      <c r="U365" s="14">
        <f t="shared" si="121"/>
        <v>59.65542847437591</v>
      </c>
      <c r="V365" s="14">
        <v>39.370492261587231</v>
      </c>
      <c r="W365" s="16">
        <f t="shared" si="138"/>
        <v>0.71802672182764893</v>
      </c>
      <c r="X365" s="16">
        <f t="shared" si="139"/>
        <v>0.60764372731468741</v>
      </c>
      <c r="Y365" s="16">
        <f t="shared" si="140"/>
        <v>0.78552420771204146</v>
      </c>
      <c r="Z365" s="16">
        <f t="shared" si="122"/>
        <v>0.40102356610045614</v>
      </c>
      <c r="AA365" s="16">
        <f t="shared" si="123"/>
        <v>6.3699713858809005E-3</v>
      </c>
      <c r="AB365" s="14">
        <f t="shared" si="141"/>
        <v>59.65542847437591</v>
      </c>
      <c r="AC365" s="16">
        <f t="shared" si="124"/>
        <v>0.30686562423739344</v>
      </c>
      <c r="AD365" s="16">
        <f t="shared" si="125"/>
        <v>2.1009648333803893E-2</v>
      </c>
      <c r="AE365" s="23" t="str">
        <f t="shared" si="142"/>
        <v/>
      </c>
      <c r="AF365" s="23" t="str">
        <f t="shared" si="126"/>
        <v/>
      </c>
      <c r="AG365" s="23" t="str">
        <f t="shared" si="127"/>
        <v/>
      </c>
      <c r="AH365" s="23" t="str">
        <f t="shared" si="143"/>
        <v/>
      </c>
      <c r="AI365" s="23" t="str">
        <f t="shared" si="128"/>
        <v/>
      </c>
      <c r="AJ365" s="23" t="str">
        <f t="shared" si="129"/>
        <v/>
      </c>
      <c r="AK365" s="23" t="str">
        <f t="shared" si="130"/>
        <v/>
      </c>
      <c r="AL365" s="23" t="str">
        <f t="shared" si="131"/>
        <v/>
      </c>
      <c r="AM365" s="52">
        <f t="shared" si="132"/>
        <v>0</v>
      </c>
      <c r="AN365" s="26">
        <f t="shared" si="133"/>
        <v>917.72528820959587</v>
      </c>
    </row>
    <row r="366" spans="1:40" x14ac:dyDescent="0.2">
      <c r="A366" s="12">
        <v>44920</v>
      </c>
      <c r="B366" s="6">
        <v>25</v>
      </c>
      <c r="C366" s="6">
        <v>359</v>
      </c>
      <c r="D366" s="6">
        <v>1</v>
      </c>
      <c r="E366" s="6" t="s">
        <v>12</v>
      </c>
      <c r="F366" s="6">
        <v>52</v>
      </c>
      <c r="G366" s="6">
        <v>12</v>
      </c>
      <c r="H366" s="6" t="s">
        <v>28</v>
      </c>
      <c r="I366" s="6">
        <v>4</v>
      </c>
      <c r="J366" s="14">
        <v>1.5888530885347976</v>
      </c>
      <c r="K366" s="14">
        <v>12.699583439974466</v>
      </c>
      <c r="L366" s="14">
        <f t="shared" si="134"/>
        <v>20.177772371708798</v>
      </c>
      <c r="M366" s="16">
        <v>0.29650657664005214</v>
      </c>
      <c r="N366" s="14">
        <f t="shared" si="135"/>
        <v>5.9828422101576013</v>
      </c>
      <c r="O366" s="14">
        <f t="shared" si="136"/>
        <v>14.194930161551197</v>
      </c>
      <c r="P366" s="14">
        <v>15.206224197956232</v>
      </c>
      <c r="Q366" s="14">
        <v>3.7851211217498504</v>
      </c>
      <c r="R366" s="14">
        <f t="shared" si="120"/>
        <v>28.571428571428573</v>
      </c>
      <c r="S366" s="14">
        <v>16.194880842472141</v>
      </c>
      <c r="T366" s="14">
        <f t="shared" si="137"/>
        <v>14.124440660196157</v>
      </c>
      <c r="U366" s="14">
        <f t="shared" si="121"/>
        <v>8.8897084079821251</v>
      </c>
      <c r="V366" s="14">
        <v>15.691890940363386</v>
      </c>
      <c r="W366" s="16">
        <f t="shared" si="138"/>
        <v>1.7105425172666482</v>
      </c>
      <c r="X366" s="16">
        <f t="shared" si="139"/>
        <v>0.10125313096893111</v>
      </c>
      <c r="Y366" s="16">
        <f t="shared" si="140"/>
        <v>0.42358082377150308</v>
      </c>
      <c r="Z366" s="16">
        <f t="shared" si="122"/>
        <v>0.17872949433393748</v>
      </c>
      <c r="AA366" s="16">
        <f t="shared" si="123"/>
        <v>1.4159852755346025</v>
      </c>
      <c r="AB366" s="14">
        <f t="shared" si="141"/>
        <v>8.8897084079821251</v>
      </c>
      <c r="AC366" s="16">
        <f t="shared" si="124"/>
        <v>0.29805080927579314</v>
      </c>
      <c r="AD366" s="16">
        <f t="shared" si="125"/>
        <v>0.75361263462743977</v>
      </c>
      <c r="AE366" s="23" t="str">
        <f t="shared" si="142"/>
        <v/>
      </c>
      <c r="AF366" s="23">
        <f t="shared" si="126"/>
        <v>1000</v>
      </c>
      <c r="AG366" s="23" t="str">
        <f t="shared" si="127"/>
        <v/>
      </c>
      <c r="AH366" s="23" t="str">
        <f t="shared" si="143"/>
        <v/>
      </c>
      <c r="AI366" s="23" t="str">
        <f t="shared" si="128"/>
        <v/>
      </c>
      <c r="AJ366" s="23" t="str">
        <f t="shared" si="129"/>
        <v/>
      </c>
      <c r="AK366" s="23">
        <f t="shared" si="130"/>
        <v>83</v>
      </c>
      <c r="AL366" s="23" t="str">
        <f t="shared" si="131"/>
        <v/>
      </c>
      <c r="AM366" s="52">
        <f t="shared" si="132"/>
        <v>1083</v>
      </c>
      <c r="AN366" s="26">
        <f t="shared" si="133"/>
        <v>-1068.8050698384488</v>
      </c>
    </row>
    <row r="367" spans="1:40" x14ac:dyDescent="0.2">
      <c r="A367" s="12">
        <v>44921</v>
      </c>
      <c r="B367" s="6">
        <v>26</v>
      </c>
      <c r="C367" s="6">
        <v>360</v>
      </c>
      <c r="D367" s="6">
        <v>2</v>
      </c>
      <c r="E367" s="6" t="s">
        <v>13</v>
      </c>
      <c r="F367" s="6">
        <v>52</v>
      </c>
      <c r="G367" s="6">
        <v>12</v>
      </c>
      <c r="H367" s="6" t="s">
        <v>28</v>
      </c>
      <c r="I367" s="6">
        <v>4</v>
      </c>
      <c r="J367" s="14">
        <v>4.6741504365318844</v>
      </c>
      <c r="K367" s="14">
        <v>111.60407812956583</v>
      </c>
      <c r="L367" s="14">
        <f t="shared" si="134"/>
        <v>521.65425050804868</v>
      </c>
      <c r="M367" s="16">
        <v>0.48601575950727183</v>
      </c>
      <c r="N367" s="14">
        <f t="shared" si="135"/>
        <v>253.53218676086593</v>
      </c>
      <c r="O367" s="14">
        <f t="shared" si="136"/>
        <v>268.12206374718278</v>
      </c>
      <c r="P367" s="14">
        <v>44.34054176455512</v>
      </c>
      <c r="Q367" s="14">
        <v>14.151808095797911</v>
      </c>
      <c r="R367" s="14">
        <f t="shared" si="120"/>
        <v>12.987012987012987</v>
      </c>
      <c r="S367" s="14">
        <v>39.521038977079712</v>
      </c>
      <c r="T367" s="14">
        <f t="shared" si="137"/>
        <v>365.15797535563405</v>
      </c>
      <c r="U367" s="14">
        <f t="shared" si="121"/>
        <v>78.122854690696073</v>
      </c>
      <c r="V367" s="14">
        <v>29.957687879436804</v>
      </c>
      <c r="W367" s="16">
        <f t="shared" si="138"/>
        <v>0.56757452015940979</v>
      </c>
      <c r="X367" s="16">
        <f t="shared" si="139"/>
        <v>0.15602507294096812</v>
      </c>
      <c r="Y367" s="16">
        <f t="shared" si="140"/>
        <v>0.69430822786753121</v>
      </c>
      <c r="Z367" s="16">
        <f t="shared" si="122"/>
        <v>5.9830768538064516E-2</v>
      </c>
      <c r="AA367" s="16">
        <f t="shared" si="123"/>
        <v>2.4895825107079442E-2</v>
      </c>
      <c r="AB367" s="14">
        <f t="shared" si="141"/>
        <v>78.122854690696073</v>
      </c>
      <c r="AC367" s="16">
        <f t="shared" si="124"/>
        <v>0.12680368256228491</v>
      </c>
      <c r="AD367" s="16">
        <f t="shared" si="125"/>
        <v>8.4999866715110728E-2</v>
      </c>
      <c r="AE367" s="23" t="str">
        <f t="shared" si="142"/>
        <v/>
      </c>
      <c r="AF367" s="23" t="str">
        <f t="shared" si="126"/>
        <v/>
      </c>
      <c r="AG367" s="23" t="str">
        <f t="shared" si="127"/>
        <v/>
      </c>
      <c r="AH367" s="23" t="str">
        <f t="shared" si="143"/>
        <v/>
      </c>
      <c r="AI367" s="23" t="str">
        <f t="shared" si="128"/>
        <v/>
      </c>
      <c r="AJ367" s="23" t="str">
        <f t="shared" si="129"/>
        <v/>
      </c>
      <c r="AK367" s="23" t="str">
        <f t="shared" si="130"/>
        <v/>
      </c>
      <c r="AL367" s="23" t="str">
        <f t="shared" si="131"/>
        <v/>
      </c>
      <c r="AM367" s="52">
        <f t="shared" si="132"/>
        <v>0</v>
      </c>
      <c r="AN367" s="26">
        <f t="shared" si="133"/>
        <v>268.12206374718278</v>
      </c>
    </row>
    <row r="368" spans="1:40" x14ac:dyDescent="0.2">
      <c r="A368" s="12">
        <v>44922</v>
      </c>
      <c r="B368" s="6">
        <v>27</v>
      </c>
      <c r="C368" s="6">
        <v>361</v>
      </c>
      <c r="D368" s="6">
        <v>3</v>
      </c>
      <c r="E368" s="6" t="s">
        <v>14</v>
      </c>
      <c r="F368" s="6">
        <v>52</v>
      </c>
      <c r="G368" s="6">
        <v>12</v>
      </c>
      <c r="H368" s="6" t="s">
        <v>28</v>
      </c>
      <c r="I368" s="6">
        <v>4</v>
      </c>
      <c r="J368" s="14">
        <v>12.657227295214664</v>
      </c>
      <c r="K368" s="14">
        <v>79.692877380686554</v>
      </c>
      <c r="L368" s="14">
        <f t="shared" si="134"/>
        <v>1008.6908628170212</v>
      </c>
      <c r="M368" s="16">
        <v>0.75585498859483868</v>
      </c>
      <c r="N368" s="14">
        <f t="shared" si="135"/>
        <v>762.42402061027758</v>
      </c>
      <c r="O368" s="14">
        <f t="shared" si="136"/>
        <v>246.2668422067436</v>
      </c>
      <c r="P368" s="14">
        <v>42.809632965915299</v>
      </c>
      <c r="Q368" s="14">
        <v>21.08775782350639</v>
      </c>
      <c r="R368" s="14">
        <f t="shared" si="120"/>
        <v>12.987012987012987</v>
      </c>
      <c r="S368" s="14">
        <v>34.115317544305839</v>
      </c>
      <c r="T368" s="14">
        <f t="shared" si="137"/>
        <v>706.08360397191484</v>
      </c>
      <c r="U368" s="14">
        <f t="shared" si="121"/>
        <v>55.785014166480593</v>
      </c>
      <c r="V368" s="14">
        <v>36.796045488311186</v>
      </c>
      <c r="W368" s="16">
        <f t="shared" si="138"/>
        <v>0.76740381992478224</v>
      </c>
      <c r="X368" s="16">
        <f t="shared" si="139"/>
        <v>0.34398335819090725</v>
      </c>
      <c r="Y368" s="16">
        <f t="shared" si="140"/>
        <v>1.0797928408497697</v>
      </c>
      <c r="Z368" s="16">
        <f t="shared" si="122"/>
        <v>0.22689296550936403</v>
      </c>
      <c r="AA368" s="16">
        <f t="shared" si="123"/>
        <v>1.2875117110452958E-2</v>
      </c>
      <c r="AB368" s="14">
        <f t="shared" si="141"/>
        <v>55.785014166480593</v>
      </c>
      <c r="AC368" s="16">
        <f t="shared" si="124"/>
        <v>0.26461283011243081</v>
      </c>
      <c r="AD368" s="16">
        <f t="shared" si="125"/>
        <v>4.2440785917658368E-2</v>
      </c>
      <c r="AE368" s="23" t="str">
        <f t="shared" si="142"/>
        <v/>
      </c>
      <c r="AF368" s="23" t="str">
        <f t="shared" si="126"/>
        <v/>
      </c>
      <c r="AG368" s="23" t="str">
        <f t="shared" si="127"/>
        <v/>
      </c>
      <c r="AH368" s="23" t="str">
        <f t="shared" si="143"/>
        <v/>
      </c>
      <c r="AI368" s="23" t="str">
        <f t="shared" si="128"/>
        <v/>
      </c>
      <c r="AJ368" s="23" t="str">
        <f t="shared" si="129"/>
        <v/>
      </c>
      <c r="AK368" s="23" t="str">
        <f t="shared" si="130"/>
        <v/>
      </c>
      <c r="AL368" s="23" t="str">
        <f t="shared" si="131"/>
        <v/>
      </c>
      <c r="AM368" s="52">
        <f t="shared" si="132"/>
        <v>0</v>
      </c>
      <c r="AN368" s="26">
        <f t="shared" si="133"/>
        <v>246.2668422067436</v>
      </c>
    </row>
    <row r="369" spans="1:40" x14ac:dyDescent="0.2">
      <c r="A369" s="12">
        <v>44923</v>
      </c>
      <c r="B369" s="6">
        <v>28</v>
      </c>
      <c r="C369" s="6">
        <v>362</v>
      </c>
      <c r="D369" s="6">
        <v>4</v>
      </c>
      <c r="E369" s="6" t="s">
        <v>15</v>
      </c>
      <c r="F369" s="6">
        <v>52</v>
      </c>
      <c r="G369" s="6">
        <v>12</v>
      </c>
      <c r="H369" s="6" t="s">
        <v>28</v>
      </c>
      <c r="I369" s="6">
        <v>4</v>
      </c>
      <c r="J369" s="14">
        <v>17.054586254131944</v>
      </c>
      <c r="K369" s="14">
        <v>45.871309267224653</v>
      </c>
      <c r="L369" s="14">
        <f t="shared" si="134"/>
        <v>782.31620048784487</v>
      </c>
      <c r="M369" s="16">
        <v>0.83468092323098109</v>
      </c>
      <c r="N369" s="14">
        <f t="shared" si="135"/>
        <v>652.98440848174766</v>
      </c>
      <c r="O369" s="14">
        <f t="shared" si="136"/>
        <v>129.3317920060972</v>
      </c>
      <c r="P369" s="14">
        <v>32.750515949208236</v>
      </c>
      <c r="Q369" s="14">
        <v>16.653137944851263</v>
      </c>
      <c r="R369" s="14">
        <f t="shared" si="120"/>
        <v>12.987012987012987</v>
      </c>
      <c r="S369" s="14">
        <v>35.290840549624171</v>
      </c>
      <c r="T369" s="14">
        <f t="shared" si="137"/>
        <v>547.62134034149142</v>
      </c>
      <c r="U369" s="14">
        <f t="shared" si="121"/>
        <v>32.109916487057262</v>
      </c>
      <c r="V369" s="14">
        <v>38.493286719355709</v>
      </c>
      <c r="W369" s="16">
        <f t="shared" si="138"/>
        <v>1.0199502064232768</v>
      </c>
      <c r="X369" s="16">
        <f t="shared" si="139"/>
        <v>0.4430535219939099</v>
      </c>
      <c r="Y369" s="16">
        <f t="shared" si="140"/>
        <v>1.1924013189014016</v>
      </c>
      <c r="Z369" s="16">
        <f t="shared" si="122"/>
        <v>0.53113144224483544</v>
      </c>
      <c r="AA369" s="16">
        <f t="shared" si="123"/>
        <v>1.6600721011420204E-2</v>
      </c>
      <c r="AB369" s="14">
        <f t="shared" si="141"/>
        <v>32.109916487057262</v>
      </c>
      <c r="AC369" s="16">
        <f t="shared" si="124"/>
        <v>0.36304038866294225</v>
      </c>
      <c r="AD369" s="16">
        <f t="shared" si="125"/>
        <v>4.1863527725471271E-2</v>
      </c>
      <c r="AE369" s="23" t="str">
        <f t="shared" si="142"/>
        <v/>
      </c>
      <c r="AF369" s="23" t="str">
        <f t="shared" si="126"/>
        <v/>
      </c>
      <c r="AG369" s="23" t="str">
        <f t="shared" si="127"/>
        <v/>
      </c>
      <c r="AH369" s="23" t="str">
        <f t="shared" si="143"/>
        <v/>
      </c>
      <c r="AI369" s="23" t="str">
        <f t="shared" si="128"/>
        <v/>
      </c>
      <c r="AJ369" s="23" t="str">
        <f t="shared" si="129"/>
        <v/>
      </c>
      <c r="AK369" s="23" t="str">
        <f t="shared" si="130"/>
        <v/>
      </c>
      <c r="AL369" s="23" t="str">
        <f t="shared" si="131"/>
        <v/>
      </c>
      <c r="AM369" s="52">
        <f t="shared" si="132"/>
        <v>0</v>
      </c>
      <c r="AN369" s="26">
        <f t="shared" si="133"/>
        <v>129.3317920060972</v>
      </c>
    </row>
    <row r="370" spans="1:40" x14ac:dyDescent="0.2">
      <c r="A370" s="12">
        <v>44924</v>
      </c>
      <c r="B370" s="6">
        <v>29</v>
      </c>
      <c r="C370" s="6">
        <v>363</v>
      </c>
      <c r="D370" s="6">
        <v>5</v>
      </c>
      <c r="E370" s="6" t="s">
        <v>16</v>
      </c>
      <c r="F370" s="6">
        <v>52</v>
      </c>
      <c r="G370" s="6">
        <v>12</v>
      </c>
      <c r="H370" s="6" t="s">
        <v>28</v>
      </c>
      <c r="I370" s="6">
        <v>4</v>
      </c>
      <c r="J370" s="14">
        <v>20.391536886353411</v>
      </c>
      <c r="K370" s="14">
        <v>56.738477546018132</v>
      </c>
      <c r="L370" s="14">
        <f t="shared" si="134"/>
        <v>1156.9847577551634</v>
      </c>
      <c r="M370" s="16">
        <v>0.51233570220035562</v>
      </c>
      <c r="N370" s="14">
        <f t="shared" si="135"/>
        <v>592.76459829960004</v>
      </c>
      <c r="O370" s="14">
        <f t="shared" si="136"/>
        <v>564.22015945556336</v>
      </c>
      <c r="P370" s="14">
        <v>38.522717319205427</v>
      </c>
      <c r="Q370" s="14">
        <v>17.296552246714448</v>
      </c>
      <c r="R370" s="14">
        <f t="shared" si="120"/>
        <v>12.987012987012987</v>
      </c>
      <c r="S370" s="14">
        <v>40.762154675542</v>
      </c>
      <c r="T370" s="14">
        <f t="shared" si="137"/>
        <v>809.88933042861436</v>
      </c>
      <c r="U370" s="14">
        <f t="shared" si="121"/>
        <v>39.716934282212691</v>
      </c>
      <c r="V370" s="14">
        <v>36.646902012124329</v>
      </c>
      <c r="W370" s="16">
        <f t="shared" si="138"/>
        <v>0.96993179396673379</v>
      </c>
      <c r="X370" s="16">
        <f t="shared" si="139"/>
        <v>0.55643276148164</v>
      </c>
      <c r="Y370" s="16">
        <f t="shared" si="140"/>
        <v>0.73190814600050813</v>
      </c>
      <c r="Z370" s="16">
        <f t="shared" si="122"/>
        <v>0.51342172438233236</v>
      </c>
      <c r="AA370" s="16">
        <f t="shared" si="123"/>
        <v>1.1224878201689541E-2</v>
      </c>
      <c r="AB370" s="14">
        <f t="shared" si="141"/>
        <v>39.716934282212691</v>
      </c>
      <c r="AC370" s="16">
        <f t="shared" si="124"/>
        <v>0.30484695738770856</v>
      </c>
      <c r="AD370" s="16">
        <f t="shared" si="125"/>
        <v>3.3295786362777177E-2</v>
      </c>
      <c r="AE370" s="23" t="str">
        <f t="shared" si="142"/>
        <v/>
      </c>
      <c r="AF370" s="23" t="str">
        <f t="shared" si="126"/>
        <v/>
      </c>
      <c r="AG370" s="23" t="str">
        <f t="shared" si="127"/>
        <v/>
      </c>
      <c r="AH370" s="23" t="str">
        <f t="shared" si="143"/>
        <v/>
      </c>
      <c r="AI370" s="23" t="str">
        <f t="shared" si="128"/>
        <v/>
      </c>
      <c r="AJ370" s="23" t="str">
        <f t="shared" si="129"/>
        <v/>
      </c>
      <c r="AK370" s="23" t="str">
        <f t="shared" si="130"/>
        <v/>
      </c>
      <c r="AL370" s="23" t="str">
        <f t="shared" si="131"/>
        <v/>
      </c>
      <c r="AM370" s="52">
        <f t="shared" si="132"/>
        <v>0</v>
      </c>
      <c r="AN370" s="26">
        <f t="shared" si="133"/>
        <v>564.22015945556336</v>
      </c>
    </row>
    <row r="371" spans="1:40" x14ac:dyDescent="0.2">
      <c r="A371" s="12">
        <v>44925</v>
      </c>
      <c r="B371" s="6">
        <v>30</v>
      </c>
      <c r="C371" s="6">
        <v>364</v>
      </c>
      <c r="D371" s="6">
        <v>6</v>
      </c>
      <c r="E371" s="6" t="s">
        <v>17</v>
      </c>
      <c r="F371" s="6">
        <v>52</v>
      </c>
      <c r="G371" s="6">
        <v>12</v>
      </c>
      <c r="H371" s="6" t="s">
        <v>28</v>
      </c>
      <c r="I371" s="6">
        <v>4</v>
      </c>
      <c r="J371" s="14">
        <v>21.387380544250561</v>
      </c>
      <c r="K371" s="14">
        <v>33.597033370839725</v>
      </c>
      <c r="L371" s="14">
        <f t="shared" si="134"/>
        <v>718.55253786003436</v>
      </c>
      <c r="M371" s="16">
        <v>0.65940319256310997</v>
      </c>
      <c r="N371" s="14">
        <f t="shared" si="135"/>
        <v>473.81583748923163</v>
      </c>
      <c r="O371" s="14">
        <f t="shared" si="136"/>
        <v>244.73670037080274</v>
      </c>
      <c r="P371" s="14">
        <v>47.393265752335758</v>
      </c>
      <c r="Q371" s="14">
        <v>11.196263315479129</v>
      </c>
      <c r="R371" s="14">
        <f t="shared" si="120"/>
        <v>12.987012987012987</v>
      </c>
      <c r="S371" s="14">
        <v>48.075286681356182</v>
      </c>
      <c r="T371" s="14">
        <f t="shared" si="137"/>
        <v>502.98677650202404</v>
      </c>
      <c r="U371" s="14">
        <f t="shared" si="121"/>
        <v>23.517923359587805</v>
      </c>
      <c r="V371" s="14">
        <v>46.81645162159807</v>
      </c>
      <c r="W371" s="16">
        <f t="shared" si="138"/>
        <v>2.0151977293103318</v>
      </c>
      <c r="X371" s="16">
        <f t="shared" si="139"/>
        <v>0.45683471949385873</v>
      </c>
      <c r="Y371" s="16">
        <f t="shared" si="140"/>
        <v>0.94200456080444284</v>
      </c>
      <c r="Z371" s="16">
        <f t="shared" si="122"/>
        <v>0.90940769800286547</v>
      </c>
      <c r="AA371" s="16">
        <f t="shared" si="123"/>
        <v>1.8073853062561592E-2</v>
      </c>
      <c r="AB371" s="14">
        <f t="shared" si="141"/>
        <v>23.517923359587805</v>
      </c>
      <c r="AC371" s="16">
        <f t="shared" si="124"/>
        <v>0.33325154610814051</v>
      </c>
      <c r="AD371" s="16">
        <f t="shared" si="125"/>
        <v>6.5956576944923975E-2</v>
      </c>
      <c r="AE371" s="23" t="str">
        <f t="shared" si="142"/>
        <v/>
      </c>
      <c r="AF371" s="23" t="str">
        <f t="shared" si="126"/>
        <v/>
      </c>
      <c r="AG371" s="23" t="str">
        <f t="shared" si="127"/>
        <v/>
      </c>
      <c r="AH371" s="23" t="str">
        <f t="shared" si="143"/>
        <v/>
      </c>
      <c r="AI371" s="23" t="str">
        <f t="shared" si="128"/>
        <v/>
      </c>
      <c r="AJ371" s="23" t="str">
        <f t="shared" si="129"/>
        <v/>
      </c>
      <c r="AK371" s="23" t="str">
        <f t="shared" si="130"/>
        <v/>
      </c>
      <c r="AL371" s="23" t="str">
        <f t="shared" si="131"/>
        <v/>
      </c>
      <c r="AM371" s="52">
        <f t="shared" si="132"/>
        <v>0</v>
      </c>
      <c r="AN371" s="26">
        <f t="shared" si="133"/>
        <v>244.73670037080274</v>
      </c>
    </row>
    <row r="372" spans="1:40" x14ac:dyDescent="0.2">
      <c r="A372" s="12">
        <v>44926</v>
      </c>
      <c r="B372" s="6">
        <v>31</v>
      </c>
      <c r="C372" s="6">
        <v>365</v>
      </c>
      <c r="D372" s="6">
        <v>7</v>
      </c>
      <c r="E372" s="6" t="s">
        <v>10</v>
      </c>
      <c r="F372" s="6">
        <v>52</v>
      </c>
      <c r="G372" s="6">
        <v>12</v>
      </c>
      <c r="H372" s="6" t="s">
        <v>28</v>
      </c>
      <c r="I372" s="6">
        <v>4</v>
      </c>
      <c r="J372" s="14">
        <v>6.4038069555508628</v>
      </c>
      <c r="K372" s="14">
        <v>55.163928043924201</v>
      </c>
      <c r="L372" s="14">
        <f t="shared" si="134"/>
        <v>353.2591461031891</v>
      </c>
      <c r="M372" s="16">
        <v>0.73075665084783348</v>
      </c>
      <c r="N372" s="14">
        <f t="shared" si="135"/>
        <v>258.14647048773196</v>
      </c>
      <c r="O372" s="14">
        <f t="shared" si="136"/>
        <v>95.112675615457135</v>
      </c>
      <c r="P372" s="14">
        <v>43.641931842011786</v>
      </c>
      <c r="Q372" s="14">
        <v>10.292481360014161</v>
      </c>
      <c r="R372" s="14">
        <f t="shared" si="120"/>
        <v>12.987012987012987</v>
      </c>
      <c r="S372" s="14">
        <v>40.949615880372797</v>
      </c>
      <c r="T372" s="14">
        <f t="shared" si="137"/>
        <v>247.28140227223236</v>
      </c>
      <c r="U372" s="14">
        <f t="shared" si="121"/>
        <v>38.614749630746935</v>
      </c>
      <c r="V372" s="14">
        <v>38.734059230206817</v>
      </c>
      <c r="W372" s="16">
        <f t="shared" si="138"/>
        <v>1.1301881343097449</v>
      </c>
      <c r="X372" s="16">
        <f t="shared" si="139"/>
        <v>0.16532754590711329</v>
      </c>
      <c r="Y372" s="16">
        <f t="shared" si="140"/>
        <v>1.0439380726397622</v>
      </c>
      <c r="Z372" s="16">
        <f t="shared" si="122"/>
        <v>0.1658383653082614</v>
      </c>
      <c r="AA372" s="16">
        <f t="shared" si="123"/>
        <v>3.676341612177085E-2</v>
      </c>
      <c r="AB372" s="14">
        <f t="shared" si="141"/>
        <v>38.614749630746935</v>
      </c>
      <c r="AC372" s="16">
        <f t="shared" si="124"/>
        <v>0.18657992142653052</v>
      </c>
      <c r="AD372" s="16">
        <f t="shared" si="125"/>
        <v>0.12354084055126974</v>
      </c>
      <c r="AE372" s="23" t="str">
        <f t="shared" si="142"/>
        <v/>
      </c>
      <c r="AF372" s="23" t="str">
        <f t="shared" si="126"/>
        <v/>
      </c>
      <c r="AG372" s="23" t="str">
        <f t="shared" si="127"/>
        <v/>
      </c>
      <c r="AH372" s="23" t="str">
        <f t="shared" si="143"/>
        <v/>
      </c>
      <c r="AI372" s="23" t="str">
        <f t="shared" si="128"/>
        <v/>
      </c>
      <c r="AJ372" s="23" t="str">
        <f t="shared" si="129"/>
        <v/>
      </c>
      <c r="AK372" s="23" t="str">
        <f t="shared" si="130"/>
        <v/>
      </c>
      <c r="AL372" s="23" t="str">
        <f t="shared" si="131"/>
        <v/>
      </c>
      <c r="AM372" s="52">
        <f t="shared" si="132"/>
        <v>0</v>
      </c>
      <c r="AN372" s="26">
        <f t="shared" si="133"/>
        <v>95.112675615457135</v>
      </c>
    </row>
    <row r="373" spans="1:40" x14ac:dyDescent="0.2">
      <c r="A373" s="12">
        <v>44927</v>
      </c>
      <c r="B373" s="6">
        <v>1</v>
      </c>
      <c r="C373" s="6">
        <v>366</v>
      </c>
      <c r="D373" s="6">
        <v>1</v>
      </c>
      <c r="E373" s="6" t="s">
        <v>12</v>
      </c>
      <c r="F373" s="6">
        <v>52</v>
      </c>
      <c r="G373" s="6">
        <v>1</v>
      </c>
      <c r="H373" s="6" t="s">
        <v>11</v>
      </c>
      <c r="I373" s="6">
        <v>4</v>
      </c>
      <c r="J373" s="14">
        <v>13.60869710528582</v>
      </c>
      <c r="K373" s="14">
        <v>28.088596900676407</v>
      </c>
      <c r="L373" s="14">
        <f t="shared" si="134"/>
        <v>382.2492073337753</v>
      </c>
      <c r="M373" s="16">
        <v>0.17156509093467959</v>
      </c>
      <c r="N373" s="14">
        <f t="shared" si="135"/>
        <v>65.580620015928346</v>
      </c>
      <c r="O373" s="14">
        <f t="shared" si="136"/>
        <v>316.66858731784697</v>
      </c>
      <c r="P373" s="14">
        <v>28.984361582868587</v>
      </c>
      <c r="Q373" s="14">
        <v>5.6991992770189324</v>
      </c>
      <c r="R373" s="14">
        <f t="shared" si="120"/>
        <v>28.571428571428573</v>
      </c>
      <c r="S373" s="14">
        <v>15.912486630439108</v>
      </c>
      <c r="T373" s="14">
        <f t="shared" si="137"/>
        <v>267.57444513364271</v>
      </c>
      <c r="U373" s="14">
        <f t="shared" si="121"/>
        <v>19.662017830473484</v>
      </c>
      <c r="V373" s="14">
        <v>19.553896898321032</v>
      </c>
      <c r="W373" s="16">
        <f t="shared" si="138"/>
        <v>1.4741295543912447</v>
      </c>
      <c r="X373" s="16">
        <f t="shared" si="139"/>
        <v>0.69595831337610825</v>
      </c>
      <c r="Y373" s="16">
        <f t="shared" si="140"/>
        <v>0.24509298704954224</v>
      </c>
      <c r="Z373" s="16">
        <f t="shared" si="122"/>
        <v>0.69213125644684181</v>
      </c>
      <c r="AA373" s="16">
        <f t="shared" si="123"/>
        <v>7.4745553485164859E-2</v>
      </c>
      <c r="AB373" s="14">
        <f t="shared" si="141"/>
        <v>19.662017830473484</v>
      </c>
      <c r="AC373" s="16">
        <f t="shared" si="124"/>
        <v>0.20290081762260218</v>
      </c>
      <c r="AD373" s="16">
        <f t="shared" si="125"/>
        <v>7.5825825212398154E-2</v>
      </c>
      <c r="AE373" s="23">
        <f t="shared" si="142"/>
        <v>3000</v>
      </c>
      <c r="AF373" s="23">
        <f t="shared" si="126"/>
        <v>1000</v>
      </c>
      <c r="AG373" s="23" t="str">
        <f t="shared" si="127"/>
        <v/>
      </c>
      <c r="AH373" s="23" t="str">
        <f t="shared" si="143"/>
        <v/>
      </c>
      <c r="AI373" s="23" t="str">
        <f t="shared" si="128"/>
        <v/>
      </c>
      <c r="AJ373" s="23" t="str">
        <f t="shared" si="129"/>
        <v/>
      </c>
      <c r="AK373" s="23" t="str">
        <f t="shared" si="130"/>
        <v/>
      </c>
      <c r="AL373" s="23" t="str">
        <f t="shared" si="131"/>
        <v/>
      </c>
      <c r="AM373" s="52">
        <f t="shared" si="132"/>
        <v>4000</v>
      </c>
      <c r="AN373" s="26">
        <f t="shared" si="133"/>
        <v>-3683.3314126821529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B78C-642C-3B4F-8BEB-CD77B6DE679E}">
  <dimension ref="A1:AL367"/>
  <sheetViews>
    <sheetView topLeftCell="A264" workbookViewId="0">
      <selection activeCell="AE1" sqref="AE1"/>
    </sheetView>
  </sheetViews>
  <sheetFormatPr baseColWidth="10" defaultRowHeight="15" x14ac:dyDescent="0.2"/>
  <sheetData>
    <row r="1" spans="1:38" ht="64" x14ac:dyDescent="0.2">
      <c r="A1" s="43" t="s">
        <v>1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43" t="s">
        <v>7</v>
      </c>
      <c r="H1" s="43" t="s">
        <v>8</v>
      </c>
      <c r="I1" s="43" t="s">
        <v>9</v>
      </c>
      <c r="J1" s="9" t="s">
        <v>29</v>
      </c>
      <c r="K1" s="10" t="s">
        <v>30</v>
      </c>
      <c r="L1" s="10" t="s">
        <v>31</v>
      </c>
      <c r="M1" s="9" t="s">
        <v>41</v>
      </c>
      <c r="N1" s="9" t="s">
        <v>42</v>
      </c>
      <c r="O1" s="9" t="s">
        <v>43</v>
      </c>
      <c r="P1" s="44" t="s">
        <v>91</v>
      </c>
      <c r="Q1" s="44" t="s">
        <v>89</v>
      </c>
      <c r="R1" s="44" t="s">
        <v>86</v>
      </c>
      <c r="S1" s="44" t="s">
        <v>84</v>
      </c>
      <c r="T1" s="44" t="s">
        <v>81</v>
      </c>
      <c r="U1" s="44" t="s">
        <v>88</v>
      </c>
      <c r="V1" s="44" t="s">
        <v>80</v>
      </c>
      <c r="W1" s="44" t="s">
        <v>77</v>
      </c>
      <c r="X1" s="44" t="s">
        <v>123</v>
      </c>
      <c r="Y1" s="44" t="s">
        <v>122</v>
      </c>
      <c r="Z1" s="44" t="s">
        <v>121</v>
      </c>
      <c r="AA1" s="22" t="s">
        <v>45</v>
      </c>
      <c r="AB1" s="22" t="s">
        <v>46</v>
      </c>
      <c r="AC1" s="22" t="s">
        <v>47</v>
      </c>
      <c r="AD1" s="22" t="s">
        <v>48</v>
      </c>
      <c r="AE1" s="22" t="s">
        <v>49</v>
      </c>
      <c r="AF1" s="22" t="s">
        <v>52</v>
      </c>
      <c r="AG1" s="22" t="s">
        <v>50</v>
      </c>
      <c r="AH1" s="45" t="s">
        <v>53</v>
      </c>
      <c r="AI1" s="22" t="s">
        <v>51</v>
      </c>
      <c r="AJ1" s="46" t="s">
        <v>54</v>
      </c>
      <c r="AK1" s="22" t="s">
        <v>117</v>
      </c>
      <c r="AL1" s="22" t="s">
        <v>124</v>
      </c>
    </row>
    <row r="2" spans="1:38" x14ac:dyDescent="0.2">
      <c r="A2" s="47">
        <v>44562</v>
      </c>
      <c r="B2" s="48">
        <v>1</v>
      </c>
      <c r="C2" s="48">
        <v>1</v>
      </c>
      <c r="D2" s="48">
        <v>7</v>
      </c>
      <c r="E2" s="48" t="s">
        <v>10</v>
      </c>
      <c r="F2" s="48">
        <v>1</v>
      </c>
      <c r="G2" s="48">
        <v>1</v>
      </c>
      <c r="H2" s="48" t="s">
        <v>11</v>
      </c>
      <c r="I2" s="48">
        <v>1</v>
      </c>
      <c r="J2" s="49">
        <v>18</v>
      </c>
      <c r="K2" s="49">
        <v>63</v>
      </c>
      <c r="L2" s="49">
        <v>1153</v>
      </c>
      <c r="M2" s="50">
        <v>0.39</v>
      </c>
      <c r="N2" s="49">
        <v>448</v>
      </c>
      <c r="O2" s="49">
        <v>705</v>
      </c>
      <c r="P2" s="50">
        <v>0.99</v>
      </c>
      <c r="Q2" s="50">
        <v>0.69</v>
      </c>
      <c r="R2" s="50">
        <v>0.56000000000000005</v>
      </c>
      <c r="S2" s="50">
        <v>0.41</v>
      </c>
      <c r="T2" s="50">
        <v>0.01</v>
      </c>
      <c r="U2" s="49">
        <v>44</v>
      </c>
      <c r="V2" s="50">
        <v>0.11</v>
      </c>
      <c r="W2" s="50">
        <v>0.04</v>
      </c>
      <c r="X2" s="49">
        <f>L2*W2</f>
        <v>46.12</v>
      </c>
      <c r="Y2" s="49">
        <f>S2*L2</f>
        <v>472.72999999999996</v>
      </c>
      <c r="Z2" s="49">
        <f>L2-(X2+Y2)</f>
        <v>634.15000000000009</v>
      </c>
      <c r="AA2" s="23">
        <v>3000</v>
      </c>
      <c r="AB2" s="23" t="s">
        <v>116</v>
      </c>
      <c r="AC2" s="23" t="s">
        <v>116</v>
      </c>
      <c r="AD2" s="23" t="s">
        <v>116</v>
      </c>
      <c r="AE2" s="23" t="s">
        <v>116</v>
      </c>
      <c r="AF2" s="23" t="s">
        <v>116</v>
      </c>
      <c r="AG2" s="23" t="s">
        <v>116</v>
      </c>
      <c r="AH2" s="23" t="s">
        <v>116</v>
      </c>
      <c r="AI2" s="52">
        <v>3000</v>
      </c>
      <c r="AJ2" s="51">
        <v>-2295</v>
      </c>
      <c r="AK2" s="23" t="s">
        <v>118</v>
      </c>
      <c r="AL2" s="14"/>
    </row>
    <row r="3" spans="1:38" x14ac:dyDescent="0.2">
      <c r="A3" s="47">
        <v>44563</v>
      </c>
      <c r="B3" s="48">
        <v>2</v>
      </c>
      <c r="C3" s="48">
        <v>2</v>
      </c>
      <c r="D3" s="48">
        <v>1</v>
      </c>
      <c r="E3" s="48" t="s">
        <v>12</v>
      </c>
      <c r="F3" s="48">
        <v>1</v>
      </c>
      <c r="G3" s="48">
        <v>1</v>
      </c>
      <c r="H3" s="48" t="s">
        <v>11</v>
      </c>
      <c r="I3" s="48">
        <v>1</v>
      </c>
      <c r="J3" s="49">
        <v>6</v>
      </c>
      <c r="K3" s="49">
        <v>37</v>
      </c>
      <c r="L3" s="49">
        <v>209</v>
      </c>
      <c r="M3" s="50">
        <v>0.21</v>
      </c>
      <c r="N3" s="49">
        <v>44</v>
      </c>
      <c r="O3" s="49">
        <v>165</v>
      </c>
      <c r="P3" s="50">
        <v>0.6</v>
      </c>
      <c r="Q3" s="50">
        <v>0.41</v>
      </c>
      <c r="R3" s="50">
        <v>0.3</v>
      </c>
      <c r="S3" s="50">
        <v>0.22</v>
      </c>
      <c r="T3" s="50">
        <v>0.14000000000000001</v>
      </c>
      <c r="U3" s="49">
        <v>26</v>
      </c>
      <c r="V3" s="50">
        <v>0.19</v>
      </c>
      <c r="W3" s="50">
        <v>7.0000000000000007E-2</v>
      </c>
      <c r="X3" s="49">
        <f t="shared" ref="X3:X66" si="0">L3*W3</f>
        <v>14.63</v>
      </c>
      <c r="Y3" s="49">
        <f t="shared" ref="Y3:Y66" si="1">S3*L3</f>
        <v>45.98</v>
      </c>
      <c r="Z3" s="49">
        <f t="shared" ref="Z3:Z66" si="2">L3-(X3+Y3)</f>
        <v>148.38999999999999</v>
      </c>
      <c r="AA3" s="23" t="s">
        <v>116</v>
      </c>
      <c r="AB3" s="23">
        <v>1000</v>
      </c>
      <c r="AC3" s="23" t="s">
        <v>116</v>
      </c>
      <c r="AD3" s="23" t="s">
        <v>116</v>
      </c>
      <c r="AE3" s="23" t="s">
        <v>116</v>
      </c>
      <c r="AF3" s="23" t="s">
        <v>116</v>
      </c>
      <c r="AG3" s="23" t="s">
        <v>116</v>
      </c>
      <c r="AH3" s="23" t="s">
        <v>116</v>
      </c>
      <c r="AI3" s="52">
        <v>1000</v>
      </c>
      <c r="AJ3" s="51">
        <v>-835</v>
      </c>
      <c r="AK3" s="23" t="s">
        <v>119</v>
      </c>
      <c r="AL3" s="14"/>
    </row>
    <row r="4" spans="1:38" x14ac:dyDescent="0.2">
      <c r="A4" s="47">
        <v>44564</v>
      </c>
      <c r="B4" s="48">
        <v>3</v>
      </c>
      <c r="C4" s="48">
        <v>3</v>
      </c>
      <c r="D4" s="48">
        <v>2</v>
      </c>
      <c r="E4" s="48" t="s">
        <v>13</v>
      </c>
      <c r="F4" s="48">
        <v>1</v>
      </c>
      <c r="G4" s="48">
        <v>1</v>
      </c>
      <c r="H4" s="48" t="s">
        <v>11</v>
      </c>
      <c r="I4" s="48">
        <v>1</v>
      </c>
      <c r="J4" s="49">
        <v>11</v>
      </c>
      <c r="K4" s="49">
        <v>9</v>
      </c>
      <c r="L4" s="49">
        <v>98</v>
      </c>
      <c r="M4" s="50">
        <v>0.51</v>
      </c>
      <c r="N4" s="49">
        <v>50</v>
      </c>
      <c r="O4" s="49">
        <v>48</v>
      </c>
      <c r="P4" s="50">
        <v>5.92</v>
      </c>
      <c r="Q4" s="50">
        <v>0.43</v>
      </c>
      <c r="R4" s="50">
        <v>0.73</v>
      </c>
      <c r="S4" s="50">
        <v>1.75</v>
      </c>
      <c r="T4" s="50">
        <v>0.13</v>
      </c>
      <c r="U4" s="49">
        <v>6</v>
      </c>
      <c r="V4" s="50">
        <v>0.86</v>
      </c>
      <c r="W4" s="50">
        <v>0.38</v>
      </c>
      <c r="X4" s="49">
        <f t="shared" si="0"/>
        <v>37.24</v>
      </c>
      <c r="Y4" s="49">
        <f t="shared" si="1"/>
        <v>171.5</v>
      </c>
      <c r="Z4" s="49">
        <f t="shared" si="2"/>
        <v>-110.74000000000001</v>
      </c>
      <c r="AA4" s="23" t="s">
        <v>116</v>
      </c>
      <c r="AB4" s="23" t="s">
        <v>116</v>
      </c>
      <c r="AC4" s="23" t="s">
        <v>116</v>
      </c>
      <c r="AD4" s="23" t="s">
        <v>116</v>
      </c>
      <c r="AE4" s="23" t="s">
        <v>116</v>
      </c>
      <c r="AF4" s="23" t="s">
        <v>116</v>
      </c>
      <c r="AG4" s="23" t="s">
        <v>116</v>
      </c>
      <c r="AH4" s="23" t="s">
        <v>116</v>
      </c>
      <c r="AI4" s="52">
        <v>0</v>
      </c>
      <c r="AJ4" s="51">
        <v>48</v>
      </c>
      <c r="AK4" s="23" t="s">
        <v>120</v>
      </c>
      <c r="AL4" s="14"/>
    </row>
    <row r="5" spans="1:38" x14ac:dyDescent="0.2">
      <c r="A5" s="47">
        <v>44565</v>
      </c>
      <c r="B5" s="48">
        <v>4</v>
      </c>
      <c r="C5" s="48">
        <v>4</v>
      </c>
      <c r="D5" s="48">
        <v>3</v>
      </c>
      <c r="E5" s="48" t="s">
        <v>14</v>
      </c>
      <c r="F5" s="48">
        <v>1</v>
      </c>
      <c r="G5" s="48">
        <v>1</v>
      </c>
      <c r="H5" s="48" t="s">
        <v>11</v>
      </c>
      <c r="I5" s="48">
        <v>1</v>
      </c>
      <c r="J5" s="49">
        <v>12</v>
      </c>
      <c r="K5" s="49">
        <v>27</v>
      </c>
      <c r="L5" s="49">
        <v>332</v>
      </c>
      <c r="M5" s="50">
        <v>0.36</v>
      </c>
      <c r="N5" s="49">
        <v>120</v>
      </c>
      <c r="O5" s="49">
        <v>212</v>
      </c>
      <c r="P5" s="50">
        <v>1.38</v>
      </c>
      <c r="Q5" s="50">
        <v>0.34</v>
      </c>
      <c r="R5" s="50">
        <v>0.52</v>
      </c>
      <c r="S5" s="50">
        <v>0.64</v>
      </c>
      <c r="T5" s="50">
        <v>0.04</v>
      </c>
      <c r="U5" s="49">
        <v>19</v>
      </c>
      <c r="V5" s="50">
        <v>0.22</v>
      </c>
      <c r="W5" s="50">
        <v>0.08</v>
      </c>
      <c r="X5" s="49">
        <f t="shared" si="0"/>
        <v>26.560000000000002</v>
      </c>
      <c r="Y5" s="49">
        <f t="shared" si="1"/>
        <v>212.48000000000002</v>
      </c>
      <c r="Z5" s="49">
        <f t="shared" si="2"/>
        <v>92.95999999999998</v>
      </c>
      <c r="AA5" s="23" t="s">
        <v>116</v>
      </c>
      <c r="AB5" s="23" t="s">
        <v>116</v>
      </c>
      <c r="AC5" s="23" t="s">
        <v>116</v>
      </c>
      <c r="AD5" s="23" t="s">
        <v>116</v>
      </c>
      <c r="AE5" s="23" t="s">
        <v>116</v>
      </c>
      <c r="AF5" s="23" t="s">
        <v>116</v>
      </c>
      <c r="AG5" s="23" t="s">
        <v>116</v>
      </c>
      <c r="AH5" s="23" t="s">
        <v>116</v>
      </c>
      <c r="AI5" s="52">
        <v>0</v>
      </c>
      <c r="AJ5" s="51">
        <v>212</v>
      </c>
    </row>
    <row r="6" spans="1:38" x14ac:dyDescent="0.2">
      <c r="A6" s="47">
        <v>44566</v>
      </c>
      <c r="B6" s="48">
        <v>5</v>
      </c>
      <c r="C6" s="48">
        <v>5</v>
      </c>
      <c r="D6" s="48">
        <v>4</v>
      </c>
      <c r="E6" s="48" t="s">
        <v>15</v>
      </c>
      <c r="F6" s="48">
        <v>1</v>
      </c>
      <c r="G6" s="48">
        <v>1</v>
      </c>
      <c r="H6" s="48" t="s">
        <v>11</v>
      </c>
      <c r="I6" s="48">
        <v>1</v>
      </c>
      <c r="J6" s="49">
        <v>8</v>
      </c>
      <c r="K6" s="49">
        <v>38</v>
      </c>
      <c r="L6" s="49">
        <v>298</v>
      </c>
      <c r="M6" s="50">
        <v>0.35</v>
      </c>
      <c r="N6" s="49">
        <v>103</v>
      </c>
      <c r="O6" s="49">
        <v>195</v>
      </c>
      <c r="P6" s="50">
        <v>1.22</v>
      </c>
      <c r="Q6" s="50">
        <v>0.31</v>
      </c>
      <c r="R6" s="50">
        <v>0.49</v>
      </c>
      <c r="S6" s="50">
        <v>0.28999999999999998</v>
      </c>
      <c r="T6" s="50">
        <v>0.04</v>
      </c>
      <c r="U6" s="49">
        <v>27</v>
      </c>
      <c r="V6" s="50">
        <v>0.04</v>
      </c>
      <c r="W6" s="50">
        <v>0.11</v>
      </c>
      <c r="X6" s="49">
        <f t="shared" si="0"/>
        <v>32.78</v>
      </c>
      <c r="Y6" s="49">
        <f t="shared" si="1"/>
        <v>86.419999999999987</v>
      </c>
      <c r="Z6" s="49">
        <f t="shared" si="2"/>
        <v>178.8</v>
      </c>
      <c r="AA6" s="23" t="s">
        <v>116</v>
      </c>
      <c r="AB6" s="23" t="s">
        <v>116</v>
      </c>
      <c r="AC6" s="23" t="s">
        <v>116</v>
      </c>
      <c r="AD6" s="23" t="s">
        <v>116</v>
      </c>
      <c r="AE6" s="23" t="s">
        <v>116</v>
      </c>
      <c r="AF6" s="23" t="s">
        <v>116</v>
      </c>
      <c r="AG6" s="23" t="s">
        <v>116</v>
      </c>
      <c r="AH6" s="23">
        <v>1000</v>
      </c>
      <c r="AI6" s="52">
        <v>1000</v>
      </c>
      <c r="AJ6" s="51">
        <v>-805</v>
      </c>
    </row>
    <row r="7" spans="1:38" x14ac:dyDescent="0.2">
      <c r="A7" s="47">
        <v>44567</v>
      </c>
      <c r="B7" s="48">
        <v>6</v>
      </c>
      <c r="C7" s="48">
        <v>6</v>
      </c>
      <c r="D7" s="48">
        <v>5</v>
      </c>
      <c r="E7" s="48" t="s">
        <v>16</v>
      </c>
      <c r="F7" s="48">
        <v>1</v>
      </c>
      <c r="G7" s="48">
        <v>1</v>
      </c>
      <c r="H7" s="48" t="s">
        <v>11</v>
      </c>
      <c r="I7" s="48">
        <v>1</v>
      </c>
      <c r="J7" s="49">
        <v>9</v>
      </c>
      <c r="K7" s="49">
        <v>30</v>
      </c>
      <c r="L7" s="49">
        <v>276</v>
      </c>
      <c r="M7" s="50">
        <v>0.41</v>
      </c>
      <c r="N7" s="49">
        <v>112</v>
      </c>
      <c r="O7" s="49">
        <v>164</v>
      </c>
      <c r="P7" s="50">
        <v>1.85</v>
      </c>
      <c r="Q7" s="50">
        <v>0.27</v>
      </c>
      <c r="R7" s="50">
        <v>0.57999999999999996</v>
      </c>
      <c r="S7" s="50">
        <v>0.44</v>
      </c>
      <c r="T7" s="50">
        <v>0.05</v>
      </c>
      <c r="U7" s="49">
        <v>21</v>
      </c>
      <c r="V7" s="50">
        <v>0.3</v>
      </c>
      <c r="W7" s="50">
        <v>0.14000000000000001</v>
      </c>
      <c r="X7" s="49">
        <f t="shared" si="0"/>
        <v>38.64</v>
      </c>
      <c r="Y7" s="49">
        <f t="shared" si="1"/>
        <v>121.44</v>
      </c>
      <c r="Z7" s="49">
        <f t="shared" si="2"/>
        <v>115.92000000000002</v>
      </c>
      <c r="AA7" s="23" t="s">
        <v>116</v>
      </c>
      <c r="AB7" s="23" t="s">
        <v>116</v>
      </c>
      <c r="AC7" s="23" t="s">
        <v>116</v>
      </c>
      <c r="AD7" s="23" t="s">
        <v>116</v>
      </c>
      <c r="AE7" s="23" t="s">
        <v>116</v>
      </c>
      <c r="AF7" s="23" t="s">
        <v>116</v>
      </c>
      <c r="AG7" s="23" t="s">
        <v>116</v>
      </c>
      <c r="AH7" s="23" t="s">
        <v>116</v>
      </c>
      <c r="AI7" s="52">
        <v>0</v>
      </c>
      <c r="AJ7" s="51">
        <v>164</v>
      </c>
    </row>
    <row r="8" spans="1:38" x14ac:dyDescent="0.2">
      <c r="A8" s="47">
        <v>44568</v>
      </c>
      <c r="B8" s="48">
        <v>7</v>
      </c>
      <c r="C8" s="48">
        <v>7</v>
      </c>
      <c r="D8" s="48">
        <v>6</v>
      </c>
      <c r="E8" s="48" t="s">
        <v>17</v>
      </c>
      <c r="F8" s="48">
        <v>1</v>
      </c>
      <c r="G8" s="48">
        <v>1</v>
      </c>
      <c r="H8" s="48" t="s">
        <v>11</v>
      </c>
      <c r="I8" s="48">
        <v>1</v>
      </c>
      <c r="J8" s="49">
        <v>6</v>
      </c>
      <c r="K8" s="49">
        <v>43</v>
      </c>
      <c r="L8" s="49">
        <v>250</v>
      </c>
      <c r="M8" s="50">
        <v>0.39</v>
      </c>
      <c r="N8" s="49">
        <v>98</v>
      </c>
      <c r="O8" s="49">
        <v>151</v>
      </c>
      <c r="P8" s="50">
        <v>0.96</v>
      </c>
      <c r="Q8" s="50">
        <v>0.16</v>
      </c>
      <c r="R8" s="50">
        <v>0.56000000000000005</v>
      </c>
      <c r="S8" s="50">
        <v>0.19</v>
      </c>
      <c r="T8" s="50">
        <v>0.05</v>
      </c>
      <c r="U8" s="49">
        <v>30</v>
      </c>
      <c r="V8" s="50">
        <v>0.16</v>
      </c>
      <c r="W8" s="50">
        <v>0.12</v>
      </c>
      <c r="X8" s="49">
        <f t="shared" si="0"/>
        <v>30</v>
      </c>
      <c r="Y8" s="49">
        <f t="shared" si="1"/>
        <v>47.5</v>
      </c>
      <c r="Z8" s="49">
        <f t="shared" si="2"/>
        <v>172.5</v>
      </c>
      <c r="AA8" s="23" t="s">
        <v>116</v>
      </c>
      <c r="AB8" s="23" t="s">
        <v>116</v>
      </c>
      <c r="AC8" s="23" t="s">
        <v>116</v>
      </c>
      <c r="AD8" s="23" t="s">
        <v>116</v>
      </c>
      <c r="AE8" s="23" t="s">
        <v>116</v>
      </c>
      <c r="AF8" s="23" t="s">
        <v>116</v>
      </c>
      <c r="AG8" s="23" t="s">
        <v>116</v>
      </c>
      <c r="AH8" s="23" t="s">
        <v>116</v>
      </c>
      <c r="AI8" s="52">
        <v>0</v>
      </c>
      <c r="AJ8" s="51">
        <v>151</v>
      </c>
    </row>
    <row r="9" spans="1:38" x14ac:dyDescent="0.2">
      <c r="A9" s="47">
        <v>44569</v>
      </c>
      <c r="B9" s="48">
        <v>8</v>
      </c>
      <c r="C9" s="48">
        <v>8</v>
      </c>
      <c r="D9" s="48">
        <v>7</v>
      </c>
      <c r="E9" s="48" t="s">
        <v>10</v>
      </c>
      <c r="F9" s="48">
        <v>1</v>
      </c>
      <c r="G9" s="48">
        <v>1</v>
      </c>
      <c r="H9" s="48" t="s">
        <v>11</v>
      </c>
      <c r="I9" s="48">
        <v>1</v>
      </c>
      <c r="J9" s="49">
        <v>10</v>
      </c>
      <c r="K9" s="49">
        <v>30</v>
      </c>
      <c r="L9" s="49">
        <v>294</v>
      </c>
      <c r="M9" s="50">
        <v>0.33</v>
      </c>
      <c r="N9" s="49">
        <v>98</v>
      </c>
      <c r="O9" s="49">
        <v>196</v>
      </c>
      <c r="P9" s="50">
        <v>1.1000000000000001</v>
      </c>
      <c r="Q9" s="50">
        <v>0.34</v>
      </c>
      <c r="R9" s="50">
        <v>0.48</v>
      </c>
      <c r="S9" s="50">
        <v>0.46</v>
      </c>
      <c r="T9" s="50">
        <v>0.04</v>
      </c>
      <c r="U9" s="49">
        <v>21</v>
      </c>
      <c r="V9" s="50">
        <v>7.0000000000000007E-2</v>
      </c>
      <c r="W9" s="50">
        <v>0.08</v>
      </c>
      <c r="X9" s="49">
        <f t="shared" si="0"/>
        <v>23.52</v>
      </c>
      <c r="Y9" s="49">
        <f t="shared" si="1"/>
        <v>135.24</v>
      </c>
      <c r="Z9" s="49">
        <f t="shared" si="2"/>
        <v>135.23999999999998</v>
      </c>
      <c r="AA9" s="23" t="s">
        <v>116</v>
      </c>
      <c r="AB9" s="23" t="s">
        <v>116</v>
      </c>
      <c r="AC9" s="23" t="s">
        <v>116</v>
      </c>
      <c r="AD9" s="23" t="s">
        <v>116</v>
      </c>
      <c r="AE9" s="23" t="s">
        <v>116</v>
      </c>
      <c r="AF9" s="23" t="s">
        <v>116</v>
      </c>
      <c r="AG9" s="23" t="s">
        <v>116</v>
      </c>
      <c r="AH9" s="23" t="s">
        <v>116</v>
      </c>
      <c r="AI9" s="52">
        <v>0</v>
      </c>
      <c r="AJ9" s="51">
        <v>196</v>
      </c>
    </row>
    <row r="10" spans="1:38" x14ac:dyDescent="0.2">
      <c r="A10" s="47">
        <v>44570</v>
      </c>
      <c r="B10" s="48">
        <v>9</v>
      </c>
      <c r="C10" s="48">
        <v>9</v>
      </c>
      <c r="D10" s="48">
        <v>1</v>
      </c>
      <c r="E10" s="48" t="s">
        <v>12</v>
      </c>
      <c r="F10" s="48">
        <v>2</v>
      </c>
      <c r="G10" s="48">
        <v>1</v>
      </c>
      <c r="H10" s="48" t="s">
        <v>11</v>
      </c>
      <c r="I10" s="48">
        <v>1</v>
      </c>
      <c r="J10" s="49">
        <v>6</v>
      </c>
      <c r="K10" s="49">
        <v>22</v>
      </c>
      <c r="L10" s="49">
        <v>121</v>
      </c>
      <c r="M10" s="50">
        <v>0.27</v>
      </c>
      <c r="N10" s="49">
        <v>33</v>
      </c>
      <c r="O10" s="49">
        <v>88</v>
      </c>
      <c r="P10" s="50">
        <v>1.1000000000000001</v>
      </c>
      <c r="Q10" s="50">
        <v>0.44</v>
      </c>
      <c r="R10" s="50">
        <v>0.39</v>
      </c>
      <c r="S10" s="50">
        <v>0.37</v>
      </c>
      <c r="T10" s="50">
        <v>0.24</v>
      </c>
      <c r="U10" s="49">
        <v>15</v>
      </c>
      <c r="V10" s="50">
        <v>0.17</v>
      </c>
      <c r="W10" s="50">
        <v>0.14000000000000001</v>
      </c>
      <c r="X10" s="49">
        <f t="shared" si="0"/>
        <v>16.940000000000001</v>
      </c>
      <c r="Y10" s="49">
        <f t="shared" si="1"/>
        <v>44.769999999999996</v>
      </c>
      <c r="Z10" s="49">
        <f t="shared" si="2"/>
        <v>59.290000000000006</v>
      </c>
      <c r="AA10" s="23" t="s">
        <v>116</v>
      </c>
      <c r="AB10" s="23">
        <v>1000</v>
      </c>
      <c r="AC10" s="23" t="s">
        <v>116</v>
      </c>
      <c r="AD10" s="23" t="s">
        <v>116</v>
      </c>
      <c r="AE10" s="23" t="s">
        <v>116</v>
      </c>
      <c r="AF10" s="23" t="s">
        <v>116</v>
      </c>
      <c r="AG10" s="23" t="s">
        <v>116</v>
      </c>
      <c r="AH10" s="23" t="s">
        <v>116</v>
      </c>
      <c r="AI10" s="52">
        <v>1000</v>
      </c>
      <c r="AJ10" s="51">
        <v>-912</v>
      </c>
    </row>
    <row r="11" spans="1:38" x14ac:dyDescent="0.2">
      <c r="A11" s="47">
        <v>44571</v>
      </c>
      <c r="B11" s="48">
        <v>10</v>
      </c>
      <c r="C11" s="48">
        <v>10</v>
      </c>
      <c r="D11" s="48">
        <v>2</v>
      </c>
      <c r="E11" s="48" t="s">
        <v>13</v>
      </c>
      <c r="F11" s="48">
        <v>2</v>
      </c>
      <c r="G11" s="48">
        <v>1</v>
      </c>
      <c r="H11" s="48" t="s">
        <v>11</v>
      </c>
      <c r="I11" s="48">
        <v>1</v>
      </c>
      <c r="J11" s="49">
        <v>9</v>
      </c>
      <c r="K11" s="49">
        <v>50</v>
      </c>
      <c r="L11" s="49">
        <v>440</v>
      </c>
      <c r="M11" s="50">
        <v>0.3</v>
      </c>
      <c r="N11" s="49">
        <v>131</v>
      </c>
      <c r="O11" s="49">
        <v>309</v>
      </c>
      <c r="P11" s="50">
        <v>1.06</v>
      </c>
      <c r="Q11" s="50">
        <v>0.26</v>
      </c>
      <c r="R11" s="50">
        <v>0.42</v>
      </c>
      <c r="S11" s="50">
        <v>0.25</v>
      </c>
      <c r="T11" s="50">
        <v>0.03</v>
      </c>
      <c r="U11" s="49">
        <v>35</v>
      </c>
      <c r="V11" s="50">
        <v>0.15</v>
      </c>
      <c r="W11" s="50">
        <v>0.08</v>
      </c>
      <c r="X11" s="49">
        <f t="shared" si="0"/>
        <v>35.200000000000003</v>
      </c>
      <c r="Y11" s="49">
        <f t="shared" si="1"/>
        <v>110</v>
      </c>
      <c r="Z11" s="49">
        <f t="shared" si="2"/>
        <v>294.8</v>
      </c>
      <c r="AA11" s="23" t="s">
        <v>116</v>
      </c>
      <c r="AB11" s="23" t="s">
        <v>116</v>
      </c>
      <c r="AC11" s="23" t="s">
        <v>116</v>
      </c>
      <c r="AD11" s="23">
        <v>300</v>
      </c>
      <c r="AE11" s="23" t="s">
        <v>116</v>
      </c>
      <c r="AF11" s="23" t="s">
        <v>116</v>
      </c>
      <c r="AG11" s="23" t="s">
        <v>116</v>
      </c>
      <c r="AH11" s="23" t="s">
        <v>116</v>
      </c>
      <c r="AI11" s="52">
        <v>300</v>
      </c>
      <c r="AJ11" s="51">
        <v>9</v>
      </c>
    </row>
    <row r="12" spans="1:38" x14ac:dyDescent="0.2">
      <c r="A12" s="47">
        <v>44572</v>
      </c>
      <c r="B12" s="48">
        <v>11</v>
      </c>
      <c r="C12" s="48">
        <v>11</v>
      </c>
      <c r="D12" s="48">
        <v>3</v>
      </c>
      <c r="E12" s="48" t="s">
        <v>14</v>
      </c>
      <c r="F12" s="48">
        <v>2</v>
      </c>
      <c r="G12" s="48">
        <v>1</v>
      </c>
      <c r="H12" s="48" t="s">
        <v>11</v>
      </c>
      <c r="I12" s="48">
        <v>1</v>
      </c>
      <c r="J12" s="49">
        <v>18</v>
      </c>
      <c r="K12" s="49">
        <v>43</v>
      </c>
      <c r="L12" s="49">
        <v>781</v>
      </c>
      <c r="M12" s="50">
        <v>0.52</v>
      </c>
      <c r="N12" s="49">
        <v>408</v>
      </c>
      <c r="O12" s="49">
        <v>373</v>
      </c>
      <c r="P12" s="50">
        <v>1.55</v>
      </c>
      <c r="Q12" s="50">
        <v>0.59</v>
      </c>
      <c r="R12" s="50">
        <v>0.75</v>
      </c>
      <c r="S12" s="50">
        <v>0.6</v>
      </c>
      <c r="T12" s="50">
        <v>0.02</v>
      </c>
      <c r="U12" s="49">
        <v>30</v>
      </c>
      <c r="V12" s="50">
        <v>0.22</v>
      </c>
      <c r="W12" s="50">
        <v>0.06</v>
      </c>
      <c r="X12" s="49">
        <f t="shared" si="0"/>
        <v>46.86</v>
      </c>
      <c r="Y12" s="49">
        <f t="shared" si="1"/>
        <v>468.59999999999997</v>
      </c>
      <c r="Z12" s="49">
        <f t="shared" si="2"/>
        <v>265.54000000000008</v>
      </c>
      <c r="AA12" s="23" t="s">
        <v>116</v>
      </c>
      <c r="AB12" s="23" t="s">
        <v>116</v>
      </c>
      <c r="AC12" s="23" t="s">
        <v>116</v>
      </c>
      <c r="AD12" s="23" t="s">
        <v>116</v>
      </c>
      <c r="AE12" s="23" t="s">
        <v>116</v>
      </c>
      <c r="AF12" s="23" t="s">
        <v>116</v>
      </c>
      <c r="AG12" s="23" t="s">
        <v>116</v>
      </c>
      <c r="AH12" s="23" t="s">
        <v>116</v>
      </c>
      <c r="AI12" s="52">
        <v>0</v>
      </c>
      <c r="AJ12" s="51">
        <v>373</v>
      </c>
    </row>
    <row r="13" spans="1:38" x14ac:dyDescent="0.2">
      <c r="A13" s="47">
        <v>44573</v>
      </c>
      <c r="B13" s="48">
        <v>12</v>
      </c>
      <c r="C13" s="48">
        <v>12</v>
      </c>
      <c r="D13" s="48">
        <v>4</v>
      </c>
      <c r="E13" s="48" t="s">
        <v>15</v>
      </c>
      <c r="F13" s="48">
        <v>2</v>
      </c>
      <c r="G13" s="48">
        <v>1</v>
      </c>
      <c r="H13" s="48" t="s">
        <v>11</v>
      </c>
      <c r="I13" s="48">
        <v>1</v>
      </c>
      <c r="J13" s="49">
        <v>3</v>
      </c>
      <c r="K13" s="49">
        <v>23</v>
      </c>
      <c r="L13" s="49">
        <v>61</v>
      </c>
      <c r="M13" s="50">
        <v>0.52</v>
      </c>
      <c r="N13" s="49">
        <v>32</v>
      </c>
      <c r="O13" s="49">
        <v>29</v>
      </c>
      <c r="P13" s="50">
        <v>1.86</v>
      </c>
      <c r="Q13" s="50">
        <v>0.1</v>
      </c>
      <c r="R13" s="50">
        <v>0.75</v>
      </c>
      <c r="S13" s="50">
        <v>0.16</v>
      </c>
      <c r="T13" s="50">
        <v>0.21</v>
      </c>
      <c r="U13" s="49">
        <v>16</v>
      </c>
      <c r="V13" s="50">
        <v>0.17</v>
      </c>
      <c r="W13" s="50">
        <v>0.49</v>
      </c>
      <c r="X13" s="49">
        <f t="shared" si="0"/>
        <v>29.89</v>
      </c>
      <c r="Y13" s="49">
        <f t="shared" si="1"/>
        <v>9.76</v>
      </c>
      <c r="Z13" s="49">
        <f t="shared" si="2"/>
        <v>21.35</v>
      </c>
      <c r="AA13" s="23" t="s">
        <v>116</v>
      </c>
      <c r="AB13" s="23" t="s">
        <v>116</v>
      </c>
      <c r="AC13" s="23" t="s">
        <v>116</v>
      </c>
      <c r="AD13" s="23" t="s">
        <v>116</v>
      </c>
      <c r="AE13" s="23" t="s">
        <v>116</v>
      </c>
      <c r="AF13" s="23">
        <v>480</v>
      </c>
      <c r="AG13" s="23" t="s">
        <v>116</v>
      </c>
      <c r="AH13" s="23" t="s">
        <v>116</v>
      </c>
      <c r="AI13" s="52">
        <v>480</v>
      </c>
      <c r="AJ13" s="51">
        <v>-451</v>
      </c>
    </row>
    <row r="14" spans="1:38" x14ac:dyDescent="0.2">
      <c r="A14" s="47">
        <v>44574</v>
      </c>
      <c r="B14" s="48">
        <v>13</v>
      </c>
      <c r="C14" s="48">
        <v>13</v>
      </c>
      <c r="D14" s="48">
        <v>5</v>
      </c>
      <c r="E14" s="48" t="s">
        <v>16</v>
      </c>
      <c r="F14" s="48">
        <v>2</v>
      </c>
      <c r="G14" s="48">
        <v>1</v>
      </c>
      <c r="H14" s="48" t="s">
        <v>11</v>
      </c>
      <c r="I14" s="48">
        <v>1</v>
      </c>
      <c r="J14" s="49">
        <v>14</v>
      </c>
      <c r="K14" s="49">
        <v>53</v>
      </c>
      <c r="L14" s="49">
        <v>724</v>
      </c>
      <c r="M14" s="50">
        <v>0.46</v>
      </c>
      <c r="N14" s="49">
        <v>332</v>
      </c>
      <c r="O14" s="49">
        <v>392</v>
      </c>
      <c r="P14" s="50">
        <v>0.81</v>
      </c>
      <c r="Q14" s="50">
        <v>0.51</v>
      </c>
      <c r="R14" s="50">
        <v>0.65</v>
      </c>
      <c r="S14" s="50">
        <v>0.37</v>
      </c>
      <c r="T14" s="50">
        <v>0.02</v>
      </c>
      <c r="U14" s="49">
        <v>37</v>
      </c>
      <c r="V14" s="50">
        <v>0.19</v>
      </c>
      <c r="W14" s="50">
        <v>0.04</v>
      </c>
      <c r="X14" s="49">
        <f t="shared" si="0"/>
        <v>28.96</v>
      </c>
      <c r="Y14" s="49">
        <f t="shared" si="1"/>
        <v>267.88</v>
      </c>
      <c r="Z14" s="49">
        <f t="shared" si="2"/>
        <v>427.16</v>
      </c>
      <c r="AA14" s="23" t="s">
        <v>116</v>
      </c>
      <c r="AB14" s="23" t="s">
        <v>116</v>
      </c>
      <c r="AC14" s="23" t="s">
        <v>116</v>
      </c>
      <c r="AD14" s="23" t="s">
        <v>116</v>
      </c>
      <c r="AE14" s="23" t="s">
        <v>116</v>
      </c>
      <c r="AF14" s="23" t="s">
        <v>116</v>
      </c>
      <c r="AG14" s="23" t="s">
        <v>116</v>
      </c>
      <c r="AH14" s="23" t="s">
        <v>116</v>
      </c>
      <c r="AI14" s="52">
        <v>0</v>
      </c>
      <c r="AJ14" s="51">
        <v>392</v>
      </c>
    </row>
    <row r="15" spans="1:38" x14ac:dyDescent="0.2">
      <c r="A15" s="47">
        <v>44575</v>
      </c>
      <c r="B15" s="48">
        <v>14</v>
      </c>
      <c r="C15" s="48">
        <v>14</v>
      </c>
      <c r="D15" s="48">
        <v>6</v>
      </c>
      <c r="E15" s="48" t="s">
        <v>17</v>
      </c>
      <c r="F15" s="48">
        <v>2</v>
      </c>
      <c r="G15" s="48">
        <v>1</v>
      </c>
      <c r="H15" s="48" t="s">
        <v>11</v>
      </c>
      <c r="I15" s="48">
        <v>1</v>
      </c>
      <c r="J15" s="49">
        <v>11</v>
      </c>
      <c r="K15" s="49">
        <v>38</v>
      </c>
      <c r="L15" s="49">
        <v>427</v>
      </c>
      <c r="M15" s="50">
        <v>0.52</v>
      </c>
      <c r="N15" s="49">
        <v>221</v>
      </c>
      <c r="O15" s="49">
        <v>206</v>
      </c>
      <c r="P15" s="50">
        <v>1.75</v>
      </c>
      <c r="Q15" s="50">
        <v>0.43</v>
      </c>
      <c r="R15" s="50">
        <v>0.74</v>
      </c>
      <c r="S15" s="50">
        <v>0.42</v>
      </c>
      <c r="T15" s="50">
        <v>0.03</v>
      </c>
      <c r="U15" s="49">
        <v>27</v>
      </c>
      <c r="V15" s="50">
        <v>0.36</v>
      </c>
      <c r="W15" s="50">
        <v>0.11</v>
      </c>
      <c r="X15" s="49">
        <f t="shared" si="0"/>
        <v>46.97</v>
      </c>
      <c r="Y15" s="49">
        <f t="shared" si="1"/>
        <v>179.34</v>
      </c>
      <c r="Z15" s="49">
        <f t="shared" si="2"/>
        <v>200.69</v>
      </c>
      <c r="AA15" s="23" t="s">
        <v>116</v>
      </c>
      <c r="AB15" s="23" t="s">
        <v>116</v>
      </c>
      <c r="AC15" s="23" t="s">
        <v>116</v>
      </c>
      <c r="AD15" s="23" t="s">
        <v>116</v>
      </c>
      <c r="AE15" s="23" t="s">
        <v>116</v>
      </c>
      <c r="AF15" s="23" t="s">
        <v>116</v>
      </c>
      <c r="AG15" s="23" t="s">
        <v>116</v>
      </c>
      <c r="AH15" s="23" t="s">
        <v>116</v>
      </c>
      <c r="AI15" s="52">
        <v>0</v>
      </c>
      <c r="AJ15" s="51">
        <v>206</v>
      </c>
    </row>
    <row r="16" spans="1:38" x14ac:dyDescent="0.2">
      <c r="A16" s="47">
        <v>44576</v>
      </c>
      <c r="B16" s="48">
        <v>15</v>
      </c>
      <c r="C16" s="48">
        <v>15</v>
      </c>
      <c r="D16" s="48">
        <v>7</v>
      </c>
      <c r="E16" s="48" t="s">
        <v>10</v>
      </c>
      <c r="F16" s="48">
        <v>2</v>
      </c>
      <c r="G16" s="48">
        <v>1</v>
      </c>
      <c r="H16" s="48" t="s">
        <v>11</v>
      </c>
      <c r="I16" s="48">
        <v>1</v>
      </c>
      <c r="J16" s="49">
        <v>13</v>
      </c>
      <c r="K16" s="49">
        <v>50</v>
      </c>
      <c r="L16" s="49">
        <v>643</v>
      </c>
      <c r="M16" s="50">
        <v>0.32</v>
      </c>
      <c r="N16" s="49">
        <v>204</v>
      </c>
      <c r="O16" s="49">
        <v>439</v>
      </c>
      <c r="P16" s="50">
        <v>0.92</v>
      </c>
      <c r="Q16" s="50">
        <v>0.57999999999999996</v>
      </c>
      <c r="R16" s="50">
        <v>0.45</v>
      </c>
      <c r="S16" s="50">
        <v>0.36</v>
      </c>
      <c r="T16" s="50">
        <v>0.02</v>
      </c>
      <c r="U16" s="49">
        <v>35</v>
      </c>
      <c r="V16" s="50">
        <v>0.25</v>
      </c>
      <c r="W16" s="50">
        <v>0.05</v>
      </c>
      <c r="X16" s="49">
        <f t="shared" si="0"/>
        <v>32.15</v>
      </c>
      <c r="Y16" s="49">
        <f t="shared" si="1"/>
        <v>231.48</v>
      </c>
      <c r="Z16" s="49">
        <f t="shared" si="2"/>
        <v>379.37</v>
      </c>
      <c r="AA16" s="23" t="s">
        <v>116</v>
      </c>
      <c r="AB16" s="23" t="s">
        <v>116</v>
      </c>
      <c r="AC16" s="23">
        <v>300</v>
      </c>
      <c r="AD16" s="23" t="s">
        <v>116</v>
      </c>
      <c r="AE16" s="23" t="s">
        <v>116</v>
      </c>
      <c r="AF16" s="23" t="s">
        <v>116</v>
      </c>
      <c r="AG16" s="23" t="s">
        <v>116</v>
      </c>
      <c r="AH16" s="23" t="s">
        <v>116</v>
      </c>
      <c r="AI16" s="52">
        <v>300</v>
      </c>
      <c r="AJ16" s="51">
        <v>139</v>
      </c>
    </row>
    <row r="17" spans="1:36" x14ac:dyDescent="0.2">
      <c r="A17" s="47">
        <v>44577</v>
      </c>
      <c r="B17" s="48">
        <v>16</v>
      </c>
      <c r="C17" s="48">
        <v>16</v>
      </c>
      <c r="D17" s="48">
        <v>1</v>
      </c>
      <c r="E17" s="48" t="s">
        <v>12</v>
      </c>
      <c r="F17" s="48">
        <v>3</v>
      </c>
      <c r="G17" s="48">
        <v>1</v>
      </c>
      <c r="H17" s="48" t="s">
        <v>11</v>
      </c>
      <c r="I17" s="48">
        <v>1</v>
      </c>
      <c r="J17" s="49">
        <v>4</v>
      </c>
      <c r="K17" s="49">
        <v>7</v>
      </c>
      <c r="L17" s="49">
        <v>28</v>
      </c>
      <c r="M17" s="50">
        <v>0.12</v>
      </c>
      <c r="N17" s="49">
        <v>3</v>
      </c>
      <c r="O17" s="49">
        <v>24</v>
      </c>
      <c r="P17" s="50">
        <v>4.54</v>
      </c>
      <c r="Q17" s="50">
        <v>0.23</v>
      </c>
      <c r="R17" s="50">
        <v>0.18</v>
      </c>
      <c r="S17" s="50">
        <v>0.9</v>
      </c>
      <c r="T17" s="50">
        <v>1.03</v>
      </c>
      <c r="U17" s="49">
        <v>5</v>
      </c>
      <c r="V17" s="50">
        <v>0.46</v>
      </c>
      <c r="W17" s="50">
        <v>0.76</v>
      </c>
      <c r="X17" s="49">
        <f t="shared" si="0"/>
        <v>21.28</v>
      </c>
      <c r="Y17" s="49">
        <f t="shared" si="1"/>
        <v>25.2</v>
      </c>
      <c r="Z17" s="49">
        <f t="shared" si="2"/>
        <v>-18.480000000000004</v>
      </c>
      <c r="AA17" s="23" t="s">
        <v>116</v>
      </c>
      <c r="AB17" s="23">
        <v>1000</v>
      </c>
      <c r="AC17" s="23" t="s">
        <v>116</v>
      </c>
      <c r="AD17" s="23" t="s">
        <v>116</v>
      </c>
      <c r="AE17" s="23" t="s">
        <v>116</v>
      </c>
      <c r="AF17" s="23" t="s">
        <v>116</v>
      </c>
      <c r="AG17" s="23" t="s">
        <v>116</v>
      </c>
      <c r="AH17" s="23" t="s">
        <v>116</v>
      </c>
      <c r="AI17" s="52">
        <v>1000</v>
      </c>
      <c r="AJ17" s="51">
        <v>-976</v>
      </c>
    </row>
    <row r="18" spans="1:36" x14ac:dyDescent="0.2">
      <c r="A18" s="47">
        <v>44578</v>
      </c>
      <c r="B18" s="48">
        <v>17</v>
      </c>
      <c r="C18" s="48">
        <v>17</v>
      </c>
      <c r="D18" s="48">
        <v>2</v>
      </c>
      <c r="E18" s="48" t="s">
        <v>13</v>
      </c>
      <c r="F18" s="48">
        <v>3</v>
      </c>
      <c r="G18" s="48">
        <v>1</v>
      </c>
      <c r="H18" s="48" t="s">
        <v>11</v>
      </c>
      <c r="I18" s="48">
        <v>1</v>
      </c>
      <c r="J18" s="49">
        <v>9</v>
      </c>
      <c r="K18" s="49">
        <v>19</v>
      </c>
      <c r="L18" s="49">
        <v>170</v>
      </c>
      <c r="M18" s="50">
        <v>0.36</v>
      </c>
      <c r="N18" s="49">
        <v>62</v>
      </c>
      <c r="O18" s="49">
        <v>108</v>
      </c>
      <c r="P18" s="50">
        <v>3.02</v>
      </c>
      <c r="Q18" s="50">
        <v>0.25</v>
      </c>
      <c r="R18" s="50">
        <v>0.52</v>
      </c>
      <c r="S18" s="50">
        <v>0.67</v>
      </c>
      <c r="T18" s="50">
        <v>0.08</v>
      </c>
      <c r="U18" s="49">
        <v>13</v>
      </c>
      <c r="V18" s="50">
        <v>0.35</v>
      </c>
      <c r="W18" s="50">
        <v>0.24</v>
      </c>
      <c r="X18" s="49">
        <f t="shared" si="0"/>
        <v>40.799999999999997</v>
      </c>
      <c r="Y18" s="49">
        <f t="shared" si="1"/>
        <v>113.9</v>
      </c>
      <c r="Z18" s="49">
        <f t="shared" si="2"/>
        <v>15.300000000000011</v>
      </c>
      <c r="AA18" s="23" t="s">
        <v>116</v>
      </c>
      <c r="AB18" s="23" t="s">
        <v>116</v>
      </c>
      <c r="AC18" s="23" t="s">
        <v>116</v>
      </c>
      <c r="AD18" s="23" t="s">
        <v>116</v>
      </c>
      <c r="AE18" s="23" t="s">
        <v>116</v>
      </c>
      <c r="AF18" s="23" t="s">
        <v>116</v>
      </c>
      <c r="AG18" s="23" t="s">
        <v>116</v>
      </c>
      <c r="AH18" s="23" t="s">
        <v>116</v>
      </c>
      <c r="AI18" s="52">
        <v>0</v>
      </c>
      <c r="AJ18" s="51">
        <v>108</v>
      </c>
    </row>
    <row r="19" spans="1:36" x14ac:dyDescent="0.2">
      <c r="A19" s="47">
        <v>44579</v>
      </c>
      <c r="B19" s="48">
        <v>18</v>
      </c>
      <c r="C19" s="48">
        <v>18</v>
      </c>
      <c r="D19" s="48">
        <v>3</v>
      </c>
      <c r="E19" s="48" t="s">
        <v>14</v>
      </c>
      <c r="F19" s="48">
        <v>3</v>
      </c>
      <c r="G19" s="48">
        <v>1</v>
      </c>
      <c r="H19" s="48" t="s">
        <v>11</v>
      </c>
      <c r="I19" s="48">
        <v>1</v>
      </c>
      <c r="J19" s="49">
        <v>11</v>
      </c>
      <c r="K19" s="49">
        <v>41</v>
      </c>
      <c r="L19" s="49">
        <v>452</v>
      </c>
      <c r="M19" s="50">
        <v>0.37</v>
      </c>
      <c r="N19" s="49">
        <v>169</v>
      </c>
      <c r="O19" s="49">
        <v>284</v>
      </c>
      <c r="P19" s="50">
        <v>0.38</v>
      </c>
      <c r="Q19" s="50">
        <v>0.36</v>
      </c>
      <c r="R19" s="50">
        <v>0.53</v>
      </c>
      <c r="S19" s="50">
        <v>0.38</v>
      </c>
      <c r="T19" s="50">
        <v>0.03</v>
      </c>
      <c r="U19" s="49">
        <v>29</v>
      </c>
      <c r="V19" s="50">
        <v>0.2</v>
      </c>
      <c r="W19" s="50">
        <v>0.02</v>
      </c>
      <c r="X19" s="49">
        <f t="shared" si="0"/>
        <v>9.0400000000000009</v>
      </c>
      <c r="Y19" s="49">
        <f t="shared" si="1"/>
        <v>171.76</v>
      </c>
      <c r="Z19" s="49">
        <f t="shared" si="2"/>
        <v>271.20000000000005</v>
      </c>
      <c r="AA19" s="23" t="s">
        <v>116</v>
      </c>
      <c r="AB19" s="23" t="s">
        <v>116</v>
      </c>
      <c r="AC19" s="23" t="s">
        <v>116</v>
      </c>
      <c r="AD19" s="23" t="s">
        <v>116</v>
      </c>
      <c r="AE19" s="23" t="s">
        <v>116</v>
      </c>
      <c r="AF19" s="23" t="s">
        <v>116</v>
      </c>
      <c r="AG19" s="23" t="s">
        <v>116</v>
      </c>
      <c r="AH19" s="23" t="s">
        <v>116</v>
      </c>
      <c r="AI19" s="52">
        <v>0</v>
      </c>
      <c r="AJ19" s="51">
        <v>284</v>
      </c>
    </row>
    <row r="20" spans="1:36" x14ac:dyDescent="0.2">
      <c r="A20" s="47">
        <v>44580</v>
      </c>
      <c r="B20" s="48">
        <v>19</v>
      </c>
      <c r="C20" s="48">
        <v>19</v>
      </c>
      <c r="D20" s="48">
        <v>4</v>
      </c>
      <c r="E20" s="48" t="s">
        <v>15</v>
      </c>
      <c r="F20" s="48">
        <v>3</v>
      </c>
      <c r="G20" s="48">
        <v>1</v>
      </c>
      <c r="H20" s="48" t="s">
        <v>11</v>
      </c>
      <c r="I20" s="48">
        <v>1</v>
      </c>
      <c r="J20" s="49">
        <v>8</v>
      </c>
      <c r="K20" s="49">
        <v>28</v>
      </c>
      <c r="L20" s="49">
        <v>232</v>
      </c>
      <c r="M20" s="50">
        <v>0.27</v>
      </c>
      <c r="N20" s="49">
        <v>62</v>
      </c>
      <c r="O20" s="49">
        <v>170</v>
      </c>
      <c r="P20" s="50">
        <v>2.12</v>
      </c>
      <c r="Q20" s="50">
        <v>0.31</v>
      </c>
      <c r="R20" s="50">
        <v>0.38</v>
      </c>
      <c r="S20" s="50">
        <v>0.42</v>
      </c>
      <c r="T20" s="50">
        <v>0.06</v>
      </c>
      <c r="U20" s="49">
        <v>20</v>
      </c>
      <c r="V20" s="50">
        <v>0.23</v>
      </c>
      <c r="W20" s="50">
        <v>0.18</v>
      </c>
      <c r="X20" s="49">
        <f t="shared" si="0"/>
        <v>41.76</v>
      </c>
      <c r="Y20" s="49">
        <f t="shared" si="1"/>
        <v>97.44</v>
      </c>
      <c r="Z20" s="49">
        <f t="shared" si="2"/>
        <v>92.800000000000011</v>
      </c>
      <c r="AA20" s="23" t="s">
        <v>116</v>
      </c>
      <c r="AB20" s="23" t="s">
        <v>116</v>
      </c>
      <c r="AC20" s="23" t="s">
        <v>116</v>
      </c>
      <c r="AD20" s="23" t="s">
        <v>116</v>
      </c>
      <c r="AE20" s="23" t="s">
        <v>116</v>
      </c>
      <c r="AF20" s="23" t="s">
        <v>116</v>
      </c>
      <c r="AG20" s="23" t="s">
        <v>116</v>
      </c>
      <c r="AH20" s="23" t="s">
        <v>116</v>
      </c>
      <c r="AI20" s="52">
        <v>0</v>
      </c>
      <c r="AJ20" s="51">
        <v>170</v>
      </c>
    </row>
    <row r="21" spans="1:36" x14ac:dyDescent="0.2">
      <c r="A21" s="47">
        <v>44581</v>
      </c>
      <c r="B21" s="48">
        <v>20</v>
      </c>
      <c r="C21" s="48">
        <v>20</v>
      </c>
      <c r="D21" s="48">
        <v>5</v>
      </c>
      <c r="E21" s="48" t="s">
        <v>16</v>
      </c>
      <c r="F21" s="48">
        <v>3</v>
      </c>
      <c r="G21" s="48">
        <v>1</v>
      </c>
      <c r="H21" s="48" t="s">
        <v>11</v>
      </c>
      <c r="I21" s="48">
        <v>1</v>
      </c>
      <c r="J21" s="49">
        <v>15</v>
      </c>
      <c r="K21" s="49">
        <v>56</v>
      </c>
      <c r="L21" s="49">
        <v>822</v>
      </c>
      <c r="M21" s="50">
        <v>0.32</v>
      </c>
      <c r="N21" s="49">
        <v>266</v>
      </c>
      <c r="O21" s="49">
        <v>556</v>
      </c>
      <c r="P21" s="50">
        <v>1.1499999999999999</v>
      </c>
      <c r="Q21" s="50">
        <v>0.51</v>
      </c>
      <c r="R21" s="50">
        <v>0.46</v>
      </c>
      <c r="S21" s="50">
        <v>0.37</v>
      </c>
      <c r="T21" s="50">
        <v>0.02</v>
      </c>
      <c r="U21" s="49">
        <v>39</v>
      </c>
      <c r="V21" s="50">
        <v>0.15</v>
      </c>
      <c r="W21" s="50">
        <v>0.06</v>
      </c>
      <c r="X21" s="49">
        <f t="shared" si="0"/>
        <v>49.32</v>
      </c>
      <c r="Y21" s="49">
        <f t="shared" si="1"/>
        <v>304.14</v>
      </c>
      <c r="Z21" s="49">
        <f t="shared" si="2"/>
        <v>468.54</v>
      </c>
      <c r="AA21" s="23" t="s">
        <v>116</v>
      </c>
      <c r="AB21" s="23" t="s">
        <v>116</v>
      </c>
      <c r="AC21" s="23" t="s">
        <v>116</v>
      </c>
      <c r="AD21" s="23" t="s">
        <v>116</v>
      </c>
      <c r="AE21" s="23">
        <v>100</v>
      </c>
      <c r="AF21" s="23" t="s">
        <v>116</v>
      </c>
      <c r="AG21" s="23" t="s">
        <v>116</v>
      </c>
      <c r="AH21" s="23" t="s">
        <v>116</v>
      </c>
      <c r="AI21" s="52">
        <v>100</v>
      </c>
      <c r="AJ21" s="51">
        <v>456</v>
      </c>
    </row>
    <row r="22" spans="1:36" x14ac:dyDescent="0.2">
      <c r="A22" s="47">
        <v>44582</v>
      </c>
      <c r="B22" s="48">
        <v>21</v>
      </c>
      <c r="C22" s="48">
        <v>21</v>
      </c>
      <c r="D22" s="48">
        <v>6</v>
      </c>
      <c r="E22" s="48" t="s">
        <v>17</v>
      </c>
      <c r="F22" s="48">
        <v>3</v>
      </c>
      <c r="G22" s="48">
        <v>1</v>
      </c>
      <c r="H22" s="48" t="s">
        <v>11</v>
      </c>
      <c r="I22" s="48">
        <v>1</v>
      </c>
      <c r="J22" s="49">
        <v>16</v>
      </c>
      <c r="K22" s="49">
        <v>72</v>
      </c>
      <c r="L22" s="49">
        <v>1169</v>
      </c>
      <c r="M22" s="50">
        <v>0.31</v>
      </c>
      <c r="N22" s="49">
        <v>362</v>
      </c>
      <c r="O22" s="49">
        <v>807</v>
      </c>
      <c r="P22" s="50">
        <v>0.36</v>
      </c>
      <c r="Q22" s="50">
        <v>0.62</v>
      </c>
      <c r="R22" s="50">
        <v>0.44</v>
      </c>
      <c r="S22" s="50">
        <v>0.33</v>
      </c>
      <c r="T22" s="50">
        <v>0.01</v>
      </c>
      <c r="U22" s="49">
        <v>50</v>
      </c>
      <c r="V22" s="50">
        <v>0.1</v>
      </c>
      <c r="W22" s="50">
        <v>0.02</v>
      </c>
      <c r="X22" s="49">
        <f t="shared" si="0"/>
        <v>23.38</v>
      </c>
      <c r="Y22" s="49">
        <f t="shared" si="1"/>
        <v>385.77000000000004</v>
      </c>
      <c r="Z22" s="49">
        <f t="shared" si="2"/>
        <v>759.84999999999991</v>
      </c>
      <c r="AA22" s="23" t="s">
        <v>116</v>
      </c>
      <c r="AB22" s="23" t="s">
        <v>116</v>
      </c>
      <c r="AC22" s="23" t="s">
        <v>116</v>
      </c>
      <c r="AD22" s="23" t="s">
        <v>116</v>
      </c>
      <c r="AE22" s="23" t="s">
        <v>116</v>
      </c>
      <c r="AF22" s="23" t="s">
        <v>116</v>
      </c>
      <c r="AG22" s="23" t="s">
        <v>116</v>
      </c>
      <c r="AH22" s="23" t="s">
        <v>116</v>
      </c>
      <c r="AI22" s="52">
        <v>0</v>
      </c>
      <c r="AJ22" s="51">
        <v>807</v>
      </c>
    </row>
    <row r="23" spans="1:36" x14ac:dyDescent="0.2">
      <c r="A23" s="47">
        <v>44583</v>
      </c>
      <c r="B23" s="48">
        <v>22</v>
      </c>
      <c r="C23" s="48">
        <v>22</v>
      </c>
      <c r="D23" s="48">
        <v>7</v>
      </c>
      <c r="E23" s="48" t="s">
        <v>10</v>
      </c>
      <c r="F23" s="48">
        <v>3</v>
      </c>
      <c r="G23" s="48">
        <v>1</v>
      </c>
      <c r="H23" s="48" t="s">
        <v>11</v>
      </c>
      <c r="I23" s="48">
        <v>1</v>
      </c>
      <c r="J23" s="49">
        <v>14</v>
      </c>
      <c r="K23" s="49">
        <v>50</v>
      </c>
      <c r="L23" s="49">
        <v>697</v>
      </c>
      <c r="M23" s="50">
        <v>0.51</v>
      </c>
      <c r="N23" s="49">
        <v>356</v>
      </c>
      <c r="O23" s="49">
        <v>340</v>
      </c>
      <c r="P23" s="50">
        <v>0.97</v>
      </c>
      <c r="Q23" s="50">
        <v>0.54</v>
      </c>
      <c r="R23" s="50">
        <v>0.73</v>
      </c>
      <c r="S23" s="50">
        <v>0.4</v>
      </c>
      <c r="T23" s="50">
        <v>0.02</v>
      </c>
      <c r="U23" s="49">
        <v>35</v>
      </c>
      <c r="V23" s="50">
        <v>0.2</v>
      </c>
      <c r="W23" s="50">
        <v>0.05</v>
      </c>
      <c r="X23" s="49">
        <f t="shared" si="0"/>
        <v>34.85</v>
      </c>
      <c r="Y23" s="49">
        <f t="shared" si="1"/>
        <v>278.8</v>
      </c>
      <c r="Z23" s="49">
        <f t="shared" si="2"/>
        <v>383.34999999999997</v>
      </c>
      <c r="AA23" s="23" t="s">
        <v>116</v>
      </c>
      <c r="AB23" s="23" t="s">
        <v>116</v>
      </c>
      <c r="AC23" s="23" t="s">
        <v>116</v>
      </c>
      <c r="AD23" s="23" t="s">
        <v>116</v>
      </c>
      <c r="AE23" s="23" t="s">
        <v>116</v>
      </c>
      <c r="AF23" s="23" t="s">
        <v>116</v>
      </c>
      <c r="AG23" s="23" t="s">
        <v>116</v>
      </c>
      <c r="AH23" s="23" t="s">
        <v>116</v>
      </c>
      <c r="AI23" s="52">
        <v>0</v>
      </c>
      <c r="AJ23" s="51">
        <v>340</v>
      </c>
    </row>
    <row r="24" spans="1:36" x14ac:dyDescent="0.2">
      <c r="A24" s="47">
        <v>44584</v>
      </c>
      <c r="B24" s="48">
        <v>23</v>
      </c>
      <c r="C24" s="48">
        <v>23</v>
      </c>
      <c r="D24" s="48">
        <v>1</v>
      </c>
      <c r="E24" s="48" t="s">
        <v>12</v>
      </c>
      <c r="F24" s="48">
        <v>4</v>
      </c>
      <c r="G24" s="48">
        <v>1</v>
      </c>
      <c r="H24" s="48" t="s">
        <v>11</v>
      </c>
      <c r="I24" s="48">
        <v>1</v>
      </c>
      <c r="J24" s="49">
        <v>8</v>
      </c>
      <c r="K24" s="49">
        <v>29</v>
      </c>
      <c r="L24" s="49">
        <v>229</v>
      </c>
      <c r="M24" s="50">
        <v>0.19</v>
      </c>
      <c r="N24" s="49">
        <v>45</v>
      </c>
      <c r="O24" s="49">
        <v>185</v>
      </c>
      <c r="P24" s="50">
        <v>1.51</v>
      </c>
      <c r="Q24" s="50">
        <v>0.41</v>
      </c>
      <c r="R24" s="50">
        <v>0.28000000000000003</v>
      </c>
      <c r="S24" s="50">
        <v>0.39</v>
      </c>
      <c r="T24" s="50">
        <v>0.12</v>
      </c>
      <c r="U24" s="49">
        <v>20</v>
      </c>
      <c r="V24" s="50">
        <v>0.1</v>
      </c>
      <c r="W24" s="50">
        <v>0.13</v>
      </c>
      <c r="X24" s="49">
        <f t="shared" si="0"/>
        <v>29.77</v>
      </c>
      <c r="Y24" s="49">
        <f t="shared" si="1"/>
        <v>89.31</v>
      </c>
      <c r="Z24" s="49">
        <f t="shared" si="2"/>
        <v>109.92</v>
      </c>
      <c r="AA24" s="23" t="s">
        <v>116</v>
      </c>
      <c r="AB24" s="23">
        <v>1000</v>
      </c>
      <c r="AC24" s="23" t="s">
        <v>116</v>
      </c>
      <c r="AD24" s="23" t="s">
        <v>116</v>
      </c>
      <c r="AE24" s="23" t="s">
        <v>116</v>
      </c>
      <c r="AF24" s="23" t="s">
        <v>116</v>
      </c>
      <c r="AG24" s="23" t="s">
        <v>116</v>
      </c>
      <c r="AH24" s="23" t="s">
        <v>116</v>
      </c>
      <c r="AI24" s="52">
        <v>1000</v>
      </c>
      <c r="AJ24" s="51">
        <v>-815</v>
      </c>
    </row>
    <row r="25" spans="1:36" x14ac:dyDescent="0.2">
      <c r="A25" s="47">
        <v>44585</v>
      </c>
      <c r="B25" s="48">
        <v>24</v>
      </c>
      <c r="C25" s="48">
        <v>24</v>
      </c>
      <c r="D25" s="48">
        <v>2</v>
      </c>
      <c r="E25" s="48" t="s">
        <v>13</v>
      </c>
      <c r="F25" s="48">
        <v>4</v>
      </c>
      <c r="G25" s="48">
        <v>1</v>
      </c>
      <c r="H25" s="48" t="s">
        <v>11</v>
      </c>
      <c r="I25" s="48">
        <v>1</v>
      </c>
      <c r="J25" s="49">
        <v>11</v>
      </c>
      <c r="K25" s="49">
        <v>49</v>
      </c>
      <c r="L25" s="49">
        <v>555</v>
      </c>
      <c r="M25" s="50">
        <v>0.3</v>
      </c>
      <c r="N25" s="49">
        <v>166</v>
      </c>
      <c r="O25" s="49">
        <v>389</v>
      </c>
      <c r="P25" s="50">
        <v>2.13</v>
      </c>
      <c r="Q25" s="50">
        <v>0.19</v>
      </c>
      <c r="R25" s="50">
        <v>0.43</v>
      </c>
      <c r="S25" s="50">
        <v>0.33</v>
      </c>
      <c r="T25" s="50">
        <v>0.02</v>
      </c>
      <c r="U25" s="49">
        <v>34</v>
      </c>
      <c r="V25" s="50">
        <v>0.28999999999999998</v>
      </c>
      <c r="W25" s="50">
        <v>0.13</v>
      </c>
      <c r="X25" s="49">
        <f t="shared" si="0"/>
        <v>72.150000000000006</v>
      </c>
      <c r="Y25" s="49">
        <f t="shared" si="1"/>
        <v>183.15</v>
      </c>
      <c r="Z25" s="49">
        <f t="shared" si="2"/>
        <v>299.7</v>
      </c>
      <c r="AA25" s="23" t="s">
        <v>116</v>
      </c>
      <c r="AB25" s="23" t="s">
        <v>116</v>
      </c>
      <c r="AC25" s="23" t="s">
        <v>116</v>
      </c>
      <c r="AD25" s="23" t="s">
        <v>116</v>
      </c>
      <c r="AE25" s="23" t="s">
        <v>116</v>
      </c>
      <c r="AF25" s="23" t="s">
        <v>116</v>
      </c>
      <c r="AG25" s="23" t="s">
        <v>116</v>
      </c>
      <c r="AH25" s="23" t="s">
        <v>116</v>
      </c>
      <c r="AI25" s="52">
        <v>0</v>
      </c>
      <c r="AJ25" s="51">
        <v>389</v>
      </c>
    </row>
    <row r="26" spans="1:36" x14ac:dyDescent="0.2">
      <c r="A26" s="47">
        <v>44586</v>
      </c>
      <c r="B26" s="48">
        <v>25</v>
      </c>
      <c r="C26" s="48">
        <v>25</v>
      </c>
      <c r="D26" s="48">
        <v>3</v>
      </c>
      <c r="E26" s="48" t="s">
        <v>14</v>
      </c>
      <c r="F26" s="48">
        <v>4</v>
      </c>
      <c r="G26" s="48">
        <v>1</v>
      </c>
      <c r="H26" s="48" t="s">
        <v>11</v>
      </c>
      <c r="I26" s="48">
        <v>1</v>
      </c>
      <c r="J26" s="49">
        <v>13</v>
      </c>
      <c r="K26" s="49">
        <v>118</v>
      </c>
      <c r="L26" s="49">
        <v>1563</v>
      </c>
      <c r="M26" s="50">
        <v>0.15</v>
      </c>
      <c r="N26" s="49">
        <v>239</v>
      </c>
      <c r="O26" s="49">
        <v>1324</v>
      </c>
      <c r="P26" s="50">
        <v>0.54</v>
      </c>
      <c r="Q26" s="50">
        <v>0.3</v>
      </c>
      <c r="R26" s="50">
        <v>0.22</v>
      </c>
      <c r="S26" s="50">
        <v>0.16</v>
      </c>
      <c r="T26" s="50">
        <v>0.01</v>
      </c>
      <c r="U26" s="49">
        <v>82</v>
      </c>
      <c r="V26" s="50">
        <v>0.08</v>
      </c>
      <c r="W26" s="50">
        <v>0.03</v>
      </c>
      <c r="X26" s="49">
        <f t="shared" si="0"/>
        <v>46.89</v>
      </c>
      <c r="Y26" s="49">
        <f t="shared" si="1"/>
        <v>250.08</v>
      </c>
      <c r="Z26" s="49">
        <f t="shared" si="2"/>
        <v>1266.03</v>
      </c>
      <c r="AA26" s="23" t="s">
        <v>116</v>
      </c>
      <c r="AB26" s="23" t="s">
        <v>116</v>
      </c>
      <c r="AC26" s="23" t="s">
        <v>116</v>
      </c>
      <c r="AD26" s="23" t="s">
        <v>116</v>
      </c>
      <c r="AE26" s="23" t="s">
        <v>116</v>
      </c>
      <c r="AF26" s="23" t="s">
        <v>116</v>
      </c>
      <c r="AG26" s="23">
        <v>83</v>
      </c>
      <c r="AH26" s="23" t="s">
        <v>116</v>
      </c>
      <c r="AI26" s="52">
        <v>83</v>
      </c>
      <c r="AJ26" s="51">
        <v>1241</v>
      </c>
    </row>
    <row r="27" spans="1:36" x14ac:dyDescent="0.2">
      <c r="A27" s="47">
        <v>44587</v>
      </c>
      <c r="B27" s="48">
        <v>26</v>
      </c>
      <c r="C27" s="48">
        <v>26</v>
      </c>
      <c r="D27" s="48">
        <v>4</v>
      </c>
      <c r="E27" s="48" t="s">
        <v>15</v>
      </c>
      <c r="F27" s="48">
        <v>4</v>
      </c>
      <c r="G27" s="48">
        <v>1</v>
      </c>
      <c r="H27" s="48" t="s">
        <v>11</v>
      </c>
      <c r="I27" s="48">
        <v>1</v>
      </c>
      <c r="J27" s="49">
        <v>16</v>
      </c>
      <c r="K27" s="49">
        <v>70</v>
      </c>
      <c r="L27" s="49">
        <v>1091</v>
      </c>
      <c r="M27" s="50">
        <v>0.55000000000000004</v>
      </c>
      <c r="N27" s="49">
        <v>598</v>
      </c>
      <c r="O27" s="49">
        <v>493</v>
      </c>
      <c r="P27" s="50">
        <v>1.03</v>
      </c>
      <c r="Q27" s="50">
        <v>0.35</v>
      </c>
      <c r="R27" s="50">
        <v>0.78</v>
      </c>
      <c r="S27" s="50">
        <v>0.32</v>
      </c>
      <c r="T27" s="50">
        <v>0.01</v>
      </c>
      <c r="U27" s="49">
        <v>49</v>
      </c>
      <c r="V27" s="50">
        <v>0.21</v>
      </c>
      <c r="W27" s="50">
        <v>0.05</v>
      </c>
      <c r="X27" s="49">
        <f t="shared" si="0"/>
        <v>54.550000000000004</v>
      </c>
      <c r="Y27" s="49">
        <f t="shared" si="1"/>
        <v>349.12</v>
      </c>
      <c r="Z27" s="49">
        <f t="shared" si="2"/>
        <v>687.32999999999993</v>
      </c>
      <c r="AA27" s="23" t="s">
        <v>116</v>
      </c>
      <c r="AB27" s="23" t="s">
        <v>116</v>
      </c>
      <c r="AC27" s="23" t="s">
        <v>116</v>
      </c>
      <c r="AD27" s="23" t="s">
        <v>116</v>
      </c>
      <c r="AE27" s="23" t="s">
        <v>116</v>
      </c>
      <c r="AF27" s="23" t="s">
        <v>116</v>
      </c>
      <c r="AG27" s="23" t="s">
        <v>116</v>
      </c>
      <c r="AH27" s="23" t="s">
        <v>116</v>
      </c>
      <c r="AI27" s="52">
        <v>0</v>
      </c>
      <c r="AJ27" s="51">
        <v>493</v>
      </c>
    </row>
    <row r="28" spans="1:36" x14ac:dyDescent="0.2">
      <c r="A28" s="47">
        <v>44588</v>
      </c>
      <c r="B28" s="48">
        <v>27</v>
      </c>
      <c r="C28" s="48">
        <v>27</v>
      </c>
      <c r="D28" s="48">
        <v>5</v>
      </c>
      <c r="E28" s="48" t="s">
        <v>16</v>
      </c>
      <c r="F28" s="48">
        <v>4</v>
      </c>
      <c r="G28" s="48">
        <v>1</v>
      </c>
      <c r="H28" s="48" t="s">
        <v>11</v>
      </c>
      <c r="I28" s="48">
        <v>1</v>
      </c>
      <c r="J28" s="49">
        <v>8</v>
      </c>
      <c r="K28" s="49">
        <v>50</v>
      </c>
      <c r="L28" s="49">
        <v>411</v>
      </c>
      <c r="M28" s="50">
        <v>0.65</v>
      </c>
      <c r="N28" s="49">
        <v>268</v>
      </c>
      <c r="O28" s="49">
        <v>143</v>
      </c>
      <c r="P28" s="50">
        <v>1.0900000000000001</v>
      </c>
      <c r="Q28" s="50">
        <v>0.15</v>
      </c>
      <c r="R28" s="50">
        <v>0.93</v>
      </c>
      <c r="S28" s="50">
        <v>0.24</v>
      </c>
      <c r="T28" s="50">
        <v>0.03</v>
      </c>
      <c r="U28" s="49">
        <v>35</v>
      </c>
      <c r="V28" s="50">
        <v>0.31</v>
      </c>
      <c r="W28" s="50">
        <v>0.09</v>
      </c>
      <c r="X28" s="49">
        <f t="shared" si="0"/>
        <v>36.99</v>
      </c>
      <c r="Y28" s="49">
        <f t="shared" si="1"/>
        <v>98.64</v>
      </c>
      <c r="Z28" s="49">
        <f t="shared" si="2"/>
        <v>275.37</v>
      </c>
      <c r="AA28" s="23" t="s">
        <v>116</v>
      </c>
      <c r="AB28" s="23" t="s">
        <v>116</v>
      </c>
      <c r="AC28" s="23" t="s">
        <v>116</v>
      </c>
      <c r="AD28" s="23" t="s">
        <v>116</v>
      </c>
      <c r="AE28" s="23" t="s">
        <v>116</v>
      </c>
      <c r="AF28" s="23" t="s">
        <v>116</v>
      </c>
      <c r="AG28" s="23" t="s">
        <v>116</v>
      </c>
      <c r="AH28" s="23" t="s">
        <v>116</v>
      </c>
      <c r="AI28" s="52">
        <v>0</v>
      </c>
      <c r="AJ28" s="51">
        <v>143</v>
      </c>
    </row>
    <row r="29" spans="1:36" x14ac:dyDescent="0.2">
      <c r="A29" s="47">
        <v>44589</v>
      </c>
      <c r="B29" s="48">
        <v>28</v>
      </c>
      <c r="C29" s="48">
        <v>28</v>
      </c>
      <c r="D29" s="48">
        <v>6</v>
      </c>
      <c r="E29" s="48" t="s">
        <v>17</v>
      </c>
      <c r="F29" s="48">
        <v>4</v>
      </c>
      <c r="G29" s="48">
        <v>1</v>
      </c>
      <c r="H29" s="48" t="s">
        <v>11</v>
      </c>
      <c r="I29" s="48">
        <v>1</v>
      </c>
      <c r="J29" s="49">
        <v>17</v>
      </c>
      <c r="K29" s="49">
        <v>51</v>
      </c>
      <c r="L29" s="49">
        <v>841</v>
      </c>
      <c r="M29" s="50">
        <v>0.48</v>
      </c>
      <c r="N29" s="49">
        <v>407</v>
      </c>
      <c r="O29" s="49">
        <v>434</v>
      </c>
      <c r="P29" s="50">
        <v>1.96</v>
      </c>
      <c r="Q29" s="50">
        <v>0.32</v>
      </c>
      <c r="R29" s="50">
        <v>0.69</v>
      </c>
      <c r="S29" s="50">
        <v>0.46</v>
      </c>
      <c r="T29" s="50">
        <v>0.02</v>
      </c>
      <c r="U29" s="49">
        <v>36</v>
      </c>
      <c r="V29" s="50">
        <v>0.31</v>
      </c>
      <c r="W29" s="50">
        <v>0.08</v>
      </c>
      <c r="X29" s="49">
        <f t="shared" si="0"/>
        <v>67.28</v>
      </c>
      <c r="Y29" s="49">
        <f t="shared" si="1"/>
        <v>386.86</v>
      </c>
      <c r="Z29" s="49">
        <f t="shared" si="2"/>
        <v>386.86</v>
      </c>
      <c r="AA29" s="23" t="s">
        <v>116</v>
      </c>
      <c r="AB29" s="23" t="s">
        <v>116</v>
      </c>
      <c r="AC29" s="23" t="s">
        <v>116</v>
      </c>
      <c r="AD29" s="23" t="s">
        <v>116</v>
      </c>
      <c r="AE29" s="23" t="s">
        <v>116</v>
      </c>
      <c r="AF29" s="23" t="s">
        <v>116</v>
      </c>
      <c r="AG29" s="23" t="s">
        <v>116</v>
      </c>
      <c r="AH29" s="23" t="s">
        <v>116</v>
      </c>
      <c r="AI29" s="52">
        <v>0</v>
      </c>
      <c r="AJ29" s="51">
        <v>434</v>
      </c>
    </row>
    <row r="30" spans="1:36" x14ac:dyDescent="0.2">
      <c r="A30" s="47">
        <v>44590</v>
      </c>
      <c r="B30" s="48">
        <v>29</v>
      </c>
      <c r="C30" s="48">
        <v>29</v>
      </c>
      <c r="D30" s="48">
        <v>7</v>
      </c>
      <c r="E30" s="48" t="s">
        <v>10</v>
      </c>
      <c r="F30" s="48">
        <v>4</v>
      </c>
      <c r="G30" s="48">
        <v>1</v>
      </c>
      <c r="H30" s="48" t="s">
        <v>11</v>
      </c>
      <c r="I30" s="48">
        <v>1</v>
      </c>
      <c r="J30" s="49">
        <v>11</v>
      </c>
      <c r="K30" s="49">
        <v>94</v>
      </c>
      <c r="L30" s="49">
        <v>1034</v>
      </c>
      <c r="M30" s="50">
        <v>0.25</v>
      </c>
      <c r="N30" s="49">
        <v>258</v>
      </c>
      <c r="O30" s="49">
        <v>776</v>
      </c>
      <c r="P30" s="50">
        <v>0.74</v>
      </c>
      <c r="Q30" s="50">
        <v>0.19</v>
      </c>
      <c r="R30" s="50">
        <v>0.36</v>
      </c>
      <c r="S30" s="50">
        <v>0.17</v>
      </c>
      <c r="T30" s="50">
        <v>0.01</v>
      </c>
      <c r="U30" s="49">
        <v>66</v>
      </c>
      <c r="V30" s="50">
        <v>0.16</v>
      </c>
      <c r="W30" s="50">
        <v>0.05</v>
      </c>
      <c r="X30" s="49">
        <f t="shared" si="0"/>
        <v>51.7</v>
      </c>
      <c r="Y30" s="49">
        <f t="shared" si="1"/>
        <v>175.78</v>
      </c>
      <c r="Z30" s="49">
        <f t="shared" si="2"/>
        <v>806.52</v>
      </c>
      <c r="AA30" s="23" t="s">
        <v>116</v>
      </c>
      <c r="AB30" s="23" t="s">
        <v>116</v>
      </c>
      <c r="AC30" s="23" t="s">
        <v>116</v>
      </c>
      <c r="AD30" s="23" t="s">
        <v>116</v>
      </c>
      <c r="AE30" s="23" t="s">
        <v>116</v>
      </c>
      <c r="AF30" s="23" t="s">
        <v>116</v>
      </c>
      <c r="AG30" s="23" t="s">
        <v>116</v>
      </c>
      <c r="AH30" s="23" t="s">
        <v>116</v>
      </c>
      <c r="AI30" s="52">
        <v>0</v>
      </c>
      <c r="AJ30" s="51">
        <v>776</v>
      </c>
    </row>
    <row r="31" spans="1:36" x14ac:dyDescent="0.2">
      <c r="A31" s="47">
        <v>44591</v>
      </c>
      <c r="B31" s="48">
        <v>30</v>
      </c>
      <c r="C31" s="48">
        <v>30</v>
      </c>
      <c r="D31" s="48">
        <v>1</v>
      </c>
      <c r="E31" s="48" t="s">
        <v>12</v>
      </c>
      <c r="F31" s="48">
        <v>5</v>
      </c>
      <c r="G31" s="48">
        <v>1</v>
      </c>
      <c r="H31" s="48" t="s">
        <v>11</v>
      </c>
      <c r="I31" s="48">
        <v>1</v>
      </c>
      <c r="J31" s="49">
        <v>7</v>
      </c>
      <c r="K31" s="49">
        <v>25</v>
      </c>
      <c r="L31" s="49">
        <v>184</v>
      </c>
      <c r="M31" s="50">
        <v>0.23</v>
      </c>
      <c r="N31" s="49">
        <v>43</v>
      </c>
      <c r="O31" s="49">
        <v>141</v>
      </c>
      <c r="P31" s="50">
        <v>2.0699999999999998</v>
      </c>
      <c r="Q31" s="50">
        <v>0.25</v>
      </c>
      <c r="R31" s="50">
        <v>0.33</v>
      </c>
      <c r="S31" s="50">
        <v>0.42</v>
      </c>
      <c r="T31" s="50">
        <v>0.15</v>
      </c>
      <c r="U31" s="49">
        <v>18</v>
      </c>
      <c r="V31" s="50">
        <v>0.15</v>
      </c>
      <c r="W31" s="50">
        <v>0.2</v>
      </c>
      <c r="X31" s="49">
        <f t="shared" si="0"/>
        <v>36.800000000000004</v>
      </c>
      <c r="Y31" s="49">
        <f t="shared" si="1"/>
        <v>77.28</v>
      </c>
      <c r="Z31" s="49">
        <f t="shared" si="2"/>
        <v>69.919999999999987</v>
      </c>
      <c r="AA31" s="23" t="s">
        <v>116</v>
      </c>
      <c r="AB31" s="23">
        <v>1000</v>
      </c>
      <c r="AC31" s="23" t="s">
        <v>116</v>
      </c>
      <c r="AD31" s="23" t="s">
        <v>116</v>
      </c>
      <c r="AE31" s="23" t="s">
        <v>116</v>
      </c>
      <c r="AF31" s="23" t="s">
        <v>116</v>
      </c>
      <c r="AG31" s="23" t="s">
        <v>116</v>
      </c>
      <c r="AH31" s="23" t="s">
        <v>116</v>
      </c>
      <c r="AI31" s="52">
        <v>1000</v>
      </c>
      <c r="AJ31" s="51">
        <v>-859</v>
      </c>
    </row>
    <row r="32" spans="1:36" x14ac:dyDescent="0.2">
      <c r="A32" s="47">
        <v>44592</v>
      </c>
      <c r="B32" s="48">
        <v>31</v>
      </c>
      <c r="C32" s="48">
        <v>31</v>
      </c>
      <c r="D32" s="48">
        <v>2</v>
      </c>
      <c r="E32" s="48" t="s">
        <v>13</v>
      </c>
      <c r="F32" s="48">
        <v>5</v>
      </c>
      <c r="G32" s="48">
        <v>1</v>
      </c>
      <c r="H32" s="48" t="s">
        <v>11</v>
      </c>
      <c r="I32" s="48">
        <v>1</v>
      </c>
      <c r="J32" s="49">
        <v>9</v>
      </c>
      <c r="K32" s="49">
        <v>32</v>
      </c>
      <c r="L32" s="49">
        <v>282</v>
      </c>
      <c r="M32" s="50">
        <v>0.52</v>
      </c>
      <c r="N32" s="49">
        <v>147</v>
      </c>
      <c r="O32" s="49">
        <v>135</v>
      </c>
      <c r="P32" s="50">
        <v>3.18</v>
      </c>
      <c r="Q32" s="50">
        <v>0.13</v>
      </c>
      <c r="R32" s="50">
        <v>0.75</v>
      </c>
      <c r="S32" s="50">
        <v>0.39</v>
      </c>
      <c r="T32" s="50">
        <v>0.05</v>
      </c>
      <c r="U32" s="49">
        <v>23</v>
      </c>
      <c r="V32" s="50">
        <v>0.24</v>
      </c>
      <c r="W32" s="50">
        <v>0.25</v>
      </c>
      <c r="X32" s="49">
        <f t="shared" si="0"/>
        <v>70.5</v>
      </c>
      <c r="Y32" s="49">
        <f t="shared" si="1"/>
        <v>109.98</v>
      </c>
      <c r="Z32" s="49">
        <f t="shared" si="2"/>
        <v>101.51999999999998</v>
      </c>
      <c r="AA32" s="23" t="s">
        <v>116</v>
      </c>
      <c r="AB32" s="23" t="s">
        <v>116</v>
      </c>
      <c r="AC32" s="23" t="s">
        <v>116</v>
      </c>
      <c r="AD32" s="23" t="s">
        <v>116</v>
      </c>
      <c r="AE32" s="23" t="s">
        <v>116</v>
      </c>
      <c r="AF32" s="23" t="s">
        <v>116</v>
      </c>
      <c r="AG32" s="23" t="s">
        <v>116</v>
      </c>
      <c r="AH32" s="23" t="s">
        <v>116</v>
      </c>
      <c r="AI32" s="52">
        <v>0</v>
      </c>
      <c r="AJ32" s="51">
        <v>135</v>
      </c>
    </row>
    <row r="33" spans="1:36" x14ac:dyDescent="0.2">
      <c r="A33" s="47">
        <v>44593</v>
      </c>
      <c r="B33" s="48">
        <v>1</v>
      </c>
      <c r="C33" s="48">
        <v>32</v>
      </c>
      <c r="D33" s="48">
        <v>3</v>
      </c>
      <c r="E33" s="48" t="s">
        <v>14</v>
      </c>
      <c r="F33" s="48">
        <v>5</v>
      </c>
      <c r="G33" s="48">
        <v>2</v>
      </c>
      <c r="H33" s="48" t="s">
        <v>18</v>
      </c>
      <c r="I33" s="48">
        <v>1</v>
      </c>
      <c r="J33" s="49">
        <v>15</v>
      </c>
      <c r="K33" s="49">
        <v>51</v>
      </c>
      <c r="L33" s="49">
        <v>740</v>
      </c>
      <c r="M33" s="50">
        <v>0.44</v>
      </c>
      <c r="N33" s="49">
        <v>328</v>
      </c>
      <c r="O33" s="49">
        <v>412</v>
      </c>
      <c r="P33" s="50">
        <v>1.74</v>
      </c>
      <c r="Q33" s="50">
        <v>0.24</v>
      </c>
      <c r="R33" s="50">
        <v>0.63</v>
      </c>
      <c r="S33" s="50">
        <v>0.41</v>
      </c>
      <c r="T33" s="50">
        <v>0.02</v>
      </c>
      <c r="U33" s="49">
        <v>36</v>
      </c>
      <c r="V33" s="50">
        <v>0.27</v>
      </c>
      <c r="W33" s="50">
        <v>0.08</v>
      </c>
      <c r="X33" s="49">
        <f t="shared" si="0"/>
        <v>59.2</v>
      </c>
      <c r="Y33" s="49">
        <f t="shared" si="1"/>
        <v>303.39999999999998</v>
      </c>
      <c r="Z33" s="49">
        <f t="shared" si="2"/>
        <v>377.40000000000003</v>
      </c>
      <c r="AA33" s="23">
        <v>3000</v>
      </c>
      <c r="AB33" s="23" t="s">
        <v>116</v>
      </c>
      <c r="AC33" s="23" t="s">
        <v>116</v>
      </c>
      <c r="AD33" s="23" t="s">
        <v>116</v>
      </c>
      <c r="AE33" s="23" t="s">
        <v>116</v>
      </c>
      <c r="AF33" s="23" t="s">
        <v>116</v>
      </c>
      <c r="AG33" s="23" t="s">
        <v>116</v>
      </c>
      <c r="AH33" s="23" t="s">
        <v>116</v>
      </c>
      <c r="AI33" s="52">
        <v>3000</v>
      </c>
      <c r="AJ33" s="51">
        <v>-2588</v>
      </c>
    </row>
    <row r="34" spans="1:36" x14ac:dyDescent="0.2">
      <c r="A34" s="47">
        <v>44594</v>
      </c>
      <c r="B34" s="48">
        <v>2</v>
      </c>
      <c r="C34" s="48">
        <v>33</v>
      </c>
      <c r="D34" s="48">
        <v>4</v>
      </c>
      <c r="E34" s="48" t="s">
        <v>15</v>
      </c>
      <c r="F34" s="48">
        <v>5</v>
      </c>
      <c r="G34" s="48">
        <v>2</v>
      </c>
      <c r="H34" s="48" t="s">
        <v>18</v>
      </c>
      <c r="I34" s="48">
        <v>1</v>
      </c>
      <c r="J34" s="49">
        <v>28</v>
      </c>
      <c r="K34" s="49">
        <v>61</v>
      </c>
      <c r="L34" s="49">
        <v>1684</v>
      </c>
      <c r="M34" s="50">
        <v>0.54</v>
      </c>
      <c r="N34" s="49">
        <v>908</v>
      </c>
      <c r="O34" s="49">
        <v>776</v>
      </c>
      <c r="P34" s="50">
        <v>1.69</v>
      </c>
      <c r="Q34" s="50">
        <v>0.55000000000000004</v>
      </c>
      <c r="R34" s="50">
        <v>0.77</v>
      </c>
      <c r="S34" s="50">
        <v>0.65</v>
      </c>
      <c r="T34" s="50">
        <v>0.01</v>
      </c>
      <c r="U34" s="49">
        <v>43</v>
      </c>
      <c r="V34" s="50">
        <v>0.46</v>
      </c>
      <c r="W34" s="50">
        <v>0.04</v>
      </c>
      <c r="X34" s="49">
        <f t="shared" si="0"/>
        <v>67.36</v>
      </c>
      <c r="Y34" s="49">
        <f t="shared" si="1"/>
        <v>1094.6000000000001</v>
      </c>
      <c r="Z34" s="49">
        <f t="shared" si="2"/>
        <v>522.04</v>
      </c>
      <c r="AA34" s="23" t="s">
        <v>116</v>
      </c>
      <c r="AB34" s="23" t="s">
        <v>116</v>
      </c>
      <c r="AC34" s="23" t="s">
        <v>116</v>
      </c>
      <c r="AD34" s="23" t="s">
        <v>116</v>
      </c>
      <c r="AE34" s="23" t="s">
        <v>116</v>
      </c>
      <c r="AF34" s="23" t="s">
        <v>116</v>
      </c>
      <c r="AG34" s="23" t="s">
        <v>116</v>
      </c>
      <c r="AH34" s="23" t="s">
        <v>116</v>
      </c>
      <c r="AI34" s="52">
        <v>0</v>
      </c>
      <c r="AJ34" s="51">
        <v>776</v>
      </c>
    </row>
    <row r="35" spans="1:36" x14ac:dyDescent="0.2">
      <c r="A35" s="47">
        <v>44595</v>
      </c>
      <c r="B35" s="48">
        <v>3</v>
      </c>
      <c r="C35" s="48">
        <v>34</v>
      </c>
      <c r="D35" s="48">
        <v>5</v>
      </c>
      <c r="E35" s="48" t="s">
        <v>16</v>
      </c>
      <c r="F35" s="48">
        <v>5</v>
      </c>
      <c r="G35" s="48">
        <v>2</v>
      </c>
      <c r="H35" s="48" t="s">
        <v>18</v>
      </c>
      <c r="I35" s="48">
        <v>1</v>
      </c>
      <c r="J35" s="49">
        <v>12</v>
      </c>
      <c r="K35" s="49">
        <v>32</v>
      </c>
      <c r="L35" s="49">
        <v>387</v>
      </c>
      <c r="M35" s="50">
        <v>0.38</v>
      </c>
      <c r="N35" s="49">
        <v>147</v>
      </c>
      <c r="O35" s="49">
        <v>240</v>
      </c>
      <c r="P35" s="50">
        <v>3.85</v>
      </c>
      <c r="Q35" s="50">
        <v>0.31</v>
      </c>
      <c r="R35" s="50">
        <v>0.54</v>
      </c>
      <c r="S35" s="50">
        <v>0.55000000000000004</v>
      </c>
      <c r="T35" s="50">
        <v>0.03</v>
      </c>
      <c r="U35" s="49">
        <v>22</v>
      </c>
      <c r="V35" s="50">
        <v>0.37</v>
      </c>
      <c r="W35" s="50">
        <v>0.22</v>
      </c>
      <c r="X35" s="49">
        <f t="shared" si="0"/>
        <v>85.14</v>
      </c>
      <c r="Y35" s="49">
        <f t="shared" si="1"/>
        <v>212.85000000000002</v>
      </c>
      <c r="Z35" s="49">
        <f t="shared" si="2"/>
        <v>89.009999999999991</v>
      </c>
      <c r="AA35" s="23" t="s">
        <v>116</v>
      </c>
      <c r="AB35" s="23" t="s">
        <v>116</v>
      </c>
      <c r="AC35" s="23" t="s">
        <v>116</v>
      </c>
      <c r="AD35" s="23" t="s">
        <v>116</v>
      </c>
      <c r="AE35" s="23" t="s">
        <v>116</v>
      </c>
      <c r="AF35" s="23" t="s">
        <v>116</v>
      </c>
      <c r="AG35" s="23" t="s">
        <v>116</v>
      </c>
      <c r="AH35" s="23" t="s">
        <v>116</v>
      </c>
      <c r="AI35" s="52">
        <v>0</v>
      </c>
      <c r="AJ35" s="51">
        <v>240</v>
      </c>
    </row>
    <row r="36" spans="1:36" x14ac:dyDescent="0.2">
      <c r="A36" s="47">
        <v>44596</v>
      </c>
      <c r="B36" s="48">
        <v>4</v>
      </c>
      <c r="C36" s="48">
        <v>35</v>
      </c>
      <c r="D36" s="48">
        <v>6</v>
      </c>
      <c r="E36" s="48" t="s">
        <v>17</v>
      </c>
      <c r="F36" s="48">
        <v>5</v>
      </c>
      <c r="G36" s="48">
        <v>2</v>
      </c>
      <c r="H36" s="48" t="s">
        <v>18</v>
      </c>
      <c r="I36" s="48">
        <v>1</v>
      </c>
      <c r="J36" s="49">
        <v>11</v>
      </c>
      <c r="K36" s="49">
        <v>75</v>
      </c>
      <c r="L36" s="49">
        <v>824</v>
      </c>
      <c r="M36" s="50">
        <v>0.34</v>
      </c>
      <c r="N36" s="49">
        <v>283</v>
      </c>
      <c r="O36" s="49">
        <v>541</v>
      </c>
      <c r="P36" s="50">
        <v>1.3</v>
      </c>
      <c r="Q36" s="50">
        <v>0.18</v>
      </c>
      <c r="R36" s="50">
        <v>0.49</v>
      </c>
      <c r="S36" s="50">
        <v>0.21</v>
      </c>
      <c r="T36" s="50">
        <v>0.02</v>
      </c>
      <c r="U36" s="49">
        <v>52</v>
      </c>
      <c r="V36" s="50">
        <v>0.21</v>
      </c>
      <c r="W36" s="50">
        <v>0.08</v>
      </c>
      <c r="X36" s="49">
        <f t="shared" si="0"/>
        <v>65.92</v>
      </c>
      <c r="Y36" s="49">
        <f t="shared" si="1"/>
        <v>173.04</v>
      </c>
      <c r="Z36" s="49">
        <f t="shared" si="2"/>
        <v>585.04</v>
      </c>
      <c r="AA36" s="23" t="s">
        <v>116</v>
      </c>
      <c r="AB36" s="23" t="s">
        <v>116</v>
      </c>
      <c r="AC36" s="23" t="s">
        <v>116</v>
      </c>
      <c r="AD36" s="23" t="s">
        <v>116</v>
      </c>
      <c r="AE36" s="23" t="s">
        <v>116</v>
      </c>
      <c r="AF36" s="23" t="s">
        <v>116</v>
      </c>
      <c r="AG36" s="23" t="s">
        <v>116</v>
      </c>
      <c r="AH36" s="23" t="s">
        <v>116</v>
      </c>
      <c r="AI36" s="52">
        <v>0</v>
      </c>
      <c r="AJ36" s="51">
        <v>541</v>
      </c>
    </row>
    <row r="37" spans="1:36" x14ac:dyDescent="0.2">
      <c r="A37" s="47">
        <v>44597</v>
      </c>
      <c r="B37" s="48">
        <v>5</v>
      </c>
      <c r="C37" s="48">
        <v>36</v>
      </c>
      <c r="D37" s="48">
        <v>7</v>
      </c>
      <c r="E37" s="48" t="s">
        <v>10</v>
      </c>
      <c r="F37" s="48">
        <v>5</v>
      </c>
      <c r="G37" s="48">
        <v>2</v>
      </c>
      <c r="H37" s="48" t="s">
        <v>18</v>
      </c>
      <c r="I37" s="48">
        <v>1</v>
      </c>
      <c r="J37" s="49">
        <v>5</v>
      </c>
      <c r="K37" s="49">
        <v>30</v>
      </c>
      <c r="L37" s="49">
        <v>143</v>
      </c>
      <c r="M37" s="50">
        <v>0.32</v>
      </c>
      <c r="N37" s="49">
        <v>46</v>
      </c>
      <c r="O37" s="49">
        <v>97</v>
      </c>
      <c r="P37" s="50">
        <v>3.85</v>
      </c>
      <c r="Q37" s="50">
        <v>0.08</v>
      </c>
      <c r="R37" s="50">
        <v>0.46</v>
      </c>
      <c r="S37" s="50">
        <v>0.23</v>
      </c>
      <c r="T37" s="50">
        <v>0.09</v>
      </c>
      <c r="U37" s="49">
        <v>21</v>
      </c>
      <c r="V37" s="50">
        <v>0.74</v>
      </c>
      <c r="W37" s="50">
        <v>0.56000000000000005</v>
      </c>
      <c r="X37" s="49">
        <f t="shared" si="0"/>
        <v>80.080000000000013</v>
      </c>
      <c r="Y37" s="49">
        <f t="shared" si="1"/>
        <v>32.89</v>
      </c>
      <c r="Z37" s="49">
        <f t="shared" si="2"/>
        <v>30.029999999999987</v>
      </c>
      <c r="AA37" s="23" t="s">
        <v>116</v>
      </c>
      <c r="AB37" s="23" t="s">
        <v>116</v>
      </c>
      <c r="AC37" s="23" t="s">
        <v>116</v>
      </c>
      <c r="AD37" s="23" t="s">
        <v>116</v>
      </c>
      <c r="AE37" s="23" t="s">
        <v>116</v>
      </c>
      <c r="AF37" s="23" t="s">
        <v>116</v>
      </c>
      <c r="AG37" s="23" t="s">
        <v>116</v>
      </c>
      <c r="AH37" s="23">
        <v>1000</v>
      </c>
      <c r="AI37" s="52">
        <v>1000</v>
      </c>
      <c r="AJ37" s="51">
        <v>-903</v>
      </c>
    </row>
    <row r="38" spans="1:36" x14ac:dyDescent="0.2">
      <c r="A38" s="47">
        <v>44598</v>
      </c>
      <c r="B38" s="48">
        <v>6</v>
      </c>
      <c r="C38" s="48">
        <v>37</v>
      </c>
      <c r="D38" s="48">
        <v>1</v>
      </c>
      <c r="E38" s="48" t="s">
        <v>12</v>
      </c>
      <c r="F38" s="48">
        <v>6</v>
      </c>
      <c r="G38" s="48">
        <v>2</v>
      </c>
      <c r="H38" s="48" t="s">
        <v>18</v>
      </c>
      <c r="I38" s="48">
        <v>1</v>
      </c>
      <c r="J38" s="49">
        <v>13</v>
      </c>
      <c r="K38" s="49">
        <v>41</v>
      </c>
      <c r="L38" s="49">
        <v>536</v>
      </c>
      <c r="M38" s="50">
        <v>0.26</v>
      </c>
      <c r="N38" s="49">
        <v>139</v>
      </c>
      <c r="O38" s="49">
        <v>398</v>
      </c>
      <c r="P38" s="50">
        <v>0.74</v>
      </c>
      <c r="Q38" s="50">
        <v>0.64</v>
      </c>
      <c r="R38" s="50">
        <v>0.37</v>
      </c>
      <c r="S38" s="50">
        <v>0.46</v>
      </c>
      <c r="T38" s="50">
        <v>0.05</v>
      </c>
      <c r="U38" s="49">
        <v>28</v>
      </c>
      <c r="V38" s="50">
        <v>0.04</v>
      </c>
      <c r="W38" s="50">
        <v>0.04</v>
      </c>
      <c r="X38" s="49">
        <f t="shared" si="0"/>
        <v>21.44</v>
      </c>
      <c r="Y38" s="49">
        <f t="shared" si="1"/>
        <v>246.56</v>
      </c>
      <c r="Z38" s="49">
        <f t="shared" si="2"/>
        <v>268</v>
      </c>
      <c r="AA38" s="23" t="s">
        <v>116</v>
      </c>
      <c r="AB38" s="23">
        <v>1000</v>
      </c>
      <c r="AC38" s="23" t="s">
        <v>116</v>
      </c>
      <c r="AD38" s="23" t="s">
        <v>116</v>
      </c>
      <c r="AE38" s="23" t="s">
        <v>116</v>
      </c>
      <c r="AF38" s="23" t="s">
        <v>116</v>
      </c>
      <c r="AG38" s="23" t="s">
        <v>116</v>
      </c>
      <c r="AH38" s="23" t="s">
        <v>116</v>
      </c>
      <c r="AI38" s="52">
        <v>1000</v>
      </c>
      <c r="AJ38" s="51">
        <v>-602</v>
      </c>
    </row>
    <row r="39" spans="1:36" x14ac:dyDescent="0.2">
      <c r="A39" s="47">
        <v>44599</v>
      </c>
      <c r="B39" s="48">
        <v>7</v>
      </c>
      <c r="C39" s="48">
        <v>38</v>
      </c>
      <c r="D39" s="48">
        <v>2</v>
      </c>
      <c r="E39" s="48" t="s">
        <v>13</v>
      </c>
      <c r="F39" s="48">
        <v>6</v>
      </c>
      <c r="G39" s="48">
        <v>2</v>
      </c>
      <c r="H39" s="48" t="s">
        <v>18</v>
      </c>
      <c r="I39" s="48">
        <v>1</v>
      </c>
      <c r="J39" s="49">
        <v>11</v>
      </c>
      <c r="K39" s="49">
        <v>56</v>
      </c>
      <c r="L39" s="49">
        <v>616</v>
      </c>
      <c r="M39" s="50">
        <v>0.82</v>
      </c>
      <c r="N39" s="49">
        <v>503</v>
      </c>
      <c r="O39" s="49">
        <v>113</v>
      </c>
      <c r="P39" s="50">
        <v>1.0900000000000001</v>
      </c>
      <c r="Q39" s="50">
        <v>0.16</v>
      </c>
      <c r="R39" s="50">
        <v>1.17</v>
      </c>
      <c r="S39" s="50">
        <v>0.28000000000000003</v>
      </c>
      <c r="T39" s="50">
        <v>0.02</v>
      </c>
      <c r="U39" s="49">
        <v>39</v>
      </c>
      <c r="V39" s="50">
        <v>0.09</v>
      </c>
      <c r="W39" s="50">
        <v>7.0000000000000007E-2</v>
      </c>
      <c r="X39" s="49">
        <f t="shared" si="0"/>
        <v>43.120000000000005</v>
      </c>
      <c r="Y39" s="49">
        <f t="shared" si="1"/>
        <v>172.48000000000002</v>
      </c>
      <c r="Z39" s="49">
        <f t="shared" si="2"/>
        <v>400.4</v>
      </c>
      <c r="AA39" s="23" t="s">
        <v>116</v>
      </c>
      <c r="AB39" s="23" t="s">
        <v>116</v>
      </c>
      <c r="AC39" s="23" t="s">
        <v>116</v>
      </c>
      <c r="AD39" s="23" t="s">
        <v>116</v>
      </c>
      <c r="AE39" s="23" t="s">
        <v>116</v>
      </c>
      <c r="AF39" s="23" t="s">
        <v>116</v>
      </c>
      <c r="AG39" s="23" t="s">
        <v>116</v>
      </c>
      <c r="AH39" s="23" t="s">
        <v>116</v>
      </c>
      <c r="AI39" s="52">
        <v>0</v>
      </c>
      <c r="AJ39" s="51">
        <v>113</v>
      </c>
    </row>
    <row r="40" spans="1:36" x14ac:dyDescent="0.2">
      <c r="A40" s="47">
        <v>44600</v>
      </c>
      <c r="B40" s="48">
        <v>8</v>
      </c>
      <c r="C40" s="48">
        <v>39</v>
      </c>
      <c r="D40" s="48">
        <v>3</v>
      </c>
      <c r="E40" s="48" t="s">
        <v>14</v>
      </c>
      <c r="F40" s="48">
        <v>6</v>
      </c>
      <c r="G40" s="48">
        <v>2</v>
      </c>
      <c r="H40" s="48" t="s">
        <v>18</v>
      </c>
      <c r="I40" s="48">
        <v>1</v>
      </c>
      <c r="J40" s="49">
        <v>12</v>
      </c>
      <c r="K40" s="49">
        <v>143</v>
      </c>
      <c r="L40" s="49">
        <v>1721</v>
      </c>
      <c r="M40" s="50">
        <v>0.63</v>
      </c>
      <c r="N40" s="49">
        <v>1092</v>
      </c>
      <c r="O40" s="49">
        <v>629</v>
      </c>
      <c r="P40" s="50">
        <v>0.83</v>
      </c>
      <c r="Q40" s="50">
        <v>0.18</v>
      </c>
      <c r="R40" s="50">
        <v>0.91</v>
      </c>
      <c r="S40" s="50">
        <v>0.12</v>
      </c>
      <c r="T40" s="50">
        <v>0.01</v>
      </c>
      <c r="U40" s="49">
        <v>100</v>
      </c>
      <c r="V40" s="50">
        <v>0.08</v>
      </c>
      <c r="W40" s="50">
        <v>0.05</v>
      </c>
      <c r="X40" s="49">
        <f t="shared" si="0"/>
        <v>86.050000000000011</v>
      </c>
      <c r="Y40" s="49">
        <f t="shared" si="1"/>
        <v>206.51999999999998</v>
      </c>
      <c r="Z40" s="49">
        <f t="shared" si="2"/>
        <v>1428.43</v>
      </c>
      <c r="AA40" s="23" t="s">
        <v>116</v>
      </c>
      <c r="AB40" s="23" t="s">
        <v>116</v>
      </c>
      <c r="AC40" s="23" t="s">
        <v>116</v>
      </c>
      <c r="AD40" s="23" t="s">
        <v>116</v>
      </c>
      <c r="AE40" s="23" t="s">
        <v>116</v>
      </c>
      <c r="AF40" s="23" t="s">
        <v>116</v>
      </c>
      <c r="AG40" s="23" t="s">
        <v>116</v>
      </c>
      <c r="AH40" s="23" t="s">
        <v>116</v>
      </c>
      <c r="AI40" s="52">
        <v>0</v>
      </c>
      <c r="AJ40" s="51">
        <v>629</v>
      </c>
    </row>
    <row r="41" spans="1:36" x14ac:dyDescent="0.2">
      <c r="A41" s="47">
        <v>44601</v>
      </c>
      <c r="B41" s="48">
        <v>9</v>
      </c>
      <c r="C41" s="48">
        <v>40</v>
      </c>
      <c r="D41" s="48">
        <v>4</v>
      </c>
      <c r="E41" s="48" t="s">
        <v>15</v>
      </c>
      <c r="F41" s="48">
        <v>6</v>
      </c>
      <c r="G41" s="48">
        <v>2</v>
      </c>
      <c r="H41" s="48" t="s">
        <v>18</v>
      </c>
      <c r="I41" s="48">
        <v>1</v>
      </c>
      <c r="J41" s="49">
        <v>24</v>
      </c>
      <c r="K41" s="49">
        <v>87</v>
      </c>
      <c r="L41" s="49">
        <v>2081</v>
      </c>
      <c r="M41" s="50">
        <v>1.1200000000000001</v>
      </c>
      <c r="N41" s="49">
        <v>2323</v>
      </c>
      <c r="O41" s="49">
        <v>-242</v>
      </c>
      <c r="P41" s="50">
        <v>1.38</v>
      </c>
      <c r="Q41" s="50">
        <v>0.36</v>
      </c>
      <c r="R41" s="50">
        <v>1.59</v>
      </c>
      <c r="S41" s="50">
        <v>0.39</v>
      </c>
      <c r="T41" s="50">
        <v>0.01</v>
      </c>
      <c r="U41" s="49">
        <v>61</v>
      </c>
      <c r="V41" s="50">
        <v>0.17</v>
      </c>
      <c r="W41" s="50">
        <v>0.04</v>
      </c>
      <c r="X41" s="49">
        <f t="shared" si="0"/>
        <v>83.24</v>
      </c>
      <c r="Y41" s="49">
        <f t="shared" si="1"/>
        <v>811.59</v>
      </c>
      <c r="Z41" s="49">
        <f t="shared" si="2"/>
        <v>1186.17</v>
      </c>
      <c r="AA41" s="23" t="s">
        <v>116</v>
      </c>
      <c r="AB41" s="23" t="s">
        <v>116</v>
      </c>
      <c r="AC41" s="23" t="s">
        <v>116</v>
      </c>
      <c r="AD41" s="23" t="s">
        <v>116</v>
      </c>
      <c r="AE41" s="23" t="s">
        <v>116</v>
      </c>
      <c r="AF41" s="23" t="s">
        <v>116</v>
      </c>
      <c r="AG41" s="23" t="s">
        <v>116</v>
      </c>
      <c r="AH41" s="23" t="s">
        <v>116</v>
      </c>
      <c r="AI41" s="52">
        <v>0</v>
      </c>
      <c r="AJ41" s="51">
        <v>-242</v>
      </c>
    </row>
    <row r="42" spans="1:36" x14ac:dyDescent="0.2">
      <c r="A42" s="47">
        <v>44602</v>
      </c>
      <c r="B42" s="48">
        <v>10</v>
      </c>
      <c r="C42" s="48">
        <v>41</v>
      </c>
      <c r="D42" s="48">
        <v>5</v>
      </c>
      <c r="E42" s="48" t="s">
        <v>16</v>
      </c>
      <c r="F42" s="48">
        <v>6</v>
      </c>
      <c r="G42" s="48">
        <v>2</v>
      </c>
      <c r="H42" s="48" t="s">
        <v>18</v>
      </c>
      <c r="I42" s="48">
        <v>1</v>
      </c>
      <c r="J42" s="49">
        <v>27</v>
      </c>
      <c r="K42" s="49">
        <v>72</v>
      </c>
      <c r="L42" s="49">
        <v>1930</v>
      </c>
      <c r="M42" s="50">
        <v>0.53</v>
      </c>
      <c r="N42" s="49">
        <v>1031</v>
      </c>
      <c r="O42" s="49">
        <v>899</v>
      </c>
      <c r="P42" s="50">
        <v>1.76</v>
      </c>
      <c r="Q42" s="50">
        <v>0.44</v>
      </c>
      <c r="R42" s="50">
        <v>0.76</v>
      </c>
      <c r="S42" s="50">
        <v>0.54</v>
      </c>
      <c r="T42" s="50">
        <v>0.01</v>
      </c>
      <c r="U42" s="49">
        <v>50</v>
      </c>
      <c r="V42" s="50">
        <v>0.13</v>
      </c>
      <c r="W42" s="50">
        <v>0.05</v>
      </c>
      <c r="X42" s="49">
        <f t="shared" si="0"/>
        <v>96.5</v>
      </c>
      <c r="Y42" s="49">
        <f t="shared" si="1"/>
        <v>1042.2</v>
      </c>
      <c r="Z42" s="49">
        <f t="shared" si="2"/>
        <v>791.3</v>
      </c>
      <c r="AA42" s="23" t="s">
        <v>116</v>
      </c>
      <c r="AB42" s="23" t="s">
        <v>116</v>
      </c>
      <c r="AC42" s="23" t="s">
        <v>116</v>
      </c>
      <c r="AD42" s="23">
        <v>300</v>
      </c>
      <c r="AE42" s="23" t="s">
        <v>116</v>
      </c>
      <c r="AF42" s="23" t="s">
        <v>116</v>
      </c>
      <c r="AG42" s="23" t="s">
        <v>116</v>
      </c>
      <c r="AH42" s="23" t="s">
        <v>116</v>
      </c>
      <c r="AI42" s="52">
        <v>300</v>
      </c>
      <c r="AJ42" s="51">
        <v>599</v>
      </c>
    </row>
    <row r="43" spans="1:36" x14ac:dyDescent="0.2">
      <c r="A43" s="47">
        <v>44603</v>
      </c>
      <c r="B43" s="48">
        <v>11</v>
      </c>
      <c r="C43" s="48">
        <v>42</v>
      </c>
      <c r="D43" s="48">
        <v>6</v>
      </c>
      <c r="E43" s="48" t="s">
        <v>17</v>
      </c>
      <c r="F43" s="48">
        <v>6</v>
      </c>
      <c r="G43" s="48">
        <v>2</v>
      </c>
      <c r="H43" s="48" t="s">
        <v>18</v>
      </c>
      <c r="I43" s="48">
        <v>1</v>
      </c>
      <c r="J43" s="49">
        <v>25</v>
      </c>
      <c r="K43" s="49">
        <v>82</v>
      </c>
      <c r="L43" s="49">
        <v>2093</v>
      </c>
      <c r="M43" s="50">
        <v>0.86</v>
      </c>
      <c r="N43" s="49">
        <v>1806</v>
      </c>
      <c r="O43" s="49">
        <v>287</v>
      </c>
      <c r="P43" s="50">
        <v>0.94</v>
      </c>
      <c r="Q43" s="50">
        <v>0.43</v>
      </c>
      <c r="R43" s="50">
        <v>1.23</v>
      </c>
      <c r="S43" s="50">
        <v>0.44</v>
      </c>
      <c r="T43" s="50">
        <v>0.01</v>
      </c>
      <c r="U43" s="49">
        <v>58</v>
      </c>
      <c r="V43" s="50">
        <v>0.12</v>
      </c>
      <c r="W43" s="50">
        <v>0.03</v>
      </c>
      <c r="X43" s="49">
        <f t="shared" si="0"/>
        <v>62.79</v>
      </c>
      <c r="Y43" s="49">
        <f t="shared" si="1"/>
        <v>920.92</v>
      </c>
      <c r="Z43" s="49">
        <f t="shared" si="2"/>
        <v>1109.29</v>
      </c>
      <c r="AA43" s="23" t="s">
        <v>116</v>
      </c>
      <c r="AB43" s="23" t="s">
        <v>116</v>
      </c>
      <c r="AC43" s="23" t="s">
        <v>116</v>
      </c>
      <c r="AD43" s="23" t="s">
        <v>116</v>
      </c>
      <c r="AE43" s="23" t="s">
        <v>116</v>
      </c>
      <c r="AF43" s="23" t="s">
        <v>116</v>
      </c>
      <c r="AG43" s="23" t="s">
        <v>116</v>
      </c>
      <c r="AH43" s="23" t="s">
        <v>116</v>
      </c>
      <c r="AI43" s="52">
        <v>0</v>
      </c>
      <c r="AJ43" s="51">
        <v>287</v>
      </c>
    </row>
    <row r="44" spans="1:36" x14ac:dyDescent="0.2">
      <c r="A44" s="47">
        <v>44604</v>
      </c>
      <c r="B44" s="48">
        <v>12</v>
      </c>
      <c r="C44" s="48">
        <v>43</v>
      </c>
      <c r="D44" s="48">
        <v>7</v>
      </c>
      <c r="E44" s="48" t="s">
        <v>10</v>
      </c>
      <c r="F44" s="48">
        <v>6</v>
      </c>
      <c r="G44" s="48">
        <v>2</v>
      </c>
      <c r="H44" s="48" t="s">
        <v>18</v>
      </c>
      <c r="I44" s="48">
        <v>1</v>
      </c>
      <c r="J44" s="49">
        <v>16</v>
      </c>
      <c r="K44" s="49">
        <v>111</v>
      </c>
      <c r="L44" s="49">
        <v>1738</v>
      </c>
      <c r="M44" s="50">
        <v>0.76</v>
      </c>
      <c r="N44" s="49">
        <v>1324</v>
      </c>
      <c r="O44" s="49">
        <v>414</v>
      </c>
      <c r="P44" s="50">
        <v>1.03</v>
      </c>
      <c r="Q44" s="50">
        <v>0.21</v>
      </c>
      <c r="R44" s="50">
        <v>1.0900000000000001</v>
      </c>
      <c r="S44" s="50">
        <v>0.2</v>
      </c>
      <c r="T44" s="50">
        <v>0.01</v>
      </c>
      <c r="U44" s="49">
        <v>78</v>
      </c>
      <c r="V44" s="50">
        <v>0.18</v>
      </c>
      <c r="W44" s="50">
        <v>0.05</v>
      </c>
      <c r="X44" s="49">
        <f t="shared" si="0"/>
        <v>86.9</v>
      </c>
      <c r="Y44" s="49">
        <f t="shared" si="1"/>
        <v>347.6</v>
      </c>
      <c r="Z44" s="49">
        <f t="shared" si="2"/>
        <v>1303.5</v>
      </c>
      <c r="AA44" s="23" t="s">
        <v>116</v>
      </c>
      <c r="AB44" s="23" t="s">
        <v>116</v>
      </c>
      <c r="AC44" s="23" t="s">
        <v>116</v>
      </c>
      <c r="AD44" s="23" t="s">
        <v>116</v>
      </c>
      <c r="AE44" s="23" t="s">
        <v>116</v>
      </c>
      <c r="AF44" s="23">
        <v>480</v>
      </c>
      <c r="AG44" s="23" t="s">
        <v>116</v>
      </c>
      <c r="AH44" s="23" t="s">
        <v>116</v>
      </c>
      <c r="AI44" s="52">
        <v>480</v>
      </c>
      <c r="AJ44" s="51">
        <v>-66</v>
      </c>
    </row>
    <row r="45" spans="1:36" x14ac:dyDescent="0.2">
      <c r="A45" s="47">
        <v>44605</v>
      </c>
      <c r="B45" s="48">
        <v>13</v>
      </c>
      <c r="C45" s="48">
        <v>44</v>
      </c>
      <c r="D45" s="48">
        <v>1</v>
      </c>
      <c r="E45" s="48" t="s">
        <v>12</v>
      </c>
      <c r="F45" s="48">
        <v>7</v>
      </c>
      <c r="G45" s="48">
        <v>2</v>
      </c>
      <c r="H45" s="48" t="s">
        <v>18</v>
      </c>
      <c r="I45" s="48">
        <v>1</v>
      </c>
      <c r="J45" s="49">
        <v>10</v>
      </c>
      <c r="K45" s="49">
        <v>62</v>
      </c>
      <c r="L45" s="49">
        <v>630</v>
      </c>
      <c r="M45" s="50">
        <v>0.32</v>
      </c>
      <c r="N45" s="49">
        <v>202</v>
      </c>
      <c r="O45" s="49">
        <v>428</v>
      </c>
      <c r="P45" s="50">
        <v>0.94</v>
      </c>
      <c r="Q45" s="50">
        <v>0.28000000000000003</v>
      </c>
      <c r="R45" s="50">
        <v>0.46</v>
      </c>
      <c r="S45" s="50">
        <v>0.24</v>
      </c>
      <c r="T45" s="50">
        <v>0.05</v>
      </c>
      <c r="U45" s="49">
        <v>43</v>
      </c>
      <c r="V45" s="50">
        <v>0.2</v>
      </c>
      <c r="W45" s="50">
        <v>0.06</v>
      </c>
      <c r="X45" s="49">
        <f t="shared" si="0"/>
        <v>37.799999999999997</v>
      </c>
      <c r="Y45" s="49">
        <f t="shared" si="1"/>
        <v>151.19999999999999</v>
      </c>
      <c r="Z45" s="49">
        <f t="shared" si="2"/>
        <v>441</v>
      </c>
      <c r="AA45" s="23" t="s">
        <v>116</v>
      </c>
      <c r="AB45" s="23">
        <v>1000</v>
      </c>
      <c r="AC45" s="23" t="s">
        <v>116</v>
      </c>
      <c r="AD45" s="23" t="s">
        <v>116</v>
      </c>
      <c r="AE45" s="23" t="s">
        <v>116</v>
      </c>
      <c r="AF45" s="23" t="s">
        <v>116</v>
      </c>
      <c r="AG45" s="23" t="s">
        <v>116</v>
      </c>
      <c r="AH45" s="23" t="s">
        <v>116</v>
      </c>
      <c r="AI45" s="52">
        <v>1000</v>
      </c>
      <c r="AJ45" s="51">
        <v>-572</v>
      </c>
    </row>
    <row r="46" spans="1:36" x14ac:dyDescent="0.2">
      <c r="A46" s="47">
        <v>44606</v>
      </c>
      <c r="B46" s="48">
        <v>14</v>
      </c>
      <c r="C46" s="48">
        <v>45</v>
      </c>
      <c r="D46" s="48">
        <v>2</v>
      </c>
      <c r="E46" s="48" t="s">
        <v>13</v>
      </c>
      <c r="F46" s="48">
        <v>7</v>
      </c>
      <c r="G46" s="48">
        <v>2</v>
      </c>
      <c r="H46" s="48" t="s">
        <v>18</v>
      </c>
      <c r="I46" s="48">
        <v>1</v>
      </c>
      <c r="J46" s="49">
        <v>32</v>
      </c>
      <c r="K46" s="49">
        <v>25</v>
      </c>
      <c r="L46" s="49">
        <v>790</v>
      </c>
      <c r="M46" s="50">
        <v>0.85</v>
      </c>
      <c r="N46" s="49">
        <v>672</v>
      </c>
      <c r="O46" s="49">
        <v>118</v>
      </c>
      <c r="P46" s="50">
        <v>4.3099999999999996</v>
      </c>
      <c r="Q46" s="50">
        <v>0.54</v>
      </c>
      <c r="R46" s="50">
        <v>1.22</v>
      </c>
      <c r="S46" s="50">
        <v>1.82</v>
      </c>
      <c r="T46" s="50">
        <v>0.02</v>
      </c>
      <c r="U46" s="49">
        <v>17</v>
      </c>
      <c r="V46" s="50">
        <v>1.46</v>
      </c>
      <c r="W46" s="50">
        <v>0.09</v>
      </c>
      <c r="X46" s="49">
        <f t="shared" si="0"/>
        <v>71.099999999999994</v>
      </c>
      <c r="Y46" s="49">
        <f t="shared" si="1"/>
        <v>1437.8</v>
      </c>
      <c r="Z46" s="49">
        <f t="shared" si="2"/>
        <v>-718.89999999999986</v>
      </c>
      <c r="AA46" s="23" t="s">
        <v>116</v>
      </c>
      <c r="AB46" s="23" t="s">
        <v>116</v>
      </c>
      <c r="AC46" s="23" t="s">
        <v>116</v>
      </c>
      <c r="AD46" s="23" t="s">
        <v>116</v>
      </c>
      <c r="AE46" s="23" t="s">
        <v>116</v>
      </c>
      <c r="AF46" s="23" t="s">
        <v>116</v>
      </c>
      <c r="AG46" s="23" t="s">
        <v>116</v>
      </c>
      <c r="AH46" s="23" t="s">
        <v>116</v>
      </c>
      <c r="AI46" s="52">
        <v>0</v>
      </c>
      <c r="AJ46" s="51">
        <v>118</v>
      </c>
    </row>
    <row r="47" spans="1:36" x14ac:dyDescent="0.2">
      <c r="A47" s="47">
        <v>44607</v>
      </c>
      <c r="B47" s="48">
        <v>15</v>
      </c>
      <c r="C47" s="48">
        <v>46</v>
      </c>
      <c r="D47" s="48">
        <v>3</v>
      </c>
      <c r="E47" s="48" t="s">
        <v>14</v>
      </c>
      <c r="F47" s="48">
        <v>7</v>
      </c>
      <c r="G47" s="48">
        <v>2</v>
      </c>
      <c r="H47" s="48" t="s">
        <v>18</v>
      </c>
      <c r="I47" s="48">
        <v>1</v>
      </c>
      <c r="J47" s="49">
        <v>6</v>
      </c>
      <c r="K47" s="49">
        <v>120</v>
      </c>
      <c r="L47" s="49">
        <v>685</v>
      </c>
      <c r="M47" s="50">
        <v>0.88</v>
      </c>
      <c r="N47" s="49">
        <v>600</v>
      </c>
      <c r="O47" s="49">
        <v>85</v>
      </c>
      <c r="P47" s="50">
        <v>0.65</v>
      </c>
      <c r="Q47" s="50">
        <v>7.0000000000000007E-2</v>
      </c>
      <c r="R47" s="50">
        <v>1.25</v>
      </c>
      <c r="S47" s="50">
        <v>7.0000000000000007E-2</v>
      </c>
      <c r="T47" s="50">
        <v>0.02</v>
      </c>
      <c r="U47" s="49">
        <v>84</v>
      </c>
      <c r="V47" s="50">
        <v>0.17</v>
      </c>
      <c r="W47" s="50">
        <v>0.08</v>
      </c>
      <c r="X47" s="49">
        <f t="shared" si="0"/>
        <v>54.800000000000004</v>
      </c>
      <c r="Y47" s="49">
        <f t="shared" si="1"/>
        <v>47.95</v>
      </c>
      <c r="Z47" s="49">
        <f t="shared" si="2"/>
        <v>582.25</v>
      </c>
      <c r="AA47" s="23" t="s">
        <v>116</v>
      </c>
      <c r="AB47" s="23" t="s">
        <v>116</v>
      </c>
      <c r="AC47" s="23">
        <v>300</v>
      </c>
      <c r="AD47" s="23" t="s">
        <v>116</v>
      </c>
      <c r="AE47" s="23" t="s">
        <v>116</v>
      </c>
      <c r="AF47" s="23" t="s">
        <v>116</v>
      </c>
      <c r="AG47" s="23" t="s">
        <v>116</v>
      </c>
      <c r="AH47" s="23" t="s">
        <v>116</v>
      </c>
      <c r="AI47" s="52">
        <v>300</v>
      </c>
      <c r="AJ47" s="51">
        <v>-215</v>
      </c>
    </row>
    <row r="48" spans="1:36" x14ac:dyDescent="0.2">
      <c r="A48" s="47">
        <v>44608</v>
      </c>
      <c r="B48" s="48">
        <v>16</v>
      </c>
      <c r="C48" s="48">
        <v>47</v>
      </c>
      <c r="D48" s="48">
        <v>4</v>
      </c>
      <c r="E48" s="48" t="s">
        <v>15</v>
      </c>
      <c r="F48" s="48">
        <v>7</v>
      </c>
      <c r="G48" s="48">
        <v>2</v>
      </c>
      <c r="H48" s="48" t="s">
        <v>18</v>
      </c>
      <c r="I48" s="48">
        <v>1</v>
      </c>
      <c r="J48" s="49">
        <v>24</v>
      </c>
      <c r="K48" s="49">
        <v>79</v>
      </c>
      <c r="L48" s="49">
        <v>1913</v>
      </c>
      <c r="M48" s="50">
        <v>0.81</v>
      </c>
      <c r="N48" s="49">
        <v>1547</v>
      </c>
      <c r="O48" s="49">
        <v>366</v>
      </c>
      <c r="P48" s="50">
        <v>1.2</v>
      </c>
      <c r="Q48" s="50">
        <v>0.28999999999999998</v>
      </c>
      <c r="R48" s="50">
        <v>1.1599999999999999</v>
      </c>
      <c r="S48" s="50">
        <v>0.44</v>
      </c>
      <c r="T48" s="50">
        <v>0.01</v>
      </c>
      <c r="U48" s="49">
        <v>55</v>
      </c>
      <c r="V48" s="50">
        <v>0.35</v>
      </c>
      <c r="W48" s="50">
        <v>0.03</v>
      </c>
      <c r="X48" s="49">
        <f t="shared" si="0"/>
        <v>57.39</v>
      </c>
      <c r="Y48" s="49">
        <f t="shared" si="1"/>
        <v>841.72</v>
      </c>
      <c r="Z48" s="49">
        <f t="shared" si="2"/>
        <v>1013.89</v>
      </c>
      <c r="AA48" s="23" t="s">
        <v>116</v>
      </c>
      <c r="AB48" s="23" t="s">
        <v>116</v>
      </c>
      <c r="AC48" s="23" t="s">
        <v>116</v>
      </c>
      <c r="AD48" s="23" t="s">
        <v>116</v>
      </c>
      <c r="AE48" s="23" t="s">
        <v>116</v>
      </c>
      <c r="AF48" s="23" t="s">
        <v>116</v>
      </c>
      <c r="AG48" s="23" t="s">
        <v>116</v>
      </c>
      <c r="AH48" s="23" t="s">
        <v>116</v>
      </c>
      <c r="AI48" s="52">
        <v>0</v>
      </c>
      <c r="AJ48" s="51">
        <v>366</v>
      </c>
    </row>
    <row r="49" spans="1:36" x14ac:dyDescent="0.2">
      <c r="A49" s="47">
        <v>44609</v>
      </c>
      <c r="B49" s="48">
        <v>17</v>
      </c>
      <c r="C49" s="48">
        <v>48</v>
      </c>
      <c r="D49" s="48">
        <v>5</v>
      </c>
      <c r="E49" s="48" t="s">
        <v>16</v>
      </c>
      <c r="F49" s="48">
        <v>7</v>
      </c>
      <c r="G49" s="48">
        <v>2</v>
      </c>
      <c r="H49" s="48" t="s">
        <v>18</v>
      </c>
      <c r="I49" s="48">
        <v>1</v>
      </c>
      <c r="J49" s="49">
        <v>21</v>
      </c>
      <c r="K49" s="49">
        <v>176</v>
      </c>
      <c r="L49" s="49">
        <v>3666</v>
      </c>
      <c r="M49" s="50">
        <v>0.94</v>
      </c>
      <c r="N49" s="49">
        <v>3446</v>
      </c>
      <c r="O49" s="49">
        <v>220</v>
      </c>
      <c r="P49" s="50">
        <v>0.66</v>
      </c>
      <c r="Q49" s="50">
        <v>0.31</v>
      </c>
      <c r="R49" s="50">
        <v>1.34</v>
      </c>
      <c r="S49" s="50">
        <v>0.17</v>
      </c>
      <c r="T49" s="50">
        <v>0</v>
      </c>
      <c r="U49" s="49">
        <v>123</v>
      </c>
      <c r="V49" s="50">
        <v>0.09</v>
      </c>
      <c r="W49" s="50">
        <v>0.02</v>
      </c>
      <c r="X49" s="49">
        <f t="shared" si="0"/>
        <v>73.320000000000007</v>
      </c>
      <c r="Y49" s="49">
        <f t="shared" si="1"/>
        <v>623.22</v>
      </c>
      <c r="Z49" s="49">
        <f t="shared" si="2"/>
        <v>2969.46</v>
      </c>
      <c r="AA49" s="23" t="s">
        <v>116</v>
      </c>
      <c r="AB49" s="23" t="s">
        <v>116</v>
      </c>
      <c r="AC49" s="23" t="s">
        <v>116</v>
      </c>
      <c r="AD49" s="23" t="s">
        <v>116</v>
      </c>
      <c r="AE49" s="23" t="s">
        <v>116</v>
      </c>
      <c r="AF49" s="23" t="s">
        <v>116</v>
      </c>
      <c r="AG49" s="23" t="s">
        <v>116</v>
      </c>
      <c r="AH49" s="23" t="s">
        <v>116</v>
      </c>
      <c r="AI49" s="52">
        <v>0</v>
      </c>
      <c r="AJ49" s="51">
        <v>220</v>
      </c>
    </row>
    <row r="50" spans="1:36" x14ac:dyDescent="0.2">
      <c r="A50" s="47">
        <v>44610</v>
      </c>
      <c r="B50" s="48">
        <v>18</v>
      </c>
      <c r="C50" s="48">
        <v>49</v>
      </c>
      <c r="D50" s="48">
        <v>6</v>
      </c>
      <c r="E50" s="48" t="s">
        <v>17</v>
      </c>
      <c r="F50" s="48">
        <v>7</v>
      </c>
      <c r="G50" s="48">
        <v>2</v>
      </c>
      <c r="H50" s="48" t="s">
        <v>18</v>
      </c>
      <c r="I50" s="48">
        <v>1</v>
      </c>
      <c r="J50" s="49">
        <v>34</v>
      </c>
      <c r="K50" s="49">
        <v>130</v>
      </c>
      <c r="L50" s="49">
        <v>4486</v>
      </c>
      <c r="M50" s="50">
        <v>1.06</v>
      </c>
      <c r="N50" s="49">
        <v>4766</v>
      </c>
      <c r="O50" s="49">
        <v>-280</v>
      </c>
      <c r="P50" s="50">
        <v>1.1000000000000001</v>
      </c>
      <c r="Q50" s="50">
        <v>0.64</v>
      </c>
      <c r="R50" s="50">
        <v>1.52</v>
      </c>
      <c r="S50" s="50">
        <v>0.38</v>
      </c>
      <c r="T50" s="50">
        <v>0</v>
      </c>
      <c r="U50" s="49">
        <v>91</v>
      </c>
      <c r="V50" s="50">
        <v>0.19</v>
      </c>
      <c r="W50" s="50">
        <v>0.02</v>
      </c>
      <c r="X50" s="49">
        <f t="shared" si="0"/>
        <v>89.72</v>
      </c>
      <c r="Y50" s="49">
        <f t="shared" si="1"/>
        <v>1704.68</v>
      </c>
      <c r="Z50" s="49">
        <f t="shared" si="2"/>
        <v>2691.6</v>
      </c>
      <c r="AA50" s="23" t="s">
        <v>116</v>
      </c>
      <c r="AB50" s="23" t="s">
        <v>116</v>
      </c>
      <c r="AC50" s="23" t="s">
        <v>116</v>
      </c>
      <c r="AD50" s="23" t="s">
        <v>116</v>
      </c>
      <c r="AE50" s="23" t="s">
        <v>116</v>
      </c>
      <c r="AF50" s="23" t="s">
        <v>116</v>
      </c>
      <c r="AG50" s="23" t="s">
        <v>116</v>
      </c>
      <c r="AH50" s="23" t="s">
        <v>116</v>
      </c>
      <c r="AI50" s="52">
        <v>0</v>
      </c>
      <c r="AJ50" s="51">
        <v>-280</v>
      </c>
    </row>
    <row r="51" spans="1:36" x14ac:dyDescent="0.2">
      <c r="A51" s="47">
        <v>44611</v>
      </c>
      <c r="B51" s="48">
        <v>19</v>
      </c>
      <c r="C51" s="48">
        <v>50</v>
      </c>
      <c r="D51" s="48">
        <v>7</v>
      </c>
      <c r="E51" s="48" t="s">
        <v>10</v>
      </c>
      <c r="F51" s="48">
        <v>7</v>
      </c>
      <c r="G51" s="48">
        <v>2</v>
      </c>
      <c r="H51" s="48" t="s">
        <v>18</v>
      </c>
      <c r="I51" s="48">
        <v>1</v>
      </c>
      <c r="J51" s="49">
        <v>22</v>
      </c>
      <c r="K51" s="49">
        <v>69</v>
      </c>
      <c r="L51" s="49">
        <v>1529</v>
      </c>
      <c r="M51" s="50">
        <v>0.53</v>
      </c>
      <c r="N51" s="49">
        <v>812</v>
      </c>
      <c r="O51" s="49">
        <v>718</v>
      </c>
      <c r="P51" s="50">
        <v>2.78</v>
      </c>
      <c r="Q51" s="50">
        <v>0.4</v>
      </c>
      <c r="R51" s="50">
        <v>0.76</v>
      </c>
      <c r="S51" s="50">
        <v>0.46</v>
      </c>
      <c r="T51" s="50">
        <v>0.01</v>
      </c>
      <c r="U51" s="49">
        <v>48</v>
      </c>
      <c r="V51" s="50">
        <v>0.25</v>
      </c>
      <c r="W51" s="50">
        <v>0.09</v>
      </c>
      <c r="X51" s="49">
        <f t="shared" si="0"/>
        <v>137.60999999999999</v>
      </c>
      <c r="Y51" s="49">
        <f t="shared" si="1"/>
        <v>703.34</v>
      </c>
      <c r="Z51" s="49">
        <f t="shared" si="2"/>
        <v>688.05</v>
      </c>
      <c r="AA51" s="23" t="s">
        <v>116</v>
      </c>
      <c r="AB51" s="23" t="s">
        <v>116</v>
      </c>
      <c r="AC51" s="23" t="s">
        <v>116</v>
      </c>
      <c r="AD51" s="23" t="s">
        <v>116</v>
      </c>
      <c r="AE51" s="23" t="s">
        <v>116</v>
      </c>
      <c r="AF51" s="23" t="s">
        <v>116</v>
      </c>
      <c r="AG51" s="23" t="s">
        <v>116</v>
      </c>
      <c r="AH51" s="23" t="s">
        <v>116</v>
      </c>
      <c r="AI51" s="52">
        <v>0</v>
      </c>
      <c r="AJ51" s="51">
        <v>718</v>
      </c>
    </row>
    <row r="52" spans="1:36" x14ac:dyDescent="0.2">
      <c r="A52" s="47">
        <v>44612</v>
      </c>
      <c r="B52" s="48">
        <v>20</v>
      </c>
      <c r="C52" s="48">
        <v>51</v>
      </c>
      <c r="D52" s="48">
        <v>1</v>
      </c>
      <c r="E52" s="48" t="s">
        <v>12</v>
      </c>
      <c r="F52" s="48">
        <v>8</v>
      </c>
      <c r="G52" s="48">
        <v>2</v>
      </c>
      <c r="H52" s="48" t="s">
        <v>18</v>
      </c>
      <c r="I52" s="48">
        <v>1</v>
      </c>
      <c r="J52" s="49">
        <v>6</v>
      </c>
      <c r="K52" s="49">
        <v>66</v>
      </c>
      <c r="L52" s="49">
        <v>406</v>
      </c>
      <c r="M52" s="50">
        <v>0.31</v>
      </c>
      <c r="N52" s="49">
        <v>126</v>
      </c>
      <c r="O52" s="49">
        <v>280</v>
      </c>
      <c r="P52" s="50">
        <v>1.02</v>
      </c>
      <c r="Q52" s="50">
        <v>0.16</v>
      </c>
      <c r="R52" s="50">
        <v>0.44</v>
      </c>
      <c r="S52" s="50">
        <v>0.13</v>
      </c>
      <c r="T52" s="50">
        <v>7.0000000000000007E-2</v>
      </c>
      <c r="U52" s="49">
        <v>47</v>
      </c>
      <c r="V52" s="50">
        <v>0.21</v>
      </c>
      <c r="W52" s="50">
        <v>0.12</v>
      </c>
      <c r="X52" s="49">
        <f t="shared" si="0"/>
        <v>48.72</v>
      </c>
      <c r="Y52" s="49">
        <f t="shared" si="1"/>
        <v>52.78</v>
      </c>
      <c r="Z52" s="49">
        <f t="shared" si="2"/>
        <v>304.5</v>
      </c>
      <c r="AA52" s="23" t="s">
        <v>116</v>
      </c>
      <c r="AB52" s="23">
        <v>1000</v>
      </c>
      <c r="AC52" s="23" t="s">
        <v>116</v>
      </c>
      <c r="AD52" s="23" t="s">
        <v>116</v>
      </c>
      <c r="AE52" s="23">
        <v>100</v>
      </c>
      <c r="AF52" s="23" t="s">
        <v>116</v>
      </c>
      <c r="AG52" s="23" t="s">
        <v>116</v>
      </c>
      <c r="AH52" s="23" t="s">
        <v>116</v>
      </c>
      <c r="AI52" s="52">
        <v>1100</v>
      </c>
      <c r="AJ52" s="51">
        <v>-820</v>
      </c>
    </row>
    <row r="53" spans="1:36" x14ac:dyDescent="0.2">
      <c r="A53" s="47">
        <v>44613</v>
      </c>
      <c r="B53" s="48">
        <v>21</v>
      </c>
      <c r="C53" s="48">
        <v>52</v>
      </c>
      <c r="D53" s="48">
        <v>2</v>
      </c>
      <c r="E53" s="48" t="s">
        <v>13</v>
      </c>
      <c r="F53" s="48">
        <v>8</v>
      </c>
      <c r="G53" s="48">
        <v>2</v>
      </c>
      <c r="H53" s="48" t="s">
        <v>18</v>
      </c>
      <c r="I53" s="48">
        <v>1</v>
      </c>
      <c r="J53" s="49">
        <v>20</v>
      </c>
      <c r="K53" s="49">
        <v>128</v>
      </c>
      <c r="L53" s="49">
        <v>2540</v>
      </c>
      <c r="M53" s="50">
        <v>0.85</v>
      </c>
      <c r="N53" s="49">
        <v>2170</v>
      </c>
      <c r="O53" s="49">
        <v>370</v>
      </c>
      <c r="P53" s="50">
        <v>0.99</v>
      </c>
      <c r="Q53" s="50">
        <v>0.27</v>
      </c>
      <c r="R53" s="50">
        <v>1.22</v>
      </c>
      <c r="S53" s="50">
        <v>0.22</v>
      </c>
      <c r="T53" s="50">
        <v>0.01</v>
      </c>
      <c r="U53" s="49">
        <v>90</v>
      </c>
      <c r="V53" s="50">
        <v>0.18</v>
      </c>
      <c r="W53" s="50">
        <v>0.04</v>
      </c>
      <c r="X53" s="49">
        <f t="shared" si="0"/>
        <v>101.60000000000001</v>
      </c>
      <c r="Y53" s="49">
        <f t="shared" si="1"/>
        <v>558.79999999999995</v>
      </c>
      <c r="Z53" s="49">
        <f t="shared" si="2"/>
        <v>1879.6</v>
      </c>
      <c r="AA53" s="23" t="s">
        <v>116</v>
      </c>
      <c r="AB53" s="23" t="s">
        <v>116</v>
      </c>
      <c r="AC53" s="23" t="s">
        <v>116</v>
      </c>
      <c r="AD53" s="23" t="s">
        <v>116</v>
      </c>
      <c r="AE53" s="23" t="s">
        <v>116</v>
      </c>
      <c r="AF53" s="23" t="s">
        <v>116</v>
      </c>
      <c r="AG53" s="23" t="s">
        <v>116</v>
      </c>
      <c r="AH53" s="23" t="s">
        <v>116</v>
      </c>
      <c r="AI53" s="52">
        <v>0</v>
      </c>
      <c r="AJ53" s="51">
        <v>370</v>
      </c>
    </row>
    <row r="54" spans="1:36" x14ac:dyDescent="0.2">
      <c r="A54" s="47">
        <v>44614</v>
      </c>
      <c r="B54" s="48">
        <v>22</v>
      </c>
      <c r="C54" s="48">
        <v>53</v>
      </c>
      <c r="D54" s="48">
        <v>3</v>
      </c>
      <c r="E54" s="48" t="s">
        <v>14</v>
      </c>
      <c r="F54" s="48">
        <v>8</v>
      </c>
      <c r="G54" s="48">
        <v>2</v>
      </c>
      <c r="H54" s="48" t="s">
        <v>18</v>
      </c>
      <c r="I54" s="48">
        <v>1</v>
      </c>
      <c r="J54" s="49">
        <v>10</v>
      </c>
      <c r="K54" s="49">
        <v>130</v>
      </c>
      <c r="L54" s="49">
        <v>1323</v>
      </c>
      <c r="M54" s="50">
        <v>0.99</v>
      </c>
      <c r="N54" s="49">
        <v>1310</v>
      </c>
      <c r="O54" s="49">
        <v>12</v>
      </c>
      <c r="P54" s="50">
        <v>0.84</v>
      </c>
      <c r="Q54" s="50">
        <v>0.13</v>
      </c>
      <c r="R54" s="50">
        <v>1.42</v>
      </c>
      <c r="S54" s="50">
        <v>0.11</v>
      </c>
      <c r="T54" s="50">
        <v>0.01</v>
      </c>
      <c r="U54" s="49">
        <v>91</v>
      </c>
      <c r="V54" s="50">
        <v>0.03</v>
      </c>
      <c r="W54" s="50">
        <v>0.06</v>
      </c>
      <c r="X54" s="49">
        <f t="shared" si="0"/>
        <v>79.38</v>
      </c>
      <c r="Y54" s="49">
        <f t="shared" si="1"/>
        <v>145.53</v>
      </c>
      <c r="Z54" s="49">
        <f t="shared" si="2"/>
        <v>1098.0899999999999</v>
      </c>
      <c r="AA54" s="23" t="s">
        <v>116</v>
      </c>
      <c r="AB54" s="23" t="s">
        <v>116</v>
      </c>
      <c r="AC54" s="23" t="s">
        <v>116</v>
      </c>
      <c r="AD54" s="23" t="s">
        <v>116</v>
      </c>
      <c r="AE54" s="23" t="s">
        <v>116</v>
      </c>
      <c r="AF54" s="23" t="s">
        <v>116</v>
      </c>
      <c r="AG54" s="23" t="s">
        <v>116</v>
      </c>
      <c r="AH54" s="23" t="s">
        <v>116</v>
      </c>
      <c r="AI54" s="52">
        <v>0</v>
      </c>
      <c r="AJ54" s="51">
        <v>12</v>
      </c>
    </row>
    <row r="55" spans="1:36" x14ac:dyDescent="0.2">
      <c r="A55" s="47">
        <v>44615</v>
      </c>
      <c r="B55" s="48">
        <v>23</v>
      </c>
      <c r="C55" s="48">
        <v>54</v>
      </c>
      <c r="D55" s="48">
        <v>4</v>
      </c>
      <c r="E55" s="48" t="s">
        <v>15</v>
      </c>
      <c r="F55" s="48">
        <v>8</v>
      </c>
      <c r="G55" s="48">
        <v>2</v>
      </c>
      <c r="H55" s="48" t="s">
        <v>18</v>
      </c>
      <c r="I55" s="48">
        <v>1</v>
      </c>
      <c r="J55" s="49">
        <v>27</v>
      </c>
      <c r="K55" s="49">
        <v>105</v>
      </c>
      <c r="L55" s="49">
        <v>2865</v>
      </c>
      <c r="M55" s="50">
        <v>0.85</v>
      </c>
      <c r="N55" s="49">
        <v>2425</v>
      </c>
      <c r="O55" s="49">
        <v>440</v>
      </c>
      <c r="P55" s="50">
        <v>1.34</v>
      </c>
      <c r="Q55" s="50">
        <v>0.36</v>
      </c>
      <c r="R55" s="50">
        <v>1.21</v>
      </c>
      <c r="S55" s="50">
        <v>0.37</v>
      </c>
      <c r="T55" s="50">
        <v>0</v>
      </c>
      <c r="U55" s="49">
        <v>73</v>
      </c>
      <c r="V55" s="50">
        <v>0.38</v>
      </c>
      <c r="W55" s="50">
        <v>0.03</v>
      </c>
      <c r="X55" s="49">
        <f t="shared" si="0"/>
        <v>85.95</v>
      </c>
      <c r="Y55" s="49">
        <f t="shared" si="1"/>
        <v>1060.05</v>
      </c>
      <c r="Z55" s="49">
        <f t="shared" si="2"/>
        <v>1719</v>
      </c>
      <c r="AA55" s="23" t="s">
        <v>116</v>
      </c>
      <c r="AB55" s="23" t="s">
        <v>116</v>
      </c>
      <c r="AC55" s="23" t="s">
        <v>116</v>
      </c>
      <c r="AD55" s="23" t="s">
        <v>116</v>
      </c>
      <c r="AE55" s="23" t="s">
        <v>116</v>
      </c>
      <c r="AF55" s="23" t="s">
        <v>116</v>
      </c>
      <c r="AG55" s="23" t="s">
        <v>116</v>
      </c>
      <c r="AH55" s="23" t="s">
        <v>116</v>
      </c>
      <c r="AI55" s="52">
        <v>0</v>
      </c>
      <c r="AJ55" s="51">
        <v>440</v>
      </c>
    </row>
    <row r="56" spans="1:36" x14ac:dyDescent="0.2">
      <c r="A56" s="47">
        <v>44616</v>
      </c>
      <c r="B56" s="48">
        <v>24</v>
      </c>
      <c r="C56" s="48">
        <v>55</v>
      </c>
      <c r="D56" s="48">
        <v>5</v>
      </c>
      <c r="E56" s="48" t="s">
        <v>16</v>
      </c>
      <c r="F56" s="48">
        <v>8</v>
      </c>
      <c r="G56" s="48">
        <v>2</v>
      </c>
      <c r="H56" s="48" t="s">
        <v>18</v>
      </c>
      <c r="I56" s="48">
        <v>1</v>
      </c>
      <c r="J56" s="49">
        <v>37</v>
      </c>
      <c r="K56" s="49">
        <v>91</v>
      </c>
      <c r="L56" s="49">
        <v>3324</v>
      </c>
      <c r="M56" s="50">
        <v>0.88</v>
      </c>
      <c r="N56" s="49">
        <v>2939</v>
      </c>
      <c r="O56" s="49">
        <v>385</v>
      </c>
      <c r="P56" s="50">
        <v>0.41</v>
      </c>
      <c r="Q56" s="50">
        <v>0.39</v>
      </c>
      <c r="R56" s="50">
        <v>1.26</v>
      </c>
      <c r="S56" s="50">
        <v>0.57999999999999996</v>
      </c>
      <c r="T56" s="50">
        <v>0</v>
      </c>
      <c r="U56" s="49">
        <v>63</v>
      </c>
      <c r="V56" s="50">
        <v>0.35</v>
      </c>
      <c r="W56" s="50">
        <v>0.01</v>
      </c>
      <c r="X56" s="49">
        <f t="shared" si="0"/>
        <v>33.24</v>
      </c>
      <c r="Y56" s="49">
        <f t="shared" si="1"/>
        <v>1927.9199999999998</v>
      </c>
      <c r="Z56" s="49">
        <f t="shared" si="2"/>
        <v>1362.8400000000001</v>
      </c>
      <c r="AA56" s="23" t="s">
        <v>116</v>
      </c>
      <c r="AB56" s="23" t="s">
        <v>116</v>
      </c>
      <c r="AC56" s="23" t="s">
        <v>116</v>
      </c>
      <c r="AD56" s="23" t="s">
        <v>116</v>
      </c>
      <c r="AE56" s="23" t="s">
        <v>116</v>
      </c>
      <c r="AF56" s="23" t="s">
        <v>116</v>
      </c>
      <c r="AG56" s="23" t="s">
        <v>116</v>
      </c>
      <c r="AH56" s="23" t="s">
        <v>116</v>
      </c>
      <c r="AI56" s="52">
        <v>0</v>
      </c>
      <c r="AJ56" s="51">
        <v>385</v>
      </c>
    </row>
    <row r="57" spans="1:36" x14ac:dyDescent="0.2">
      <c r="A57" s="47">
        <v>44617</v>
      </c>
      <c r="B57" s="48">
        <v>25</v>
      </c>
      <c r="C57" s="48">
        <v>56</v>
      </c>
      <c r="D57" s="48">
        <v>6</v>
      </c>
      <c r="E57" s="48" t="s">
        <v>17</v>
      </c>
      <c r="F57" s="48">
        <v>8</v>
      </c>
      <c r="G57" s="48">
        <v>2</v>
      </c>
      <c r="H57" s="48" t="s">
        <v>18</v>
      </c>
      <c r="I57" s="48">
        <v>1</v>
      </c>
      <c r="J57" s="49">
        <v>7</v>
      </c>
      <c r="K57" s="49">
        <v>151</v>
      </c>
      <c r="L57" s="49">
        <v>1039</v>
      </c>
      <c r="M57" s="50">
        <v>0.96</v>
      </c>
      <c r="N57" s="49">
        <v>995</v>
      </c>
      <c r="O57" s="49">
        <v>44</v>
      </c>
      <c r="P57" s="50">
        <v>1.1299999999999999</v>
      </c>
      <c r="Q57" s="50">
        <v>0.08</v>
      </c>
      <c r="R57" s="50">
        <v>1.37</v>
      </c>
      <c r="S57" s="50">
        <v>7.0000000000000007E-2</v>
      </c>
      <c r="T57" s="50">
        <v>0.01</v>
      </c>
      <c r="U57" s="49">
        <v>106</v>
      </c>
      <c r="V57" s="50">
        <v>0.22</v>
      </c>
      <c r="W57" s="50">
        <v>0.11</v>
      </c>
      <c r="X57" s="49">
        <f t="shared" si="0"/>
        <v>114.29</v>
      </c>
      <c r="Y57" s="49">
        <f t="shared" si="1"/>
        <v>72.73</v>
      </c>
      <c r="Z57" s="49">
        <f t="shared" si="2"/>
        <v>851.98</v>
      </c>
      <c r="AA57" s="23" t="s">
        <v>116</v>
      </c>
      <c r="AB57" s="23" t="s">
        <v>116</v>
      </c>
      <c r="AC57" s="23" t="s">
        <v>116</v>
      </c>
      <c r="AD57" s="23" t="s">
        <v>116</v>
      </c>
      <c r="AE57" s="23" t="s">
        <v>116</v>
      </c>
      <c r="AF57" s="23" t="s">
        <v>116</v>
      </c>
      <c r="AG57" s="23">
        <v>83</v>
      </c>
      <c r="AH57" s="23" t="s">
        <v>116</v>
      </c>
      <c r="AI57" s="52">
        <v>83</v>
      </c>
      <c r="AJ57" s="51">
        <v>-39</v>
      </c>
    </row>
    <row r="58" spans="1:36" x14ac:dyDescent="0.2">
      <c r="A58" s="47">
        <v>44618</v>
      </c>
      <c r="B58" s="48">
        <v>26</v>
      </c>
      <c r="C58" s="48">
        <v>57</v>
      </c>
      <c r="D58" s="48">
        <v>7</v>
      </c>
      <c r="E58" s="48" t="s">
        <v>10</v>
      </c>
      <c r="F58" s="48">
        <v>8</v>
      </c>
      <c r="G58" s="48">
        <v>2</v>
      </c>
      <c r="H58" s="48" t="s">
        <v>18</v>
      </c>
      <c r="I58" s="48">
        <v>1</v>
      </c>
      <c r="J58" s="49">
        <v>20</v>
      </c>
      <c r="K58" s="49">
        <v>92</v>
      </c>
      <c r="L58" s="49">
        <v>1848</v>
      </c>
      <c r="M58" s="50">
        <v>1.02</v>
      </c>
      <c r="N58" s="49">
        <v>1877</v>
      </c>
      <c r="O58" s="49">
        <v>-29</v>
      </c>
      <c r="P58" s="50">
        <v>0.82</v>
      </c>
      <c r="Q58" s="50">
        <v>0.22</v>
      </c>
      <c r="R58" s="50">
        <v>1.45</v>
      </c>
      <c r="S58" s="50">
        <v>0.31</v>
      </c>
      <c r="T58" s="50">
        <v>0.01</v>
      </c>
      <c r="U58" s="49">
        <v>64</v>
      </c>
      <c r="V58" s="50">
        <v>0.28999999999999998</v>
      </c>
      <c r="W58" s="50">
        <v>0.03</v>
      </c>
      <c r="X58" s="49">
        <f t="shared" si="0"/>
        <v>55.44</v>
      </c>
      <c r="Y58" s="49">
        <f t="shared" si="1"/>
        <v>572.88</v>
      </c>
      <c r="Z58" s="49">
        <f t="shared" si="2"/>
        <v>1219.68</v>
      </c>
      <c r="AA58" s="23" t="s">
        <v>116</v>
      </c>
      <c r="AB58" s="23" t="s">
        <v>116</v>
      </c>
      <c r="AC58" s="23" t="s">
        <v>116</v>
      </c>
      <c r="AD58" s="23" t="s">
        <v>116</v>
      </c>
      <c r="AE58" s="23" t="s">
        <v>116</v>
      </c>
      <c r="AF58" s="23" t="s">
        <v>116</v>
      </c>
      <c r="AG58" s="23" t="s">
        <v>116</v>
      </c>
      <c r="AH58" s="23" t="s">
        <v>116</v>
      </c>
      <c r="AI58" s="52">
        <v>0</v>
      </c>
      <c r="AJ58" s="51">
        <v>-29</v>
      </c>
    </row>
    <row r="59" spans="1:36" x14ac:dyDescent="0.2">
      <c r="A59" s="47">
        <v>44619</v>
      </c>
      <c r="B59" s="48">
        <v>27</v>
      </c>
      <c r="C59" s="48">
        <v>58</v>
      </c>
      <c r="D59" s="48">
        <v>1</v>
      </c>
      <c r="E59" s="48" t="s">
        <v>12</v>
      </c>
      <c r="F59" s="48">
        <v>9</v>
      </c>
      <c r="G59" s="48">
        <v>2</v>
      </c>
      <c r="H59" s="48" t="s">
        <v>18</v>
      </c>
      <c r="I59" s="48">
        <v>1</v>
      </c>
      <c r="J59" s="49">
        <v>12</v>
      </c>
      <c r="K59" s="49">
        <v>40</v>
      </c>
      <c r="L59" s="49">
        <v>493</v>
      </c>
      <c r="M59" s="50">
        <v>0.42</v>
      </c>
      <c r="N59" s="49">
        <v>209</v>
      </c>
      <c r="O59" s="49">
        <v>284</v>
      </c>
      <c r="P59" s="50">
        <v>1.25</v>
      </c>
      <c r="Q59" s="50">
        <v>0.42</v>
      </c>
      <c r="R59" s="50">
        <v>0.61</v>
      </c>
      <c r="S59" s="50">
        <v>0.43</v>
      </c>
      <c r="T59" s="50">
        <v>0.06</v>
      </c>
      <c r="U59" s="49">
        <v>28</v>
      </c>
      <c r="V59" s="50">
        <v>0.36</v>
      </c>
      <c r="W59" s="50">
        <v>7.0000000000000007E-2</v>
      </c>
      <c r="X59" s="49">
        <f t="shared" si="0"/>
        <v>34.510000000000005</v>
      </c>
      <c r="Y59" s="49">
        <f t="shared" si="1"/>
        <v>211.99</v>
      </c>
      <c r="Z59" s="49">
        <f t="shared" si="2"/>
        <v>246.5</v>
      </c>
      <c r="AA59" s="23" t="s">
        <v>116</v>
      </c>
      <c r="AB59" s="23">
        <v>1000</v>
      </c>
      <c r="AC59" s="23" t="s">
        <v>116</v>
      </c>
      <c r="AD59" s="23" t="s">
        <v>116</v>
      </c>
      <c r="AE59" s="23" t="s">
        <v>116</v>
      </c>
      <c r="AF59" s="23" t="s">
        <v>116</v>
      </c>
      <c r="AG59" s="23" t="s">
        <v>116</v>
      </c>
      <c r="AH59" s="23" t="s">
        <v>116</v>
      </c>
      <c r="AI59" s="52">
        <v>1000</v>
      </c>
      <c r="AJ59" s="51">
        <v>-716</v>
      </c>
    </row>
    <row r="60" spans="1:36" x14ac:dyDescent="0.2">
      <c r="A60" s="47">
        <v>44620</v>
      </c>
      <c r="B60" s="48">
        <v>28</v>
      </c>
      <c r="C60" s="48">
        <v>59</v>
      </c>
      <c r="D60" s="48">
        <v>2</v>
      </c>
      <c r="E60" s="48" t="s">
        <v>13</v>
      </c>
      <c r="F60" s="48">
        <v>9</v>
      </c>
      <c r="G60" s="48">
        <v>2</v>
      </c>
      <c r="H60" s="48" t="s">
        <v>18</v>
      </c>
      <c r="I60" s="48">
        <v>1</v>
      </c>
      <c r="J60" s="49">
        <v>29</v>
      </c>
      <c r="K60" s="49">
        <v>61</v>
      </c>
      <c r="L60" s="49">
        <v>1807</v>
      </c>
      <c r="M60" s="50">
        <v>0.81</v>
      </c>
      <c r="N60" s="49">
        <v>1463</v>
      </c>
      <c r="O60" s="49">
        <v>343</v>
      </c>
      <c r="P60" s="50">
        <v>1.58</v>
      </c>
      <c r="Q60" s="50">
        <v>0.36</v>
      </c>
      <c r="R60" s="50">
        <v>1.1599999999999999</v>
      </c>
      <c r="S60" s="50">
        <v>0.68</v>
      </c>
      <c r="T60" s="50">
        <v>0.01</v>
      </c>
      <c r="U60" s="49">
        <v>43</v>
      </c>
      <c r="V60" s="50">
        <v>0.23</v>
      </c>
      <c r="W60" s="50">
        <v>0.04</v>
      </c>
      <c r="X60" s="49">
        <f t="shared" si="0"/>
        <v>72.28</v>
      </c>
      <c r="Y60" s="49">
        <f t="shared" si="1"/>
        <v>1228.76</v>
      </c>
      <c r="Z60" s="49">
        <f t="shared" si="2"/>
        <v>505.96000000000004</v>
      </c>
      <c r="AA60" s="23" t="s">
        <v>116</v>
      </c>
      <c r="AB60" s="23" t="s">
        <v>116</v>
      </c>
      <c r="AC60" s="23" t="s">
        <v>116</v>
      </c>
      <c r="AD60" s="23" t="s">
        <v>116</v>
      </c>
      <c r="AE60" s="23" t="s">
        <v>116</v>
      </c>
      <c r="AF60" s="23" t="s">
        <v>116</v>
      </c>
      <c r="AG60" s="23" t="s">
        <v>116</v>
      </c>
      <c r="AH60" s="23" t="s">
        <v>116</v>
      </c>
      <c r="AI60" s="52">
        <v>0</v>
      </c>
      <c r="AJ60" s="51">
        <v>343</v>
      </c>
    </row>
    <row r="61" spans="1:36" x14ac:dyDescent="0.2">
      <c r="A61" s="47">
        <v>44621</v>
      </c>
      <c r="B61" s="48">
        <v>1</v>
      </c>
      <c r="C61" s="48">
        <v>60</v>
      </c>
      <c r="D61" s="48">
        <v>3</v>
      </c>
      <c r="E61" s="48" t="s">
        <v>14</v>
      </c>
      <c r="F61" s="48">
        <v>9</v>
      </c>
      <c r="G61" s="48">
        <v>3</v>
      </c>
      <c r="H61" s="48" t="s">
        <v>19</v>
      </c>
      <c r="I61" s="48">
        <v>1</v>
      </c>
      <c r="J61" s="49">
        <v>36</v>
      </c>
      <c r="K61" s="49">
        <v>75</v>
      </c>
      <c r="L61" s="49">
        <v>2722</v>
      </c>
      <c r="M61" s="50">
        <v>1.23</v>
      </c>
      <c r="N61" s="49">
        <v>3352</v>
      </c>
      <c r="O61" s="49">
        <v>-630</v>
      </c>
      <c r="P61" s="50">
        <v>1.52</v>
      </c>
      <c r="Q61" s="50">
        <v>0.51</v>
      </c>
      <c r="R61" s="50">
        <v>1.76</v>
      </c>
      <c r="S61" s="50">
        <v>0.68</v>
      </c>
      <c r="T61" s="50">
        <v>0</v>
      </c>
      <c r="U61" s="49">
        <v>53</v>
      </c>
      <c r="V61" s="50">
        <v>0.31</v>
      </c>
      <c r="W61" s="50">
        <v>0.03</v>
      </c>
      <c r="X61" s="49">
        <f t="shared" si="0"/>
        <v>81.66</v>
      </c>
      <c r="Y61" s="49">
        <f t="shared" si="1"/>
        <v>1850.96</v>
      </c>
      <c r="Z61" s="49">
        <f t="shared" si="2"/>
        <v>789.37999999999988</v>
      </c>
      <c r="AA61" s="23">
        <v>3000</v>
      </c>
      <c r="AB61" s="23" t="s">
        <v>116</v>
      </c>
      <c r="AC61" s="23" t="s">
        <v>116</v>
      </c>
      <c r="AD61" s="23" t="s">
        <v>116</v>
      </c>
      <c r="AE61" s="23" t="s">
        <v>116</v>
      </c>
      <c r="AF61" s="23" t="s">
        <v>116</v>
      </c>
      <c r="AG61" s="23" t="s">
        <v>116</v>
      </c>
      <c r="AH61" s="23" t="s">
        <v>116</v>
      </c>
      <c r="AI61" s="52">
        <v>3000</v>
      </c>
      <c r="AJ61" s="51">
        <v>-3630</v>
      </c>
    </row>
    <row r="62" spans="1:36" x14ac:dyDescent="0.2">
      <c r="A62" s="47">
        <v>44622</v>
      </c>
      <c r="B62" s="48">
        <v>2</v>
      </c>
      <c r="C62" s="48">
        <v>61</v>
      </c>
      <c r="D62" s="48">
        <v>4</v>
      </c>
      <c r="E62" s="48" t="s">
        <v>15</v>
      </c>
      <c r="F62" s="48">
        <v>9</v>
      </c>
      <c r="G62" s="48">
        <v>3</v>
      </c>
      <c r="H62" s="48" t="s">
        <v>19</v>
      </c>
      <c r="I62" s="48">
        <v>1</v>
      </c>
      <c r="J62" s="49">
        <v>17</v>
      </c>
      <c r="K62" s="49">
        <v>94</v>
      </c>
      <c r="L62" s="49">
        <v>1595</v>
      </c>
      <c r="M62" s="50">
        <v>0.63</v>
      </c>
      <c r="N62" s="49">
        <v>1013</v>
      </c>
      <c r="O62" s="49">
        <v>582</v>
      </c>
      <c r="P62" s="50">
        <v>1.36</v>
      </c>
      <c r="Q62" s="50">
        <v>0.24</v>
      </c>
      <c r="R62" s="50">
        <v>0.91</v>
      </c>
      <c r="S62" s="50">
        <v>0.26</v>
      </c>
      <c r="T62" s="50">
        <v>0.01</v>
      </c>
      <c r="U62" s="49">
        <v>66</v>
      </c>
      <c r="V62" s="50">
        <v>0.17</v>
      </c>
      <c r="W62" s="50">
        <v>0.06</v>
      </c>
      <c r="X62" s="49">
        <f t="shared" si="0"/>
        <v>95.7</v>
      </c>
      <c r="Y62" s="49">
        <f t="shared" si="1"/>
        <v>414.7</v>
      </c>
      <c r="Z62" s="49">
        <f t="shared" si="2"/>
        <v>1084.5999999999999</v>
      </c>
      <c r="AA62" s="23" t="s">
        <v>116</v>
      </c>
      <c r="AB62" s="23" t="s">
        <v>116</v>
      </c>
      <c r="AC62" s="23" t="s">
        <v>116</v>
      </c>
      <c r="AD62" s="23" t="s">
        <v>116</v>
      </c>
      <c r="AE62" s="23" t="s">
        <v>116</v>
      </c>
      <c r="AF62" s="23" t="s">
        <v>116</v>
      </c>
      <c r="AG62" s="23" t="s">
        <v>116</v>
      </c>
      <c r="AH62" s="23" t="s">
        <v>116</v>
      </c>
      <c r="AI62" s="52">
        <v>0</v>
      </c>
      <c r="AJ62" s="51">
        <v>582</v>
      </c>
    </row>
    <row r="63" spans="1:36" x14ac:dyDescent="0.2">
      <c r="A63" s="47">
        <v>44623</v>
      </c>
      <c r="B63" s="48">
        <v>3</v>
      </c>
      <c r="C63" s="48">
        <v>62</v>
      </c>
      <c r="D63" s="48">
        <v>5</v>
      </c>
      <c r="E63" s="48" t="s">
        <v>16</v>
      </c>
      <c r="F63" s="48">
        <v>9</v>
      </c>
      <c r="G63" s="48">
        <v>3</v>
      </c>
      <c r="H63" s="48" t="s">
        <v>19</v>
      </c>
      <c r="I63" s="48">
        <v>1</v>
      </c>
      <c r="J63" s="49">
        <v>14</v>
      </c>
      <c r="K63" s="49">
        <v>120</v>
      </c>
      <c r="L63" s="49">
        <v>1680</v>
      </c>
      <c r="M63" s="50">
        <v>0.75</v>
      </c>
      <c r="N63" s="49">
        <v>1254</v>
      </c>
      <c r="O63" s="49">
        <v>426</v>
      </c>
      <c r="P63" s="50">
        <v>1.17</v>
      </c>
      <c r="Q63" s="50">
        <v>0.18</v>
      </c>
      <c r="R63" s="50">
        <v>1.07</v>
      </c>
      <c r="S63" s="50">
        <v>0.17</v>
      </c>
      <c r="T63" s="50">
        <v>0.01</v>
      </c>
      <c r="U63" s="49">
        <v>84</v>
      </c>
      <c r="V63" s="50">
        <v>0.15</v>
      </c>
      <c r="W63" s="50">
        <v>0.06</v>
      </c>
      <c r="X63" s="49">
        <f t="shared" si="0"/>
        <v>100.8</v>
      </c>
      <c r="Y63" s="49">
        <f t="shared" si="1"/>
        <v>285.60000000000002</v>
      </c>
      <c r="Z63" s="49">
        <f t="shared" si="2"/>
        <v>1293.5999999999999</v>
      </c>
      <c r="AA63" s="23" t="s">
        <v>116</v>
      </c>
      <c r="AB63" s="23" t="s">
        <v>116</v>
      </c>
      <c r="AC63" s="23" t="s">
        <v>116</v>
      </c>
      <c r="AD63" s="23" t="s">
        <v>116</v>
      </c>
      <c r="AE63" s="23" t="s">
        <v>116</v>
      </c>
      <c r="AF63" s="23" t="s">
        <v>116</v>
      </c>
      <c r="AG63" s="23" t="s">
        <v>116</v>
      </c>
      <c r="AH63" s="23" t="s">
        <v>116</v>
      </c>
      <c r="AI63" s="52">
        <v>0</v>
      </c>
      <c r="AJ63" s="51">
        <v>426</v>
      </c>
    </row>
    <row r="64" spans="1:36" x14ac:dyDescent="0.2">
      <c r="A64" s="47">
        <v>44624</v>
      </c>
      <c r="B64" s="48">
        <v>4</v>
      </c>
      <c r="C64" s="48">
        <v>63</v>
      </c>
      <c r="D64" s="48">
        <v>6</v>
      </c>
      <c r="E64" s="48" t="s">
        <v>17</v>
      </c>
      <c r="F64" s="48">
        <v>9</v>
      </c>
      <c r="G64" s="48">
        <v>3</v>
      </c>
      <c r="H64" s="48" t="s">
        <v>19</v>
      </c>
      <c r="I64" s="48">
        <v>1</v>
      </c>
      <c r="J64" s="49">
        <v>26</v>
      </c>
      <c r="K64" s="49">
        <v>42</v>
      </c>
      <c r="L64" s="49">
        <v>1064</v>
      </c>
      <c r="M64" s="50">
        <v>1.1000000000000001</v>
      </c>
      <c r="N64" s="49">
        <v>1170</v>
      </c>
      <c r="O64" s="49">
        <v>-105</v>
      </c>
      <c r="P64" s="50">
        <v>2.85</v>
      </c>
      <c r="Q64" s="50">
        <v>0.35</v>
      </c>
      <c r="R64" s="50">
        <v>1.57</v>
      </c>
      <c r="S64" s="50">
        <v>0.88</v>
      </c>
      <c r="T64" s="50">
        <v>0.01</v>
      </c>
      <c r="U64" s="49">
        <v>29</v>
      </c>
      <c r="V64" s="50">
        <v>0.51</v>
      </c>
      <c r="W64" s="50">
        <v>0.08</v>
      </c>
      <c r="X64" s="49">
        <f t="shared" si="0"/>
        <v>85.12</v>
      </c>
      <c r="Y64" s="49">
        <f t="shared" si="1"/>
        <v>936.32</v>
      </c>
      <c r="Z64" s="49">
        <f t="shared" si="2"/>
        <v>42.559999999999945</v>
      </c>
      <c r="AA64" s="23" t="s">
        <v>116</v>
      </c>
      <c r="AB64" s="23" t="s">
        <v>116</v>
      </c>
      <c r="AC64" s="23" t="s">
        <v>116</v>
      </c>
      <c r="AD64" s="23" t="s">
        <v>116</v>
      </c>
      <c r="AE64" s="23" t="s">
        <v>116</v>
      </c>
      <c r="AF64" s="23" t="s">
        <v>116</v>
      </c>
      <c r="AG64" s="23" t="s">
        <v>116</v>
      </c>
      <c r="AH64" s="23" t="s">
        <v>116</v>
      </c>
      <c r="AI64" s="52">
        <v>0</v>
      </c>
      <c r="AJ64" s="51">
        <v>-105</v>
      </c>
    </row>
    <row r="65" spans="1:36" x14ac:dyDescent="0.2">
      <c r="A65" s="47">
        <v>44625</v>
      </c>
      <c r="B65" s="48">
        <v>5</v>
      </c>
      <c r="C65" s="48">
        <v>64</v>
      </c>
      <c r="D65" s="48">
        <v>7</v>
      </c>
      <c r="E65" s="48" t="s">
        <v>10</v>
      </c>
      <c r="F65" s="48">
        <v>9</v>
      </c>
      <c r="G65" s="48">
        <v>3</v>
      </c>
      <c r="H65" s="48" t="s">
        <v>19</v>
      </c>
      <c r="I65" s="48">
        <v>1</v>
      </c>
      <c r="J65" s="49">
        <v>20</v>
      </c>
      <c r="K65" s="49">
        <v>17</v>
      </c>
      <c r="L65" s="49">
        <v>352</v>
      </c>
      <c r="M65" s="50">
        <v>0.66</v>
      </c>
      <c r="N65" s="49">
        <v>232</v>
      </c>
      <c r="O65" s="49">
        <v>120</v>
      </c>
      <c r="P65" s="50">
        <v>6.8</v>
      </c>
      <c r="Q65" s="50">
        <v>0.27</v>
      </c>
      <c r="R65" s="50">
        <v>0.94</v>
      </c>
      <c r="S65" s="50">
        <v>1.66</v>
      </c>
      <c r="T65" s="50">
        <v>0.04</v>
      </c>
      <c r="U65" s="49">
        <v>12</v>
      </c>
      <c r="V65" s="50">
        <v>0.55000000000000004</v>
      </c>
      <c r="W65" s="50">
        <v>0.24</v>
      </c>
      <c r="X65" s="49">
        <f t="shared" si="0"/>
        <v>84.47999999999999</v>
      </c>
      <c r="Y65" s="49">
        <f t="shared" si="1"/>
        <v>584.31999999999994</v>
      </c>
      <c r="Z65" s="49">
        <f t="shared" si="2"/>
        <v>-316.79999999999995</v>
      </c>
      <c r="AA65" s="23" t="s">
        <v>116</v>
      </c>
      <c r="AB65" s="23" t="s">
        <v>116</v>
      </c>
      <c r="AC65" s="23" t="s">
        <v>116</v>
      </c>
      <c r="AD65" s="23" t="s">
        <v>116</v>
      </c>
      <c r="AE65" s="23" t="s">
        <v>116</v>
      </c>
      <c r="AF65" s="23" t="s">
        <v>116</v>
      </c>
      <c r="AG65" s="23" t="s">
        <v>116</v>
      </c>
      <c r="AH65" s="23">
        <v>1000</v>
      </c>
      <c r="AI65" s="52">
        <v>1000</v>
      </c>
      <c r="AJ65" s="51">
        <v>-880</v>
      </c>
    </row>
    <row r="66" spans="1:36" x14ac:dyDescent="0.2">
      <c r="A66" s="47">
        <v>44626</v>
      </c>
      <c r="B66" s="48">
        <v>6</v>
      </c>
      <c r="C66" s="48">
        <v>65</v>
      </c>
      <c r="D66" s="48">
        <v>1</v>
      </c>
      <c r="E66" s="48" t="s">
        <v>12</v>
      </c>
      <c r="F66" s="48">
        <v>10</v>
      </c>
      <c r="G66" s="48">
        <v>3</v>
      </c>
      <c r="H66" s="48" t="s">
        <v>19</v>
      </c>
      <c r="I66" s="48">
        <v>1</v>
      </c>
      <c r="J66" s="49">
        <v>7</v>
      </c>
      <c r="K66" s="49">
        <v>26</v>
      </c>
      <c r="L66" s="49">
        <v>180</v>
      </c>
      <c r="M66" s="50">
        <v>0.37</v>
      </c>
      <c r="N66" s="49">
        <v>67</v>
      </c>
      <c r="O66" s="49">
        <v>113</v>
      </c>
      <c r="P66" s="50">
        <v>0.88</v>
      </c>
      <c r="Q66" s="50">
        <v>0.59</v>
      </c>
      <c r="R66" s="50">
        <v>0.53</v>
      </c>
      <c r="S66" s="50">
        <v>0.39</v>
      </c>
      <c r="T66" s="50">
        <v>0.16</v>
      </c>
      <c r="U66" s="49">
        <v>18</v>
      </c>
      <c r="V66" s="50">
        <v>0.21</v>
      </c>
      <c r="W66" s="50">
        <v>0.09</v>
      </c>
      <c r="X66" s="49">
        <f t="shared" si="0"/>
        <v>16.2</v>
      </c>
      <c r="Y66" s="49">
        <f t="shared" si="1"/>
        <v>70.2</v>
      </c>
      <c r="Z66" s="49">
        <f t="shared" si="2"/>
        <v>93.6</v>
      </c>
      <c r="AA66" s="23" t="s">
        <v>116</v>
      </c>
      <c r="AB66" s="23">
        <v>1000</v>
      </c>
      <c r="AC66" s="23" t="s">
        <v>116</v>
      </c>
      <c r="AD66" s="23" t="s">
        <v>116</v>
      </c>
      <c r="AE66" s="23" t="s">
        <v>116</v>
      </c>
      <c r="AF66" s="23" t="s">
        <v>116</v>
      </c>
      <c r="AG66" s="23" t="s">
        <v>116</v>
      </c>
      <c r="AH66" s="23" t="s">
        <v>116</v>
      </c>
      <c r="AI66" s="52">
        <v>1000</v>
      </c>
      <c r="AJ66" s="51">
        <v>-887</v>
      </c>
    </row>
    <row r="67" spans="1:36" x14ac:dyDescent="0.2">
      <c r="A67" s="47">
        <v>44627</v>
      </c>
      <c r="B67" s="48">
        <v>7</v>
      </c>
      <c r="C67" s="48">
        <v>66</v>
      </c>
      <c r="D67" s="48">
        <v>2</v>
      </c>
      <c r="E67" s="48" t="s">
        <v>13</v>
      </c>
      <c r="F67" s="48">
        <v>10</v>
      </c>
      <c r="G67" s="48">
        <v>3</v>
      </c>
      <c r="H67" s="48" t="s">
        <v>19</v>
      </c>
      <c r="I67" s="48">
        <v>1</v>
      </c>
      <c r="J67" s="49">
        <v>17</v>
      </c>
      <c r="K67" s="49">
        <v>68</v>
      </c>
      <c r="L67" s="49">
        <v>1127</v>
      </c>
      <c r="M67" s="50">
        <v>0.46</v>
      </c>
      <c r="N67" s="49">
        <v>521</v>
      </c>
      <c r="O67" s="49">
        <v>606</v>
      </c>
      <c r="P67" s="50">
        <v>0.81</v>
      </c>
      <c r="Q67" s="50">
        <v>0.56000000000000005</v>
      </c>
      <c r="R67" s="50">
        <v>0.66</v>
      </c>
      <c r="S67" s="50">
        <v>0.35</v>
      </c>
      <c r="T67" s="50">
        <v>0.01</v>
      </c>
      <c r="U67" s="49">
        <v>47</v>
      </c>
      <c r="V67" s="50">
        <v>0.1</v>
      </c>
      <c r="W67" s="50">
        <v>0.03</v>
      </c>
      <c r="X67" s="49">
        <f t="shared" ref="X67:X130" si="3">L67*W67</f>
        <v>33.81</v>
      </c>
      <c r="Y67" s="49">
        <f t="shared" ref="Y67:Y130" si="4">S67*L67</f>
        <v>394.45</v>
      </c>
      <c r="Z67" s="49">
        <f t="shared" ref="Z67:Z130" si="5">L67-(X67+Y67)</f>
        <v>698.74</v>
      </c>
      <c r="AA67" s="23" t="s">
        <v>116</v>
      </c>
      <c r="AB67" s="23" t="s">
        <v>116</v>
      </c>
      <c r="AC67" s="23" t="s">
        <v>116</v>
      </c>
      <c r="AD67" s="23" t="s">
        <v>116</v>
      </c>
      <c r="AE67" s="23" t="s">
        <v>116</v>
      </c>
      <c r="AF67" s="23" t="s">
        <v>116</v>
      </c>
      <c r="AG67" s="23" t="s">
        <v>116</v>
      </c>
      <c r="AH67" s="23" t="s">
        <v>116</v>
      </c>
      <c r="AI67" s="52">
        <v>0</v>
      </c>
      <c r="AJ67" s="51">
        <v>606</v>
      </c>
    </row>
    <row r="68" spans="1:36" x14ac:dyDescent="0.2">
      <c r="A68" s="47">
        <v>44628</v>
      </c>
      <c r="B68" s="48">
        <v>8</v>
      </c>
      <c r="C68" s="48">
        <v>67</v>
      </c>
      <c r="D68" s="48">
        <v>3</v>
      </c>
      <c r="E68" s="48" t="s">
        <v>14</v>
      </c>
      <c r="F68" s="48">
        <v>10</v>
      </c>
      <c r="G68" s="48">
        <v>3</v>
      </c>
      <c r="H68" s="48" t="s">
        <v>19</v>
      </c>
      <c r="I68" s="48">
        <v>1</v>
      </c>
      <c r="J68" s="49">
        <v>35</v>
      </c>
      <c r="K68" s="49">
        <v>65</v>
      </c>
      <c r="L68" s="49">
        <v>2279</v>
      </c>
      <c r="M68" s="50">
        <v>0.87</v>
      </c>
      <c r="N68" s="49">
        <v>1991</v>
      </c>
      <c r="O68" s="49">
        <v>287</v>
      </c>
      <c r="P68" s="50">
        <v>0.68</v>
      </c>
      <c r="Q68" s="50">
        <v>1.22</v>
      </c>
      <c r="R68" s="50">
        <v>1.25</v>
      </c>
      <c r="S68" s="50">
        <v>0.78</v>
      </c>
      <c r="T68" s="50">
        <v>0.01</v>
      </c>
      <c r="U68" s="49">
        <v>45</v>
      </c>
      <c r="V68" s="50">
        <v>0.24</v>
      </c>
      <c r="W68" s="50">
        <v>0.01</v>
      </c>
      <c r="X68" s="49">
        <f t="shared" si="3"/>
        <v>22.79</v>
      </c>
      <c r="Y68" s="49">
        <f t="shared" si="4"/>
        <v>1777.6200000000001</v>
      </c>
      <c r="Z68" s="49">
        <f t="shared" si="5"/>
        <v>478.58999999999992</v>
      </c>
      <c r="AA68" s="23" t="s">
        <v>116</v>
      </c>
      <c r="AB68" s="23" t="s">
        <v>116</v>
      </c>
      <c r="AC68" s="23" t="s">
        <v>116</v>
      </c>
      <c r="AD68" s="23" t="s">
        <v>116</v>
      </c>
      <c r="AE68" s="23" t="s">
        <v>116</v>
      </c>
      <c r="AF68" s="23" t="s">
        <v>116</v>
      </c>
      <c r="AG68" s="23" t="s">
        <v>116</v>
      </c>
      <c r="AH68" s="23" t="s">
        <v>116</v>
      </c>
      <c r="AI68" s="52">
        <v>0</v>
      </c>
      <c r="AJ68" s="51">
        <v>287</v>
      </c>
    </row>
    <row r="69" spans="1:36" x14ac:dyDescent="0.2">
      <c r="A69" s="47">
        <v>44629</v>
      </c>
      <c r="B69" s="48">
        <v>9</v>
      </c>
      <c r="C69" s="48">
        <v>68</v>
      </c>
      <c r="D69" s="48">
        <v>4</v>
      </c>
      <c r="E69" s="48" t="s">
        <v>15</v>
      </c>
      <c r="F69" s="48">
        <v>10</v>
      </c>
      <c r="G69" s="48">
        <v>3</v>
      </c>
      <c r="H69" s="48" t="s">
        <v>19</v>
      </c>
      <c r="I69" s="48">
        <v>1</v>
      </c>
      <c r="J69" s="49">
        <v>20</v>
      </c>
      <c r="K69" s="49">
        <v>54</v>
      </c>
      <c r="L69" s="49">
        <v>1108</v>
      </c>
      <c r="M69" s="50">
        <v>0.66</v>
      </c>
      <c r="N69" s="49">
        <v>729</v>
      </c>
      <c r="O69" s="49">
        <v>379</v>
      </c>
      <c r="P69" s="50">
        <v>1.36</v>
      </c>
      <c r="Q69" s="50">
        <v>0.63</v>
      </c>
      <c r="R69" s="50">
        <v>0.94</v>
      </c>
      <c r="S69" s="50">
        <v>0.54</v>
      </c>
      <c r="T69" s="50">
        <v>0.01</v>
      </c>
      <c r="U69" s="49">
        <v>38</v>
      </c>
      <c r="V69" s="50">
        <v>0.3</v>
      </c>
      <c r="W69" s="50">
        <v>0.05</v>
      </c>
      <c r="X69" s="49">
        <f t="shared" si="3"/>
        <v>55.400000000000006</v>
      </c>
      <c r="Y69" s="49">
        <f t="shared" si="4"/>
        <v>598.32000000000005</v>
      </c>
      <c r="Z69" s="49">
        <f t="shared" si="5"/>
        <v>454.28</v>
      </c>
      <c r="AA69" s="23" t="s">
        <v>116</v>
      </c>
      <c r="AB69" s="23" t="s">
        <v>116</v>
      </c>
      <c r="AC69" s="23" t="s">
        <v>116</v>
      </c>
      <c r="AD69" s="23" t="s">
        <v>116</v>
      </c>
      <c r="AE69" s="23" t="s">
        <v>116</v>
      </c>
      <c r="AF69" s="23" t="s">
        <v>116</v>
      </c>
      <c r="AG69" s="23" t="s">
        <v>116</v>
      </c>
      <c r="AH69" s="23" t="s">
        <v>116</v>
      </c>
      <c r="AI69" s="52">
        <v>0</v>
      </c>
      <c r="AJ69" s="51">
        <v>379</v>
      </c>
    </row>
    <row r="70" spans="1:36" x14ac:dyDescent="0.2">
      <c r="A70" s="47">
        <v>44630</v>
      </c>
      <c r="B70" s="48">
        <v>10</v>
      </c>
      <c r="C70" s="48">
        <v>69</v>
      </c>
      <c r="D70" s="48">
        <v>5</v>
      </c>
      <c r="E70" s="48" t="s">
        <v>16</v>
      </c>
      <c r="F70" s="48">
        <v>10</v>
      </c>
      <c r="G70" s="48">
        <v>3</v>
      </c>
      <c r="H70" s="48" t="s">
        <v>19</v>
      </c>
      <c r="I70" s="48">
        <v>1</v>
      </c>
      <c r="J70" s="49">
        <v>15</v>
      </c>
      <c r="K70" s="49">
        <v>102</v>
      </c>
      <c r="L70" s="49">
        <v>1532</v>
      </c>
      <c r="M70" s="50">
        <v>0.67</v>
      </c>
      <c r="N70" s="49">
        <v>1028</v>
      </c>
      <c r="O70" s="49">
        <v>504</v>
      </c>
      <c r="P70" s="50">
        <v>0.49</v>
      </c>
      <c r="Q70" s="50">
        <v>0.44</v>
      </c>
      <c r="R70" s="50">
        <v>0.96</v>
      </c>
      <c r="S70" s="50">
        <v>0.21</v>
      </c>
      <c r="T70" s="50">
        <v>0.01</v>
      </c>
      <c r="U70" s="49">
        <v>71</v>
      </c>
      <c r="V70" s="50">
        <v>0.09</v>
      </c>
      <c r="W70" s="50">
        <v>0.02</v>
      </c>
      <c r="X70" s="49">
        <f t="shared" si="3"/>
        <v>30.64</v>
      </c>
      <c r="Y70" s="49">
        <f t="shared" si="4"/>
        <v>321.71999999999997</v>
      </c>
      <c r="Z70" s="49">
        <f t="shared" si="5"/>
        <v>1179.6400000000001</v>
      </c>
      <c r="AA70" s="23" t="s">
        <v>116</v>
      </c>
      <c r="AB70" s="23" t="s">
        <v>116</v>
      </c>
      <c r="AC70" s="23" t="s">
        <v>116</v>
      </c>
      <c r="AD70" s="23">
        <v>300</v>
      </c>
      <c r="AE70" s="23" t="s">
        <v>116</v>
      </c>
      <c r="AF70" s="23" t="s">
        <v>116</v>
      </c>
      <c r="AG70" s="23" t="s">
        <v>116</v>
      </c>
      <c r="AH70" s="23" t="s">
        <v>116</v>
      </c>
      <c r="AI70" s="52">
        <v>300</v>
      </c>
      <c r="AJ70" s="51">
        <v>204</v>
      </c>
    </row>
    <row r="71" spans="1:36" x14ac:dyDescent="0.2">
      <c r="A71" s="47">
        <v>44631</v>
      </c>
      <c r="B71" s="48">
        <v>11</v>
      </c>
      <c r="C71" s="48">
        <v>70</v>
      </c>
      <c r="D71" s="48">
        <v>6</v>
      </c>
      <c r="E71" s="48" t="s">
        <v>17</v>
      </c>
      <c r="F71" s="48">
        <v>10</v>
      </c>
      <c r="G71" s="48">
        <v>3</v>
      </c>
      <c r="H71" s="48" t="s">
        <v>19</v>
      </c>
      <c r="I71" s="48">
        <v>1</v>
      </c>
      <c r="J71" s="49">
        <v>26</v>
      </c>
      <c r="K71" s="49">
        <v>66</v>
      </c>
      <c r="L71" s="49">
        <v>1719</v>
      </c>
      <c r="M71" s="50">
        <v>0.76</v>
      </c>
      <c r="N71" s="49">
        <v>1305</v>
      </c>
      <c r="O71" s="49">
        <v>414</v>
      </c>
      <c r="P71" s="50">
        <v>0.59</v>
      </c>
      <c r="Q71" s="50">
        <v>1.1299999999999999</v>
      </c>
      <c r="R71" s="50">
        <v>1.08</v>
      </c>
      <c r="S71" s="50">
        <v>0.56000000000000005</v>
      </c>
      <c r="T71" s="50">
        <v>0.01</v>
      </c>
      <c r="U71" s="49">
        <v>46</v>
      </c>
      <c r="V71" s="50">
        <v>0.22</v>
      </c>
      <c r="W71" s="50">
        <v>0.02</v>
      </c>
      <c r="X71" s="49">
        <f t="shared" si="3"/>
        <v>34.380000000000003</v>
      </c>
      <c r="Y71" s="49">
        <f t="shared" si="4"/>
        <v>962.6400000000001</v>
      </c>
      <c r="Z71" s="49">
        <f t="shared" si="5"/>
        <v>721.9799999999999</v>
      </c>
      <c r="AA71" s="23" t="s">
        <v>116</v>
      </c>
      <c r="AB71" s="23" t="s">
        <v>116</v>
      </c>
      <c r="AC71" s="23" t="s">
        <v>116</v>
      </c>
      <c r="AD71" s="23" t="s">
        <v>116</v>
      </c>
      <c r="AE71" s="23" t="s">
        <v>116</v>
      </c>
      <c r="AF71" s="23" t="s">
        <v>116</v>
      </c>
      <c r="AG71" s="23" t="s">
        <v>116</v>
      </c>
      <c r="AH71" s="23" t="s">
        <v>116</v>
      </c>
      <c r="AI71" s="52">
        <v>0</v>
      </c>
      <c r="AJ71" s="51">
        <v>414</v>
      </c>
    </row>
    <row r="72" spans="1:36" x14ac:dyDescent="0.2">
      <c r="A72" s="47">
        <v>44632</v>
      </c>
      <c r="B72" s="48">
        <v>12</v>
      </c>
      <c r="C72" s="48">
        <v>71</v>
      </c>
      <c r="D72" s="48">
        <v>7</v>
      </c>
      <c r="E72" s="48" t="s">
        <v>10</v>
      </c>
      <c r="F72" s="48">
        <v>10</v>
      </c>
      <c r="G72" s="48">
        <v>3</v>
      </c>
      <c r="H72" s="48" t="s">
        <v>19</v>
      </c>
      <c r="I72" s="48">
        <v>1</v>
      </c>
      <c r="J72" s="49">
        <v>5</v>
      </c>
      <c r="K72" s="49">
        <v>8</v>
      </c>
      <c r="L72" s="49">
        <v>36</v>
      </c>
      <c r="M72" s="50">
        <v>0.6</v>
      </c>
      <c r="N72" s="49">
        <v>22</v>
      </c>
      <c r="O72" s="49">
        <v>14</v>
      </c>
      <c r="P72" s="50">
        <v>5.28</v>
      </c>
      <c r="Q72" s="50">
        <v>0.16</v>
      </c>
      <c r="R72" s="50">
        <v>0.86</v>
      </c>
      <c r="S72" s="50">
        <v>0.9</v>
      </c>
      <c r="T72" s="50">
        <v>0.36</v>
      </c>
      <c r="U72" s="49">
        <v>5</v>
      </c>
      <c r="V72" s="50">
        <v>2.33</v>
      </c>
      <c r="W72" s="50">
        <v>0.78</v>
      </c>
      <c r="X72" s="49">
        <f t="shared" si="3"/>
        <v>28.080000000000002</v>
      </c>
      <c r="Y72" s="49">
        <f t="shared" si="4"/>
        <v>32.4</v>
      </c>
      <c r="Z72" s="49">
        <f t="shared" si="5"/>
        <v>-24.480000000000004</v>
      </c>
      <c r="AA72" s="23" t="s">
        <v>116</v>
      </c>
      <c r="AB72" s="23" t="s">
        <v>116</v>
      </c>
      <c r="AC72" s="23" t="s">
        <v>116</v>
      </c>
      <c r="AD72" s="23" t="s">
        <v>116</v>
      </c>
      <c r="AE72" s="23" t="s">
        <v>116</v>
      </c>
      <c r="AF72" s="23">
        <v>480</v>
      </c>
      <c r="AG72" s="23" t="s">
        <v>116</v>
      </c>
      <c r="AH72" s="23" t="s">
        <v>116</v>
      </c>
      <c r="AI72" s="52">
        <v>480</v>
      </c>
      <c r="AJ72" s="51">
        <v>-466</v>
      </c>
    </row>
    <row r="73" spans="1:36" x14ac:dyDescent="0.2">
      <c r="A73" s="47">
        <v>44633</v>
      </c>
      <c r="B73" s="48">
        <v>13</v>
      </c>
      <c r="C73" s="48">
        <v>72</v>
      </c>
      <c r="D73" s="48">
        <v>1</v>
      </c>
      <c r="E73" s="48" t="s">
        <v>12</v>
      </c>
      <c r="F73" s="48">
        <v>11</v>
      </c>
      <c r="G73" s="48">
        <v>3</v>
      </c>
      <c r="H73" s="48" t="s">
        <v>19</v>
      </c>
      <c r="I73" s="48">
        <v>1</v>
      </c>
      <c r="J73" s="49">
        <v>10</v>
      </c>
      <c r="K73" s="49">
        <v>35</v>
      </c>
      <c r="L73" s="49">
        <v>345</v>
      </c>
      <c r="M73" s="50">
        <v>0.23</v>
      </c>
      <c r="N73" s="49">
        <v>78</v>
      </c>
      <c r="O73" s="49">
        <v>267</v>
      </c>
      <c r="P73" s="50">
        <v>0.32</v>
      </c>
      <c r="Q73" s="50">
        <v>0.74</v>
      </c>
      <c r="R73" s="50">
        <v>0.32</v>
      </c>
      <c r="S73" s="50">
        <v>0.41</v>
      </c>
      <c r="T73" s="50">
        <v>0.08</v>
      </c>
      <c r="U73" s="49">
        <v>24</v>
      </c>
      <c r="V73" s="50">
        <v>0.19</v>
      </c>
      <c r="W73" s="50">
        <v>0.02</v>
      </c>
      <c r="X73" s="49">
        <f t="shared" si="3"/>
        <v>6.9</v>
      </c>
      <c r="Y73" s="49">
        <f t="shared" si="4"/>
        <v>141.44999999999999</v>
      </c>
      <c r="Z73" s="49">
        <f t="shared" si="5"/>
        <v>196.65</v>
      </c>
      <c r="AA73" s="23" t="s">
        <v>116</v>
      </c>
      <c r="AB73" s="23">
        <v>1000</v>
      </c>
      <c r="AC73" s="23" t="s">
        <v>116</v>
      </c>
      <c r="AD73" s="23" t="s">
        <v>116</v>
      </c>
      <c r="AE73" s="23" t="s">
        <v>116</v>
      </c>
      <c r="AF73" s="23" t="s">
        <v>116</v>
      </c>
      <c r="AG73" s="23" t="s">
        <v>116</v>
      </c>
      <c r="AH73" s="23" t="s">
        <v>116</v>
      </c>
      <c r="AI73" s="52">
        <v>1000</v>
      </c>
      <c r="AJ73" s="51">
        <v>-733</v>
      </c>
    </row>
    <row r="74" spans="1:36" x14ac:dyDescent="0.2">
      <c r="A74" s="47">
        <v>44634</v>
      </c>
      <c r="B74" s="48">
        <v>14</v>
      </c>
      <c r="C74" s="48">
        <v>73</v>
      </c>
      <c r="D74" s="48">
        <v>2</v>
      </c>
      <c r="E74" s="48" t="s">
        <v>13</v>
      </c>
      <c r="F74" s="48">
        <v>11</v>
      </c>
      <c r="G74" s="48">
        <v>3</v>
      </c>
      <c r="H74" s="48" t="s">
        <v>19</v>
      </c>
      <c r="I74" s="48">
        <v>1</v>
      </c>
      <c r="J74" s="49">
        <v>16</v>
      </c>
      <c r="K74" s="49">
        <v>72</v>
      </c>
      <c r="L74" s="49">
        <v>1134</v>
      </c>
      <c r="M74" s="50">
        <v>0.53</v>
      </c>
      <c r="N74" s="49">
        <v>597</v>
      </c>
      <c r="O74" s="49">
        <v>538</v>
      </c>
      <c r="P74" s="50">
        <v>0.8</v>
      </c>
      <c r="Q74" s="50">
        <v>0.51</v>
      </c>
      <c r="R74" s="50">
        <v>0.75</v>
      </c>
      <c r="S74" s="50">
        <v>0.31</v>
      </c>
      <c r="T74" s="50">
        <v>0.01</v>
      </c>
      <c r="U74" s="49">
        <v>50</v>
      </c>
      <c r="V74" s="50">
        <v>0.17</v>
      </c>
      <c r="W74" s="50">
        <v>0.04</v>
      </c>
      <c r="X74" s="49">
        <f t="shared" si="3"/>
        <v>45.36</v>
      </c>
      <c r="Y74" s="49">
        <f t="shared" si="4"/>
        <v>351.54</v>
      </c>
      <c r="Z74" s="49">
        <f t="shared" si="5"/>
        <v>737.09999999999991</v>
      </c>
      <c r="AA74" s="23" t="s">
        <v>116</v>
      </c>
      <c r="AB74" s="23" t="s">
        <v>116</v>
      </c>
      <c r="AC74" s="23" t="s">
        <v>116</v>
      </c>
      <c r="AD74" s="23" t="s">
        <v>116</v>
      </c>
      <c r="AE74" s="23" t="s">
        <v>116</v>
      </c>
      <c r="AF74" s="23" t="s">
        <v>116</v>
      </c>
      <c r="AG74" s="23" t="s">
        <v>116</v>
      </c>
      <c r="AH74" s="23" t="s">
        <v>116</v>
      </c>
      <c r="AI74" s="52">
        <v>0</v>
      </c>
      <c r="AJ74" s="51">
        <v>538</v>
      </c>
    </row>
    <row r="75" spans="1:36" x14ac:dyDescent="0.2">
      <c r="A75" s="47">
        <v>44635</v>
      </c>
      <c r="B75" s="48">
        <v>15</v>
      </c>
      <c r="C75" s="48">
        <v>74</v>
      </c>
      <c r="D75" s="48">
        <v>3</v>
      </c>
      <c r="E75" s="48" t="s">
        <v>14</v>
      </c>
      <c r="F75" s="48">
        <v>11</v>
      </c>
      <c r="G75" s="48">
        <v>3</v>
      </c>
      <c r="H75" s="48" t="s">
        <v>19</v>
      </c>
      <c r="I75" s="48">
        <v>1</v>
      </c>
      <c r="J75" s="49">
        <v>22</v>
      </c>
      <c r="K75" s="49">
        <v>111</v>
      </c>
      <c r="L75" s="49">
        <v>2462</v>
      </c>
      <c r="M75" s="50">
        <v>0.4</v>
      </c>
      <c r="N75" s="49">
        <v>982</v>
      </c>
      <c r="O75" s="49">
        <v>1481</v>
      </c>
      <c r="P75" s="50">
        <v>0.41</v>
      </c>
      <c r="Q75" s="50">
        <v>0.65</v>
      </c>
      <c r="R75" s="50">
        <v>0.56999999999999995</v>
      </c>
      <c r="S75" s="50">
        <v>0.28000000000000003</v>
      </c>
      <c r="T75" s="50">
        <v>0.01</v>
      </c>
      <c r="U75" s="49">
        <v>78</v>
      </c>
      <c r="V75" s="50">
        <v>0.14000000000000001</v>
      </c>
      <c r="W75" s="50">
        <v>0.01</v>
      </c>
      <c r="X75" s="49">
        <f t="shared" si="3"/>
        <v>24.62</v>
      </c>
      <c r="Y75" s="49">
        <f t="shared" si="4"/>
        <v>689.36</v>
      </c>
      <c r="Z75" s="49">
        <f t="shared" si="5"/>
        <v>1748.02</v>
      </c>
      <c r="AA75" s="23" t="s">
        <v>116</v>
      </c>
      <c r="AB75" s="23" t="s">
        <v>116</v>
      </c>
      <c r="AC75" s="23">
        <v>300</v>
      </c>
      <c r="AD75" s="23" t="s">
        <v>116</v>
      </c>
      <c r="AE75" s="23" t="s">
        <v>116</v>
      </c>
      <c r="AF75" s="23" t="s">
        <v>116</v>
      </c>
      <c r="AG75" s="23" t="s">
        <v>116</v>
      </c>
      <c r="AH75" s="23" t="s">
        <v>116</v>
      </c>
      <c r="AI75" s="52">
        <v>300</v>
      </c>
      <c r="AJ75" s="51">
        <v>1181</v>
      </c>
    </row>
    <row r="76" spans="1:36" x14ac:dyDescent="0.2">
      <c r="A76" s="47">
        <v>44636</v>
      </c>
      <c r="B76" s="48">
        <v>16</v>
      </c>
      <c r="C76" s="48">
        <v>75</v>
      </c>
      <c r="D76" s="48">
        <v>4</v>
      </c>
      <c r="E76" s="48" t="s">
        <v>15</v>
      </c>
      <c r="F76" s="48">
        <v>11</v>
      </c>
      <c r="G76" s="48">
        <v>3</v>
      </c>
      <c r="H76" s="48" t="s">
        <v>19</v>
      </c>
      <c r="I76" s="48">
        <v>1</v>
      </c>
      <c r="J76" s="49">
        <v>13</v>
      </c>
      <c r="K76" s="49">
        <v>50</v>
      </c>
      <c r="L76" s="49">
        <v>635</v>
      </c>
      <c r="M76" s="50">
        <v>0.79</v>
      </c>
      <c r="N76" s="49">
        <v>501</v>
      </c>
      <c r="O76" s="49">
        <v>135</v>
      </c>
      <c r="P76" s="50">
        <v>0.85</v>
      </c>
      <c r="Q76" s="50">
        <v>0.43</v>
      </c>
      <c r="R76" s="50">
        <v>1.1299999999999999</v>
      </c>
      <c r="S76" s="50">
        <v>0.36</v>
      </c>
      <c r="T76" s="50">
        <v>0.02</v>
      </c>
      <c r="U76" s="49">
        <v>35</v>
      </c>
      <c r="V76" s="50">
        <v>0.2</v>
      </c>
      <c r="W76" s="50">
        <v>0.05</v>
      </c>
      <c r="X76" s="49">
        <f t="shared" si="3"/>
        <v>31.75</v>
      </c>
      <c r="Y76" s="49">
        <f t="shared" si="4"/>
        <v>228.6</v>
      </c>
      <c r="Z76" s="49">
        <f t="shared" si="5"/>
        <v>374.65</v>
      </c>
      <c r="AA76" s="23" t="s">
        <v>116</v>
      </c>
      <c r="AB76" s="23" t="s">
        <v>116</v>
      </c>
      <c r="AC76" s="23" t="s">
        <v>116</v>
      </c>
      <c r="AD76" s="23" t="s">
        <v>116</v>
      </c>
      <c r="AE76" s="23" t="s">
        <v>116</v>
      </c>
      <c r="AF76" s="23" t="s">
        <v>116</v>
      </c>
      <c r="AG76" s="23" t="s">
        <v>116</v>
      </c>
      <c r="AH76" s="23" t="s">
        <v>116</v>
      </c>
      <c r="AI76" s="52">
        <v>0</v>
      </c>
      <c r="AJ76" s="51">
        <v>135</v>
      </c>
    </row>
    <row r="77" spans="1:36" x14ac:dyDescent="0.2">
      <c r="A77" s="47">
        <v>44637</v>
      </c>
      <c r="B77" s="48">
        <v>17</v>
      </c>
      <c r="C77" s="48">
        <v>76</v>
      </c>
      <c r="D77" s="48">
        <v>5</v>
      </c>
      <c r="E77" s="48" t="s">
        <v>16</v>
      </c>
      <c r="F77" s="48">
        <v>11</v>
      </c>
      <c r="G77" s="48">
        <v>3</v>
      </c>
      <c r="H77" s="48" t="s">
        <v>19</v>
      </c>
      <c r="I77" s="48">
        <v>1</v>
      </c>
      <c r="J77" s="49">
        <v>17</v>
      </c>
      <c r="K77" s="49">
        <v>95</v>
      </c>
      <c r="L77" s="49">
        <v>1609</v>
      </c>
      <c r="M77" s="50">
        <v>0.76</v>
      </c>
      <c r="N77" s="49">
        <v>1216</v>
      </c>
      <c r="O77" s="49">
        <v>393</v>
      </c>
      <c r="P77" s="50">
        <v>0.48</v>
      </c>
      <c r="Q77" s="50">
        <v>0.7</v>
      </c>
      <c r="R77" s="50">
        <v>1.08</v>
      </c>
      <c r="S77" s="50">
        <v>0.26</v>
      </c>
      <c r="T77" s="50">
        <v>0.01</v>
      </c>
      <c r="U77" s="49">
        <v>66</v>
      </c>
      <c r="V77" s="50">
        <v>0.09</v>
      </c>
      <c r="W77" s="50">
        <v>0.02</v>
      </c>
      <c r="X77" s="49">
        <f t="shared" si="3"/>
        <v>32.18</v>
      </c>
      <c r="Y77" s="49">
        <f t="shared" si="4"/>
        <v>418.34000000000003</v>
      </c>
      <c r="Z77" s="49">
        <f t="shared" si="5"/>
        <v>1158.48</v>
      </c>
      <c r="AA77" s="23" t="s">
        <v>116</v>
      </c>
      <c r="AB77" s="23" t="s">
        <v>116</v>
      </c>
      <c r="AC77" s="23" t="s">
        <v>116</v>
      </c>
      <c r="AD77" s="23" t="s">
        <v>116</v>
      </c>
      <c r="AE77" s="23" t="s">
        <v>116</v>
      </c>
      <c r="AF77" s="23" t="s">
        <v>116</v>
      </c>
      <c r="AG77" s="23" t="s">
        <v>116</v>
      </c>
      <c r="AH77" s="23" t="s">
        <v>116</v>
      </c>
      <c r="AI77" s="52">
        <v>0</v>
      </c>
      <c r="AJ77" s="51">
        <v>393</v>
      </c>
    </row>
    <row r="78" spans="1:36" x14ac:dyDescent="0.2">
      <c r="A78" s="47">
        <v>44638</v>
      </c>
      <c r="B78" s="48">
        <v>18</v>
      </c>
      <c r="C78" s="48">
        <v>77</v>
      </c>
      <c r="D78" s="48">
        <v>6</v>
      </c>
      <c r="E78" s="48" t="s">
        <v>17</v>
      </c>
      <c r="F78" s="48">
        <v>11</v>
      </c>
      <c r="G78" s="48">
        <v>3</v>
      </c>
      <c r="H78" s="48" t="s">
        <v>19</v>
      </c>
      <c r="I78" s="48">
        <v>1</v>
      </c>
      <c r="J78" s="49">
        <v>18</v>
      </c>
      <c r="K78" s="49">
        <v>26</v>
      </c>
      <c r="L78" s="49">
        <v>469</v>
      </c>
      <c r="M78" s="50">
        <v>0.57999999999999996</v>
      </c>
      <c r="N78" s="49">
        <v>270</v>
      </c>
      <c r="O78" s="49">
        <v>199</v>
      </c>
      <c r="P78" s="50">
        <v>2.1</v>
      </c>
      <c r="Q78" s="50">
        <v>0.79</v>
      </c>
      <c r="R78" s="50">
        <v>0.82</v>
      </c>
      <c r="S78" s="50">
        <v>1.01</v>
      </c>
      <c r="T78" s="50">
        <v>0.03</v>
      </c>
      <c r="U78" s="49">
        <v>18</v>
      </c>
      <c r="V78" s="50">
        <v>0.52</v>
      </c>
      <c r="W78" s="50">
        <v>0.08</v>
      </c>
      <c r="X78" s="49">
        <f t="shared" si="3"/>
        <v>37.520000000000003</v>
      </c>
      <c r="Y78" s="49">
        <f t="shared" si="4"/>
        <v>473.69</v>
      </c>
      <c r="Z78" s="49">
        <f t="shared" si="5"/>
        <v>-42.20999999999998</v>
      </c>
      <c r="AA78" s="23" t="s">
        <v>116</v>
      </c>
      <c r="AB78" s="23" t="s">
        <v>116</v>
      </c>
      <c r="AC78" s="23" t="s">
        <v>116</v>
      </c>
      <c r="AD78" s="23" t="s">
        <v>116</v>
      </c>
      <c r="AE78" s="23" t="s">
        <v>116</v>
      </c>
      <c r="AF78" s="23" t="s">
        <v>116</v>
      </c>
      <c r="AG78" s="23" t="s">
        <v>116</v>
      </c>
      <c r="AH78" s="23" t="s">
        <v>116</v>
      </c>
      <c r="AI78" s="52">
        <v>0</v>
      </c>
      <c r="AJ78" s="51">
        <v>199</v>
      </c>
    </row>
    <row r="79" spans="1:36" x14ac:dyDescent="0.2">
      <c r="A79" s="47">
        <v>44639</v>
      </c>
      <c r="B79" s="48">
        <v>19</v>
      </c>
      <c r="C79" s="48">
        <v>78</v>
      </c>
      <c r="D79" s="48">
        <v>7</v>
      </c>
      <c r="E79" s="48" t="s">
        <v>10</v>
      </c>
      <c r="F79" s="48">
        <v>11</v>
      </c>
      <c r="G79" s="48">
        <v>3</v>
      </c>
      <c r="H79" s="48" t="s">
        <v>19</v>
      </c>
      <c r="I79" s="48">
        <v>1</v>
      </c>
      <c r="J79" s="49">
        <v>3</v>
      </c>
      <c r="K79" s="49">
        <v>48</v>
      </c>
      <c r="L79" s="49">
        <v>131</v>
      </c>
      <c r="M79" s="50">
        <v>0.84</v>
      </c>
      <c r="N79" s="49">
        <v>110</v>
      </c>
      <c r="O79" s="49">
        <v>21</v>
      </c>
      <c r="P79" s="50">
        <v>1.38</v>
      </c>
      <c r="Q79" s="50">
        <v>0.13</v>
      </c>
      <c r="R79" s="50">
        <v>1.2</v>
      </c>
      <c r="S79" s="50">
        <v>0.08</v>
      </c>
      <c r="T79" s="50">
        <v>0.1</v>
      </c>
      <c r="U79" s="49">
        <v>34</v>
      </c>
      <c r="V79" s="50">
        <v>0.14000000000000001</v>
      </c>
      <c r="W79" s="50">
        <v>0.35</v>
      </c>
      <c r="X79" s="49">
        <f t="shared" si="3"/>
        <v>45.849999999999994</v>
      </c>
      <c r="Y79" s="49">
        <f t="shared" si="4"/>
        <v>10.48</v>
      </c>
      <c r="Z79" s="49">
        <f t="shared" si="5"/>
        <v>74.67</v>
      </c>
      <c r="AA79" s="23" t="s">
        <v>116</v>
      </c>
      <c r="AB79" s="23" t="s">
        <v>116</v>
      </c>
      <c r="AC79" s="23" t="s">
        <v>116</v>
      </c>
      <c r="AD79" s="23" t="s">
        <v>116</v>
      </c>
      <c r="AE79" s="23" t="s">
        <v>116</v>
      </c>
      <c r="AF79" s="23" t="s">
        <v>116</v>
      </c>
      <c r="AG79" s="23" t="s">
        <v>116</v>
      </c>
      <c r="AH79" s="23" t="s">
        <v>116</v>
      </c>
      <c r="AI79" s="52">
        <v>0</v>
      </c>
      <c r="AJ79" s="51">
        <v>21</v>
      </c>
    </row>
    <row r="80" spans="1:36" x14ac:dyDescent="0.2">
      <c r="A80" s="47">
        <v>44640</v>
      </c>
      <c r="B80" s="48">
        <v>20</v>
      </c>
      <c r="C80" s="48">
        <v>79</v>
      </c>
      <c r="D80" s="48">
        <v>1</v>
      </c>
      <c r="E80" s="48" t="s">
        <v>12</v>
      </c>
      <c r="F80" s="48">
        <v>12</v>
      </c>
      <c r="G80" s="48">
        <v>3</v>
      </c>
      <c r="H80" s="48" t="s">
        <v>19</v>
      </c>
      <c r="I80" s="48">
        <v>1</v>
      </c>
      <c r="J80" s="49">
        <v>6</v>
      </c>
      <c r="K80" s="49">
        <v>43</v>
      </c>
      <c r="L80" s="49">
        <v>248</v>
      </c>
      <c r="M80" s="50">
        <v>0.31</v>
      </c>
      <c r="N80" s="49">
        <v>77</v>
      </c>
      <c r="O80" s="49">
        <v>171</v>
      </c>
      <c r="P80" s="50">
        <v>0.41</v>
      </c>
      <c r="Q80" s="50">
        <v>0.47</v>
      </c>
      <c r="R80" s="50">
        <v>0.44</v>
      </c>
      <c r="S80" s="50">
        <v>0.19</v>
      </c>
      <c r="T80" s="50">
        <v>0.12</v>
      </c>
      <c r="U80" s="49">
        <v>30</v>
      </c>
      <c r="V80" s="50">
        <v>0.03</v>
      </c>
      <c r="W80" s="50">
        <v>0.05</v>
      </c>
      <c r="X80" s="49">
        <f t="shared" si="3"/>
        <v>12.4</v>
      </c>
      <c r="Y80" s="49">
        <f t="shared" si="4"/>
        <v>47.12</v>
      </c>
      <c r="Z80" s="49">
        <f t="shared" si="5"/>
        <v>188.48000000000002</v>
      </c>
      <c r="AA80" s="23" t="s">
        <v>116</v>
      </c>
      <c r="AB80" s="23">
        <v>1000</v>
      </c>
      <c r="AC80" s="23" t="s">
        <v>116</v>
      </c>
      <c r="AD80" s="23" t="s">
        <v>116</v>
      </c>
      <c r="AE80" s="23">
        <v>100</v>
      </c>
      <c r="AF80" s="23" t="s">
        <v>116</v>
      </c>
      <c r="AG80" s="23" t="s">
        <v>116</v>
      </c>
      <c r="AH80" s="23" t="s">
        <v>116</v>
      </c>
      <c r="AI80" s="52">
        <v>1100</v>
      </c>
      <c r="AJ80" s="51">
        <v>-929</v>
      </c>
    </row>
    <row r="81" spans="1:36" x14ac:dyDescent="0.2">
      <c r="A81" s="47">
        <v>44641</v>
      </c>
      <c r="B81" s="48">
        <v>21</v>
      </c>
      <c r="C81" s="48">
        <v>80</v>
      </c>
      <c r="D81" s="48">
        <v>2</v>
      </c>
      <c r="E81" s="48" t="s">
        <v>13</v>
      </c>
      <c r="F81" s="48">
        <v>12</v>
      </c>
      <c r="G81" s="48">
        <v>3</v>
      </c>
      <c r="H81" s="48" t="s">
        <v>19</v>
      </c>
      <c r="I81" s="48">
        <v>1</v>
      </c>
      <c r="J81" s="49">
        <v>17</v>
      </c>
      <c r="K81" s="49">
        <v>93</v>
      </c>
      <c r="L81" s="49">
        <v>1564</v>
      </c>
      <c r="M81" s="50">
        <v>0.69</v>
      </c>
      <c r="N81" s="49">
        <v>1075</v>
      </c>
      <c r="O81" s="49">
        <v>488</v>
      </c>
      <c r="P81" s="50">
        <v>0.38</v>
      </c>
      <c r="Q81" s="50">
        <v>0.52</v>
      </c>
      <c r="R81" s="50">
        <v>0.98</v>
      </c>
      <c r="S81" s="50">
        <v>0.26</v>
      </c>
      <c r="T81" s="50">
        <v>0.01</v>
      </c>
      <c r="U81" s="49">
        <v>65</v>
      </c>
      <c r="V81" s="50">
        <v>0.12</v>
      </c>
      <c r="W81" s="50">
        <v>0.02</v>
      </c>
      <c r="X81" s="49">
        <f t="shared" si="3"/>
        <v>31.28</v>
      </c>
      <c r="Y81" s="49">
        <f t="shared" si="4"/>
        <v>406.64</v>
      </c>
      <c r="Z81" s="49">
        <f t="shared" si="5"/>
        <v>1126.08</v>
      </c>
      <c r="AA81" s="23" t="s">
        <v>116</v>
      </c>
      <c r="AB81" s="23" t="s">
        <v>116</v>
      </c>
      <c r="AC81" s="23" t="s">
        <v>116</v>
      </c>
      <c r="AD81" s="23" t="s">
        <v>116</v>
      </c>
      <c r="AE81" s="23" t="s">
        <v>116</v>
      </c>
      <c r="AF81" s="23" t="s">
        <v>116</v>
      </c>
      <c r="AG81" s="23" t="s">
        <v>116</v>
      </c>
      <c r="AH81" s="23" t="s">
        <v>116</v>
      </c>
      <c r="AI81" s="52">
        <v>0</v>
      </c>
      <c r="AJ81" s="51">
        <v>488</v>
      </c>
    </row>
    <row r="82" spans="1:36" x14ac:dyDescent="0.2">
      <c r="A82" s="47">
        <v>44642</v>
      </c>
      <c r="B82" s="48">
        <v>22</v>
      </c>
      <c r="C82" s="48">
        <v>81</v>
      </c>
      <c r="D82" s="48">
        <v>3</v>
      </c>
      <c r="E82" s="48" t="s">
        <v>14</v>
      </c>
      <c r="F82" s="48">
        <v>12</v>
      </c>
      <c r="G82" s="48">
        <v>3</v>
      </c>
      <c r="H82" s="48" t="s">
        <v>19</v>
      </c>
      <c r="I82" s="48">
        <v>1</v>
      </c>
      <c r="J82" s="49">
        <v>13</v>
      </c>
      <c r="K82" s="49">
        <v>74</v>
      </c>
      <c r="L82" s="49">
        <v>947</v>
      </c>
      <c r="M82" s="50">
        <v>0.92</v>
      </c>
      <c r="N82" s="49">
        <v>872</v>
      </c>
      <c r="O82" s="49">
        <v>76</v>
      </c>
      <c r="P82" s="50">
        <v>0.8</v>
      </c>
      <c r="Q82" s="50">
        <v>0.38</v>
      </c>
      <c r="R82" s="50">
        <v>1.31</v>
      </c>
      <c r="S82" s="50">
        <v>0.25</v>
      </c>
      <c r="T82" s="50">
        <v>0.01</v>
      </c>
      <c r="U82" s="49">
        <v>51</v>
      </c>
      <c r="V82" s="50">
        <v>0.13</v>
      </c>
      <c r="W82" s="50">
        <v>0.04</v>
      </c>
      <c r="X82" s="49">
        <f t="shared" si="3"/>
        <v>37.880000000000003</v>
      </c>
      <c r="Y82" s="49">
        <f t="shared" si="4"/>
        <v>236.75</v>
      </c>
      <c r="Z82" s="49">
        <f t="shared" si="5"/>
        <v>672.37</v>
      </c>
      <c r="AA82" s="23" t="s">
        <v>116</v>
      </c>
      <c r="AB82" s="23" t="s">
        <v>116</v>
      </c>
      <c r="AC82" s="23" t="s">
        <v>116</v>
      </c>
      <c r="AD82" s="23" t="s">
        <v>116</v>
      </c>
      <c r="AE82" s="23" t="s">
        <v>116</v>
      </c>
      <c r="AF82" s="23" t="s">
        <v>116</v>
      </c>
      <c r="AG82" s="23" t="s">
        <v>116</v>
      </c>
      <c r="AH82" s="23" t="s">
        <v>116</v>
      </c>
      <c r="AI82" s="52">
        <v>0</v>
      </c>
      <c r="AJ82" s="51">
        <v>76</v>
      </c>
    </row>
    <row r="83" spans="1:36" x14ac:dyDescent="0.2">
      <c r="A83" s="47">
        <v>44643</v>
      </c>
      <c r="B83" s="48">
        <v>23</v>
      </c>
      <c r="C83" s="48">
        <v>82</v>
      </c>
      <c r="D83" s="48">
        <v>4</v>
      </c>
      <c r="E83" s="48" t="s">
        <v>15</v>
      </c>
      <c r="F83" s="48">
        <v>12</v>
      </c>
      <c r="G83" s="48">
        <v>3</v>
      </c>
      <c r="H83" s="48" t="s">
        <v>19</v>
      </c>
      <c r="I83" s="48">
        <v>1</v>
      </c>
      <c r="J83" s="49">
        <v>4</v>
      </c>
      <c r="K83" s="49">
        <v>49</v>
      </c>
      <c r="L83" s="49">
        <v>211</v>
      </c>
      <c r="M83" s="50">
        <v>0.28000000000000003</v>
      </c>
      <c r="N83" s="49">
        <v>59</v>
      </c>
      <c r="O83" s="49">
        <v>152</v>
      </c>
      <c r="P83" s="50">
        <v>1.23</v>
      </c>
      <c r="Q83" s="50">
        <v>0.16</v>
      </c>
      <c r="R83" s="50">
        <v>0.4</v>
      </c>
      <c r="S83" s="50">
        <v>0.13</v>
      </c>
      <c r="T83" s="50">
        <v>0.06</v>
      </c>
      <c r="U83" s="49">
        <v>34</v>
      </c>
      <c r="V83" s="50">
        <v>0.3</v>
      </c>
      <c r="W83" s="50">
        <v>0.2</v>
      </c>
      <c r="X83" s="49">
        <f t="shared" si="3"/>
        <v>42.2</v>
      </c>
      <c r="Y83" s="49">
        <f t="shared" si="4"/>
        <v>27.43</v>
      </c>
      <c r="Z83" s="49">
        <f t="shared" si="5"/>
        <v>141.37</v>
      </c>
      <c r="AA83" s="23" t="s">
        <v>116</v>
      </c>
      <c r="AB83" s="23" t="s">
        <v>116</v>
      </c>
      <c r="AC83" s="23" t="s">
        <v>116</v>
      </c>
      <c r="AD83" s="23" t="s">
        <v>116</v>
      </c>
      <c r="AE83" s="23" t="s">
        <v>116</v>
      </c>
      <c r="AF83" s="23" t="s">
        <v>116</v>
      </c>
      <c r="AG83" s="23" t="s">
        <v>116</v>
      </c>
      <c r="AH83" s="23" t="s">
        <v>116</v>
      </c>
      <c r="AI83" s="52">
        <v>0</v>
      </c>
      <c r="AJ83" s="51">
        <v>152</v>
      </c>
    </row>
    <row r="84" spans="1:36" x14ac:dyDescent="0.2">
      <c r="A84" s="47">
        <v>44644</v>
      </c>
      <c r="B84" s="48">
        <v>24</v>
      </c>
      <c r="C84" s="48">
        <v>83</v>
      </c>
      <c r="D84" s="48">
        <v>5</v>
      </c>
      <c r="E84" s="48" t="s">
        <v>16</v>
      </c>
      <c r="F84" s="48">
        <v>12</v>
      </c>
      <c r="G84" s="48">
        <v>3</v>
      </c>
      <c r="H84" s="48" t="s">
        <v>19</v>
      </c>
      <c r="I84" s="48">
        <v>1</v>
      </c>
      <c r="J84" s="49">
        <v>22</v>
      </c>
      <c r="K84" s="49">
        <v>19</v>
      </c>
      <c r="L84" s="49">
        <v>424</v>
      </c>
      <c r="M84" s="50">
        <v>0.47</v>
      </c>
      <c r="N84" s="49">
        <v>201</v>
      </c>
      <c r="O84" s="49">
        <v>223</v>
      </c>
      <c r="P84" s="50">
        <v>3.09</v>
      </c>
      <c r="Q84" s="50">
        <v>0.7</v>
      </c>
      <c r="R84" s="50">
        <v>0.68</v>
      </c>
      <c r="S84" s="50">
        <v>1.59</v>
      </c>
      <c r="T84" s="50">
        <v>0.03</v>
      </c>
      <c r="U84" s="49">
        <v>14</v>
      </c>
      <c r="V84" s="50">
        <v>1.05</v>
      </c>
      <c r="W84" s="50">
        <v>0.1</v>
      </c>
      <c r="X84" s="49">
        <f t="shared" si="3"/>
        <v>42.400000000000006</v>
      </c>
      <c r="Y84" s="49">
        <f t="shared" si="4"/>
        <v>674.16000000000008</v>
      </c>
      <c r="Z84" s="49">
        <f t="shared" si="5"/>
        <v>-292.56000000000006</v>
      </c>
      <c r="AA84" s="23" t="s">
        <v>116</v>
      </c>
      <c r="AB84" s="23" t="s">
        <v>116</v>
      </c>
      <c r="AC84" s="23" t="s">
        <v>116</v>
      </c>
      <c r="AD84" s="23" t="s">
        <v>116</v>
      </c>
      <c r="AE84" s="23" t="s">
        <v>116</v>
      </c>
      <c r="AF84" s="23" t="s">
        <v>116</v>
      </c>
      <c r="AG84" s="23" t="s">
        <v>116</v>
      </c>
      <c r="AH84" s="23" t="s">
        <v>116</v>
      </c>
      <c r="AI84" s="52">
        <v>0</v>
      </c>
      <c r="AJ84" s="51">
        <v>223</v>
      </c>
    </row>
    <row r="85" spans="1:36" x14ac:dyDescent="0.2">
      <c r="A85" s="47">
        <v>44645</v>
      </c>
      <c r="B85" s="48">
        <v>25</v>
      </c>
      <c r="C85" s="48">
        <v>84</v>
      </c>
      <c r="D85" s="48">
        <v>6</v>
      </c>
      <c r="E85" s="48" t="s">
        <v>17</v>
      </c>
      <c r="F85" s="48">
        <v>12</v>
      </c>
      <c r="G85" s="48">
        <v>3</v>
      </c>
      <c r="H85" s="48" t="s">
        <v>19</v>
      </c>
      <c r="I85" s="48">
        <v>1</v>
      </c>
      <c r="J85" s="49">
        <v>22</v>
      </c>
      <c r="K85" s="49">
        <v>50</v>
      </c>
      <c r="L85" s="49">
        <v>1097</v>
      </c>
      <c r="M85" s="50">
        <v>0.72</v>
      </c>
      <c r="N85" s="49">
        <v>789</v>
      </c>
      <c r="O85" s="49">
        <v>308</v>
      </c>
      <c r="P85" s="50">
        <v>1.48</v>
      </c>
      <c r="Q85" s="50">
        <v>0.79</v>
      </c>
      <c r="R85" s="50">
        <v>1.03</v>
      </c>
      <c r="S85" s="50">
        <v>0.64</v>
      </c>
      <c r="T85" s="50">
        <v>0.01</v>
      </c>
      <c r="U85" s="49">
        <v>35</v>
      </c>
      <c r="V85" s="50">
        <v>0.19</v>
      </c>
      <c r="W85" s="50">
        <v>0.05</v>
      </c>
      <c r="X85" s="49">
        <f t="shared" si="3"/>
        <v>54.85</v>
      </c>
      <c r="Y85" s="49">
        <f t="shared" si="4"/>
        <v>702.08</v>
      </c>
      <c r="Z85" s="49">
        <f t="shared" si="5"/>
        <v>340.06999999999994</v>
      </c>
      <c r="AA85" s="23" t="s">
        <v>116</v>
      </c>
      <c r="AB85" s="23" t="s">
        <v>116</v>
      </c>
      <c r="AC85" s="23" t="s">
        <v>116</v>
      </c>
      <c r="AD85" s="23" t="s">
        <v>116</v>
      </c>
      <c r="AE85" s="23" t="s">
        <v>116</v>
      </c>
      <c r="AF85" s="23" t="s">
        <v>116</v>
      </c>
      <c r="AG85" s="23">
        <v>83</v>
      </c>
      <c r="AH85" s="23" t="s">
        <v>116</v>
      </c>
      <c r="AI85" s="52">
        <v>83</v>
      </c>
      <c r="AJ85" s="51">
        <v>225</v>
      </c>
    </row>
    <row r="86" spans="1:36" x14ac:dyDescent="0.2">
      <c r="A86" s="47">
        <v>44646</v>
      </c>
      <c r="B86" s="48">
        <v>26</v>
      </c>
      <c r="C86" s="48">
        <v>85</v>
      </c>
      <c r="D86" s="48">
        <v>7</v>
      </c>
      <c r="E86" s="48" t="s">
        <v>10</v>
      </c>
      <c r="F86" s="48">
        <v>12</v>
      </c>
      <c r="G86" s="48">
        <v>3</v>
      </c>
      <c r="H86" s="48" t="s">
        <v>19</v>
      </c>
      <c r="I86" s="48">
        <v>1</v>
      </c>
      <c r="J86" s="49">
        <v>18</v>
      </c>
      <c r="K86" s="49">
        <v>45</v>
      </c>
      <c r="L86" s="49">
        <v>805</v>
      </c>
      <c r="M86" s="50">
        <v>0.65</v>
      </c>
      <c r="N86" s="49">
        <v>521</v>
      </c>
      <c r="O86" s="49">
        <v>284</v>
      </c>
      <c r="P86" s="50">
        <v>0.86</v>
      </c>
      <c r="Q86" s="50">
        <v>0.55000000000000004</v>
      </c>
      <c r="R86" s="50">
        <v>0.92</v>
      </c>
      <c r="S86" s="50">
        <v>0.57999999999999996</v>
      </c>
      <c r="T86" s="50">
        <v>0.02</v>
      </c>
      <c r="U86" s="49">
        <v>31</v>
      </c>
      <c r="V86" s="50">
        <v>0.23</v>
      </c>
      <c r="W86" s="50">
        <v>0.03</v>
      </c>
      <c r="X86" s="49">
        <f t="shared" si="3"/>
        <v>24.15</v>
      </c>
      <c r="Y86" s="49">
        <f t="shared" si="4"/>
        <v>466.9</v>
      </c>
      <c r="Z86" s="49">
        <f t="shared" si="5"/>
        <v>313.95000000000005</v>
      </c>
      <c r="AA86" s="23" t="s">
        <v>116</v>
      </c>
      <c r="AB86" s="23" t="s">
        <v>116</v>
      </c>
      <c r="AC86" s="23" t="s">
        <v>116</v>
      </c>
      <c r="AD86" s="23" t="s">
        <v>116</v>
      </c>
      <c r="AE86" s="23" t="s">
        <v>116</v>
      </c>
      <c r="AF86" s="23" t="s">
        <v>116</v>
      </c>
      <c r="AG86" s="23" t="s">
        <v>116</v>
      </c>
      <c r="AH86" s="23" t="s">
        <v>116</v>
      </c>
      <c r="AI86" s="52">
        <v>0</v>
      </c>
      <c r="AJ86" s="51">
        <v>284</v>
      </c>
    </row>
    <row r="87" spans="1:36" x14ac:dyDescent="0.2">
      <c r="A87" s="47">
        <v>44647</v>
      </c>
      <c r="B87" s="48">
        <v>27</v>
      </c>
      <c r="C87" s="48">
        <v>86</v>
      </c>
      <c r="D87" s="48">
        <v>1</v>
      </c>
      <c r="E87" s="48" t="s">
        <v>12</v>
      </c>
      <c r="F87" s="48">
        <v>13</v>
      </c>
      <c r="G87" s="48">
        <v>3</v>
      </c>
      <c r="H87" s="48" t="s">
        <v>19</v>
      </c>
      <c r="I87" s="48">
        <v>1</v>
      </c>
      <c r="J87" s="49">
        <v>3</v>
      </c>
      <c r="K87" s="49">
        <v>12</v>
      </c>
      <c r="L87" s="49">
        <v>34</v>
      </c>
      <c r="M87" s="50">
        <v>0.26</v>
      </c>
      <c r="N87" s="49">
        <v>9</v>
      </c>
      <c r="O87" s="49">
        <v>25</v>
      </c>
      <c r="P87" s="50">
        <v>2.0299999999999998</v>
      </c>
      <c r="Q87" s="50">
        <v>0.22</v>
      </c>
      <c r="R87" s="50">
        <v>0.37</v>
      </c>
      <c r="S87" s="50">
        <v>0.32</v>
      </c>
      <c r="T87" s="50">
        <v>0.85</v>
      </c>
      <c r="U87" s="49">
        <v>9</v>
      </c>
      <c r="V87" s="50">
        <v>0.28999999999999998</v>
      </c>
      <c r="W87" s="50">
        <v>0.51</v>
      </c>
      <c r="X87" s="49">
        <f t="shared" si="3"/>
        <v>17.34</v>
      </c>
      <c r="Y87" s="49">
        <f t="shared" si="4"/>
        <v>10.88</v>
      </c>
      <c r="Z87" s="49">
        <f t="shared" si="5"/>
        <v>5.7800000000000011</v>
      </c>
      <c r="AA87" s="23" t="s">
        <v>116</v>
      </c>
      <c r="AB87" s="23">
        <v>1000</v>
      </c>
      <c r="AC87" s="23" t="s">
        <v>116</v>
      </c>
      <c r="AD87" s="23" t="s">
        <v>116</v>
      </c>
      <c r="AE87" s="23" t="s">
        <v>116</v>
      </c>
      <c r="AF87" s="23" t="s">
        <v>116</v>
      </c>
      <c r="AG87" s="23" t="s">
        <v>116</v>
      </c>
      <c r="AH87" s="23" t="s">
        <v>116</v>
      </c>
      <c r="AI87" s="52">
        <v>1000</v>
      </c>
      <c r="AJ87" s="51">
        <v>-975</v>
      </c>
    </row>
    <row r="88" spans="1:36" x14ac:dyDescent="0.2">
      <c r="A88" s="47">
        <v>44648</v>
      </c>
      <c r="B88" s="48">
        <v>28</v>
      </c>
      <c r="C88" s="48">
        <v>87</v>
      </c>
      <c r="D88" s="48">
        <v>2</v>
      </c>
      <c r="E88" s="48" t="s">
        <v>13</v>
      </c>
      <c r="F88" s="48">
        <v>13</v>
      </c>
      <c r="G88" s="48">
        <v>3</v>
      </c>
      <c r="H88" s="48" t="s">
        <v>19</v>
      </c>
      <c r="I88" s="48">
        <v>1</v>
      </c>
      <c r="J88" s="49">
        <v>19</v>
      </c>
      <c r="K88" s="49">
        <v>40</v>
      </c>
      <c r="L88" s="49">
        <v>754</v>
      </c>
      <c r="M88" s="50">
        <v>0.57999999999999996</v>
      </c>
      <c r="N88" s="49">
        <v>441</v>
      </c>
      <c r="O88" s="49">
        <v>313</v>
      </c>
      <c r="P88" s="50">
        <v>1.96</v>
      </c>
      <c r="Q88" s="50">
        <v>0.62</v>
      </c>
      <c r="R88" s="50">
        <v>0.83</v>
      </c>
      <c r="S88" s="50">
        <v>0.68</v>
      </c>
      <c r="T88" s="50">
        <v>0.02</v>
      </c>
      <c r="U88" s="49">
        <v>28</v>
      </c>
      <c r="V88" s="50">
        <v>0.32</v>
      </c>
      <c r="W88" s="50">
        <v>7.0000000000000007E-2</v>
      </c>
      <c r="X88" s="49">
        <f t="shared" si="3"/>
        <v>52.780000000000008</v>
      </c>
      <c r="Y88" s="49">
        <f t="shared" si="4"/>
        <v>512.72</v>
      </c>
      <c r="Z88" s="49">
        <f t="shared" si="5"/>
        <v>188.5</v>
      </c>
      <c r="AA88" s="23" t="s">
        <v>116</v>
      </c>
      <c r="AB88" s="23" t="s">
        <v>116</v>
      </c>
      <c r="AC88" s="23" t="s">
        <v>116</v>
      </c>
      <c r="AD88" s="23" t="s">
        <v>116</v>
      </c>
      <c r="AE88" s="23" t="s">
        <v>116</v>
      </c>
      <c r="AF88" s="23" t="s">
        <v>116</v>
      </c>
      <c r="AG88" s="23" t="s">
        <v>116</v>
      </c>
      <c r="AH88" s="23" t="s">
        <v>116</v>
      </c>
      <c r="AI88" s="52">
        <v>0</v>
      </c>
      <c r="AJ88" s="51">
        <v>313</v>
      </c>
    </row>
    <row r="89" spans="1:36" x14ac:dyDescent="0.2">
      <c r="A89" s="47">
        <v>44649</v>
      </c>
      <c r="B89" s="48">
        <v>29</v>
      </c>
      <c r="C89" s="48">
        <v>88</v>
      </c>
      <c r="D89" s="48">
        <v>3</v>
      </c>
      <c r="E89" s="48" t="s">
        <v>14</v>
      </c>
      <c r="F89" s="48">
        <v>13</v>
      </c>
      <c r="G89" s="48">
        <v>3</v>
      </c>
      <c r="H89" s="48" t="s">
        <v>19</v>
      </c>
      <c r="I89" s="48">
        <v>1</v>
      </c>
      <c r="J89" s="49">
        <v>18</v>
      </c>
      <c r="K89" s="49">
        <v>46</v>
      </c>
      <c r="L89" s="49">
        <v>823</v>
      </c>
      <c r="M89" s="50">
        <v>0.8</v>
      </c>
      <c r="N89" s="49">
        <v>657</v>
      </c>
      <c r="O89" s="49">
        <v>167</v>
      </c>
      <c r="P89" s="50">
        <v>1.18</v>
      </c>
      <c r="Q89" s="50">
        <v>0.55000000000000004</v>
      </c>
      <c r="R89" s="50">
        <v>1.1399999999999999</v>
      </c>
      <c r="S89" s="50">
        <v>0.56000000000000005</v>
      </c>
      <c r="T89" s="50">
        <v>0.02</v>
      </c>
      <c r="U89" s="49">
        <v>32</v>
      </c>
      <c r="V89" s="50">
        <v>0.08</v>
      </c>
      <c r="W89" s="50">
        <v>0.05</v>
      </c>
      <c r="X89" s="49">
        <f t="shared" si="3"/>
        <v>41.150000000000006</v>
      </c>
      <c r="Y89" s="49">
        <f t="shared" si="4"/>
        <v>460.88000000000005</v>
      </c>
      <c r="Z89" s="49">
        <f t="shared" si="5"/>
        <v>320.96999999999991</v>
      </c>
      <c r="AA89" s="23" t="s">
        <v>116</v>
      </c>
      <c r="AB89" s="23" t="s">
        <v>116</v>
      </c>
      <c r="AC89" s="23" t="s">
        <v>116</v>
      </c>
      <c r="AD89" s="23" t="s">
        <v>116</v>
      </c>
      <c r="AE89" s="23" t="s">
        <v>116</v>
      </c>
      <c r="AF89" s="23" t="s">
        <v>116</v>
      </c>
      <c r="AG89" s="23" t="s">
        <v>116</v>
      </c>
      <c r="AH89" s="23" t="s">
        <v>116</v>
      </c>
      <c r="AI89" s="52">
        <v>0</v>
      </c>
      <c r="AJ89" s="51">
        <v>167</v>
      </c>
    </row>
    <row r="90" spans="1:36" x14ac:dyDescent="0.2">
      <c r="A90" s="47">
        <v>44650</v>
      </c>
      <c r="B90" s="48">
        <v>30</v>
      </c>
      <c r="C90" s="48">
        <v>89</v>
      </c>
      <c r="D90" s="48">
        <v>4</v>
      </c>
      <c r="E90" s="48" t="s">
        <v>15</v>
      </c>
      <c r="F90" s="48">
        <v>13</v>
      </c>
      <c r="G90" s="48">
        <v>3</v>
      </c>
      <c r="H90" s="48" t="s">
        <v>19</v>
      </c>
      <c r="I90" s="48">
        <v>1</v>
      </c>
      <c r="J90" s="49">
        <v>20</v>
      </c>
      <c r="K90" s="49">
        <v>14</v>
      </c>
      <c r="L90" s="49">
        <v>283</v>
      </c>
      <c r="M90" s="50">
        <v>0.56000000000000005</v>
      </c>
      <c r="N90" s="49">
        <v>159</v>
      </c>
      <c r="O90" s="49">
        <v>123</v>
      </c>
      <c r="P90" s="50">
        <v>3.5</v>
      </c>
      <c r="Q90" s="50">
        <v>0.55000000000000004</v>
      </c>
      <c r="R90" s="50">
        <v>0.8</v>
      </c>
      <c r="S90" s="50">
        <v>2.0299999999999998</v>
      </c>
      <c r="T90" s="50">
        <v>0.05</v>
      </c>
      <c r="U90" s="49">
        <v>10</v>
      </c>
      <c r="V90" s="50">
        <v>1.01</v>
      </c>
      <c r="W90" s="50">
        <v>0.12</v>
      </c>
      <c r="X90" s="49">
        <f t="shared" si="3"/>
        <v>33.96</v>
      </c>
      <c r="Y90" s="49">
        <f t="shared" si="4"/>
        <v>574.4899999999999</v>
      </c>
      <c r="Z90" s="49">
        <f t="shared" si="5"/>
        <v>-325.44999999999993</v>
      </c>
      <c r="AA90" s="23" t="s">
        <v>116</v>
      </c>
      <c r="AB90" s="23" t="s">
        <v>116</v>
      </c>
      <c r="AC90" s="23" t="s">
        <v>116</v>
      </c>
      <c r="AD90" s="23" t="s">
        <v>116</v>
      </c>
      <c r="AE90" s="23" t="s">
        <v>116</v>
      </c>
      <c r="AF90" s="23" t="s">
        <v>116</v>
      </c>
      <c r="AG90" s="23" t="s">
        <v>116</v>
      </c>
      <c r="AH90" s="23" t="s">
        <v>116</v>
      </c>
      <c r="AI90" s="52">
        <v>0</v>
      </c>
      <c r="AJ90" s="51">
        <v>123</v>
      </c>
    </row>
    <row r="91" spans="1:36" x14ac:dyDescent="0.2">
      <c r="A91" s="47">
        <v>44651</v>
      </c>
      <c r="B91" s="48">
        <v>31</v>
      </c>
      <c r="C91" s="48">
        <v>90</v>
      </c>
      <c r="D91" s="48">
        <v>5</v>
      </c>
      <c r="E91" s="48" t="s">
        <v>16</v>
      </c>
      <c r="F91" s="48">
        <v>13</v>
      </c>
      <c r="G91" s="48">
        <v>3</v>
      </c>
      <c r="H91" s="48" t="s">
        <v>19</v>
      </c>
      <c r="I91" s="48">
        <v>1</v>
      </c>
      <c r="J91" s="49">
        <v>1</v>
      </c>
      <c r="K91" s="49">
        <v>84</v>
      </c>
      <c r="L91" s="49">
        <v>105</v>
      </c>
      <c r="M91" s="50">
        <v>0.41</v>
      </c>
      <c r="N91" s="49">
        <v>43</v>
      </c>
      <c r="O91" s="49">
        <v>61</v>
      </c>
      <c r="P91" s="50">
        <v>0.59</v>
      </c>
      <c r="Q91" s="50">
        <v>0.04</v>
      </c>
      <c r="R91" s="50">
        <v>0.59</v>
      </c>
      <c r="S91" s="50">
        <v>0.02</v>
      </c>
      <c r="T91" s="50">
        <v>0.12</v>
      </c>
      <c r="U91" s="49">
        <v>59</v>
      </c>
      <c r="V91" s="50">
        <v>0.17</v>
      </c>
      <c r="W91" s="50">
        <v>0.33</v>
      </c>
      <c r="X91" s="49">
        <f t="shared" si="3"/>
        <v>34.65</v>
      </c>
      <c r="Y91" s="49">
        <f t="shared" si="4"/>
        <v>2.1</v>
      </c>
      <c r="Z91" s="49">
        <f t="shared" si="5"/>
        <v>68.25</v>
      </c>
      <c r="AA91" s="23" t="s">
        <v>116</v>
      </c>
      <c r="AB91" s="23" t="s">
        <v>116</v>
      </c>
      <c r="AC91" s="23" t="s">
        <v>116</v>
      </c>
      <c r="AD91" s="23" t="s">
        <v>116</v>
      </c>
      <c r="AE91" s="23" t="s">
        <v>116</v>
      </c>
      <c r="AF91" s="23" t="s">
        <v>116</v>
      </c>
      <c r="AG91" s="23" t="s">
        <v>116</v>
      </c>
      <c r="AH91" s="23" t="s">
        <v>116</v>
      </c>
      <c r="AI91" s="52">
        <v>0</v>
      </c>
      <c r="AJ91" s="51">
        <v>61</v>
      </c>
    </row>
    <row r="92" spans="1:36" x14ac:dyDescent="0.2">
      <c r="A92" s="47">
        <v>44652</v>
      </c>
      <c r="B92" s="48">
        <v>1</v>
      </c>
      <c r="C92" s="48">
        <v>91</v>
      </c>
      <c r="D92" s="48">
        <v>6</v>
      </c>
      <c r="E92" s="48" t="s">
        <v>17</v>
      </c>
      <c r="F92" s="48">
        <v>13</v>
      </c>
      <c r="G92" s="48">
        <v>4</v>
      </c>
      <c r="H92" s="48" t="s">
        <v>20</v>
      </c>
      <c r="I92" s="48">
        <v>2</v>
      </c>
      <c r="J92" s="49">
        <v>14</v>
      </c>
      <c r="K92" s="49">
        <v>106</v>
      </c>
      <c r="L92" s="49">
        <v>1433</v>
      </c>
      <c r="M92" s="50">
        <v>0.64</v>
      </c>
      <c r="N92" s="49">
        <v>922</v>
      </c>
      <c r="O92" s="49">
        <v>510</v>
      </c>
      <c r="P92" s="50">
        <v>0.53</v>
      </c>
      <c r="Q92" s="50">
        <v>0.41</v>
      </c>
      <c r="R92" s="50">
        <v>0.92</v>
      </c>
      <c r="S92" s="50">
        <v>0.18</v>
      </c>
      <c r="T92" s="50">
        <v>0.01</v>
      </c>
      <c r="U92" s="49">
        <v>74</v>
      </c>
      <c r="V92" s="50">
        <v>0.03</v>
      </c>
      <c r="W92" s="50">
        <v>0.03</v>
      </c>
      <c r="X92" s="49">
        <f t="shared" si="3"/>
        <v>42.989999999999995</v>
      </c>
      <c r="Y92" s="49">
        <f t="shared" si="4"/>
        <v>257.94</v>
      </c>
      <c r="Z92" s="49">
        <f t="shared" si="5"/>
        <v>1132.07</v>
      </c>
      <c r="AA92" s="23">
        <v>3000</v>
      </c>
      <c r="AB92" s="23" t="s">
        <v>116</v>
      </c>
      <c r="AC92" s="23" t="s">
        <v>116</v>
      </c>
      <c r="AD92" s="23" t="s">
        <v>116</v>
      </c>
      <c r="AE92" s="23" t="s">
        <v>116</v>
      </c>
      <c r="AF92" s="23" t="s">
        <v>116</v>
      </c>
      <c r="AG92" s="23" t="s">
        <v>116</v>
      </c>
      <c r="AH92" s="23" t="s">
        <v>116</v>
      </c>
      <c r="AI92" s="52">
        <v>3000</v>
      </c>
      <c r="AJ92" s="51">
        <v>-2490</v>
      </c>
    </row>
    <row r="93" spans="1:36" x14ac:dyDescent="0.2">
      <c r="A93" s="47">
        <v>44653</v>
      </c>
      <c r="B93" s="48">
        <v>2</v>
      </c>
      <c r="C93" s="48">
        <v>92</v>
      </c>
      <c r="D93" s="48">
        <v>7</v>
      </c>
      <c r="E93" s="48" t="s">
        <v>10</v>
      </c>
      <c r="F93" s="48">
        <v>13</v>
      </c>
      <c r="G93" s="48">
        <v>4</v>
      </c>
      <c r="H93" s="48" t="s">
        <v>20</v>
      </c>
      <c r="I93" s="48">
        <v>2</v>
      </c>
      <c r="J93" s="49">
        <v>16</v>
      </c>
      <c r="K93" s="49">
        <v>108</v>
      </c>
      <c r="L93" s="49">
        <v>1775</v>
      </c>
      <c r="M93" s="50">
        <v>0.49</v>
      </c>
      <c r="N93" s="49">
        <v>876</v>
      </c>
      <c r="O93" s="49">
        <v>898</v>
      </c>
      <c r="P93" s="50">
        <v>0.32</v>
      </c>
      <c r="Q93" s="50">
        <v>0.68</v>
      </c>
      <c r="R93" s="50">
        <v>0.71</v>
      </c>
      <c r="S93" s="50">
        <v>0.22</v>
      </c>
      <c r="T93" s="50">
        <v>0.01</v>
      </c>
      <c r="U93" s="49">
        <v>76</v>
      </c>
      <c r="V93" s="50">
        <v>0.02</v>
      </c>
      <c r="W93" s="50">
        <v>0.01</v>
      </c>
      <c r="X93" s="49">
        <f t="shared" si="3"/>
        <v>17.75</v>
      </c>
      <c r="Y93" s="49">
        <f t="shared" si="4"/>
        <v>390.5</v>
      </c>
      <c r="Z93" s="49">
        <f t="shared" si="5"/>
        <v>1366.75</v>
      </c>
      <c r="AA93" s="23" t="s">
        <v>116</v>
      </c>
      <c r="AB93" s="23" t="s">
        <v>116</v>
      </c>
      <c r="AC93" s="23" t="s">
        <v>116</v>
      </c>
      <c r="AD93" s="23" t="s">
        <v>116</v>
      </c>
      <c r="AE93" s="23" t="s">
        <v>116</v>
      </c>
      <c r="AF93" s="23" t="s">
        <v>116</v>
      </c>
      <c r="AG93" s="23" t="s">
        <v>116</v>
      </c>
      <c r="AH93" s="23" t="s">
        <v>116</v>
      </c>
      <c r="AI93" s="52">
        <v>0</v>
      </c>
      <c r="AJ93" s="51">
        <v>898</v>
      </c>
    </row>
    <row r="94" spans="1:36" x14ac:dyDescent="0.2">
      <c r="A94" s="47">
        <v>44654</v>
      </c>
      <c r="B94" s="48">
        <v>3</v>
      </c>
      <c r="C94" s="48">
        <v>93</v>
      </c>
      <c r="D94" s="48">
        <v>1</v>
      </c>
      <c r="E94" s="48" t="s">
        <v>12</v>
      </c>
      <c r="F94" s="48">
        <v>14</v>
      </c>
      <c r="G94" s="48">
        <v>4</v>
      </c>
      <c r="H94" s="48" t="s">
        <v>20</v>
      </c>
      <c r="I94" s="48">
        <v>2</v>
      </c>
      <c r="J94" s="49">
        <v>13</v>
      </c>
      <c r="K94" s="49">
        <v>18</v>
      </c>
      <c r="L94" s="49">
        <v>231</v>
      </c>
      <c r="M94" s="50">
        <v>0.25</v>
      </c>
      <c r="N94" s="49">
        <v>57</v>
      </c>
      <c r="O94" s="49">
        <v>174</v>
      </c>
      <c r="P94" s="50">
        <v>0.96</v>
      </c>
      <c r="Q94" s="50">
        <v>0.98</v>
      </c>
      <c r="R94" s="50">
        <v>0.35</v>
      </c>
      <c r="S94" s="50">
        <v>1.01</v>
      </c>
      <c r="T94" s="50">
        <v>0.12</v>
      </c>
      <c r="U94" s="49">
        <v>13</v>
      </c>
      <c r="V94" s="50">
        <v>0.37</v>
      </c>
      <c r="W94" s="50">
        <v>0.05</v>
      </c>
      <c r="X94" s="49">
        <f t="shared" si="3"/>
        <v>11.55</v>
      </c>
      <c r="Y94" s="49">
        <f t="shared" si="4"/>
        <v>233.31</v>
      </c>
      <c r="Z94" s="49">
        <f t="shared" si="5"/>
        <v>-13.860000000000014</v>
      </c>
      <c r="AA94" s="23" t="s">
        <v>116</v>
      </c>
      <c r="AB94" s="23">
        <v>1000</v>
      </c>
      <c r="AC94" s="23" t="s">
        <v>116</v>
      </c>
      <c r="AD94" s="23" t="s">
        <v>116</v>
      </c>
      <c r="AE94" s="23" t="s">
        <v>116</v>
      </c>
      <c r="AF94" s="23" t="s">
        <v>116</v>
      </c>
      <c r="AG94" s="23" t="s">
        <v>116</v>
      </c>
      <c r="AH94" s="23" t="s">
        <v>116</v>
      </c>
      <c r="AI94" s="52">
        <v>1000</v>
      </c>
      <c r="AJ94" s="51">
        <v>-826</v>
      </c>
    </row>
    <row r="95" spans="1:36" x14ac:dyDescent="0.2">
      <c r="A95" s="47">
        <v>44655</v>
      </c>
      <c r="B95" s="48">
        <v>4</v>
      </c>
      <c r="C95" s="48">
        <v>94</v>
      </c>
      <c r="D95" s="48">
        <v>2</v>
      </c>
      <c r="E95" s="48" t="s">
        <v>13</v>
      </c>
      <c r="F95" s="48">
        <v>14</v>
      </c>
      <c r="G95" s="48">
        <v>4</v>
      </c>
      <c r="H95" s="48" t="s">
        <v>20</v>
      </c>
      <c r="I95" s="48">
        <v>2</v>
      </c>
      <c r="J95" s="49">
        <v>19</v>
      </c>
      <c r="K95" s="49">
        <v>66</v>
      </c>
      <c r="L95" s="49">
        <v>1262</v>
      </c>
      <c r="M95" s="50">
        <v>0.34</v>
      </c>
      <c r="N95" s="49">
        <v>423</v>
      </c>
      <c r="O95" s="49">
        <v>839</v>
      </c>
      <c r="P95" s="50">
        <v>0.94</v>
      </c>
      <c r="Q95" s="50">
        <v>0.52</v>
      </c>
      <c r="R95" s="50">
        <v>0.48</v>
      </c>
      <c r="S95" s="50">
        <v>0.41</v>
      </c>
      <c r="T95" s="50">
        <v>0.01</v>
      </c>
      <c r="U95" s="49">
        <v>46</v>
      </c>
      <c r="V95" s="50">
        <v>0.27</v>
      </c>
      <c r="W95" s="50">
        <v>0.03</v>
      </c>
      <c r="X95" s="49">
        <f t="shared" si="3"/>
        <v>37.86</v>
      </c>
      <c r="Y95" s="49">
        <f t="shared" si="4"/>
        <v>517.41999999999996</v>
      </c>
      <c r="Z95" s="49">
        <f t="shared" si="5"/>
        <v>706.72</v>
      </c>
      <c r="AA95" s="23" t="s">
        <v>116</v>
      </c>
      <c r="AB95" s="23" t="s">
        <v>116</v>
      </c>
      <c r="AC95" s="23" t="s">
        <v>116</v>
      </c>
      <c r="AD95" s="23" t="s">
        <v>116</v>
      </c>
      <c r="AE95" s="23" t="s">
        <v>116</v>
      </c>
      <c r="AF95" s="23" t="s">
        <v>116</v>
      </c>
      <c r="AG95" s="23" t="s">
        <v>116</v>
      </c>
      <c r="AH95" s="23" t="s">
        <v>116</v>
      </c>
      <c r="AI95" s="52">
        <v>0</v>
      </c>
      <c r="AJ95" s="51">
        <v>839</v>
      </c>
    </row>
    <row r="96" spans="1:36" x14ac:dyDescent="0.2">
      <c r="A96" s="47">
        <v>44656</v>
      </c>
      <c r="B96" s="48">
        <v>5</v>
      </c>
      <c r="C96" s="48">
        <v>95</v>
      </c>
      <c r="D96" s="48">
        <v>3</v>
      </c>
      <c r="E96" s="48" t="s">
        <v>14</v>
      </c>
      <c r="F96" s="48">
        <v>14</v>
      </c>
      <c r="G96" s="48">
        <v>4</v>
      </c>
      <c r="H96" s="48" t="s">
        <v>20</v>
      </c>
      <c r="I96" s="48">
        <v>2</v>
      </c>
      <c r="J96" s="49">
        <v>18</v>
      </c>
      <c r="K96" s="49">
        <v>108</v>
      </c>
      <c r="L96" s="49">
        <v>1910</v>
      </c>
      <c r="M96" s="50">
        <v>0.33</v>
      </c>
      <c r="N96" s="49">
        <v>621</v>
      </c>
      <c r="O96" s="49">
        <v>1289</v>
      </c>
      <c r="P96" s="50">
        <v>0.32</v>
      </c>
      <c r="Q96" s="50">
        <v>0.61</v>
      </c>
      <c r="R96" s="50">
        <v>0.46</v>
      </c>
      <c r="S96" s="50">
        <v>0.23</v>
      </c>
      <c r="T96" s="50">
        <v>0.01</v>
      </c>
      <c r="U96" s="49">
        <v>76</v>
      </c>
      <c r="V96" s="50">
        <v>0.06</v>
      </c>
      <c r="W96" s="50">
        <v>0.01</v>
      </c>
      <c r="X96" s="49">
        <f t="shared" si="3"/>
        <v>19.100000000000001</v>
      </c>
      <c r="Y96" s="49">
        <f t="shared" si="4"/>
        <v>439.3</v>
      </c>
      <c r="Z96" s="49">
        <f t="shared" si="5"/>
        <v>1451.6</v>
      </c>
      <c r="AA96" s="23" t="s">
        <v>116</v>
      </c>
      <c r="AB96" s="23" t="s">
        <v>116</v>
      </c>
      <c r="AC96" s="23" t="s">
        <v>116</v>
      </c>
      <c r="AD96" s="23" t="s">
        <v>116</v>
      </c>
      <c r="AE96" s="23" t="s">
        <v>116</v>
      </c>
      <c r="AF96" s="23" t="s">
        <v>116</v>
      </c>
      <c r="AG96" s="23" t="s">
        <v>116</v>
      </c>
      <c r="AH96" s="23">
        <v>1000</v>
      </c>
      <c r="AI96" s="52">
        <v>1000</v>
      </c>
      <c r="AJ96" s="51">
        <v>289</v>
      </c>
    </row>
    <row r="97" spans="1:36" x14ac:dyDescent="0.2">
      <c r="A97" s="47">
        <v>44657</v>
      </c>
      <c r="B97" s="48">
        <v>6</v>
      </c>
      <c r="C97" s="48">
        <v>96</v>
      </c>
      <c r="D97" s="48">
        <v>4</v>
      </c>
      <c r="E97" s="48" t="s">
        <v>15</v>
      </c>
      <c r="F97" s="48">
        <v>14</v>
      </c>
      <c r="G97" s="48">
        <v>4</v>
      </c>
      <c r="H97" s="48" t="s">
        <v>20</v>
      </c>
      <c r="I97" s="48">
        <v>2</v>
      </c>
      <c r="J97" s="49">
        <v>14</v>
      </c>
      <c r="K97" s="49">
        <v>37</v>
      </c>
      <c r="L97" s="49">
        <v>517</v>
      </c>
      <c r="M97" s="50">
        <v>0.71</v>
      </c>
      <c r="N97" s="49">
        <v>366</v>
      </c>
      <c r="O97" s="49">
        <v>150</v>
      </c>
      <c r="P97" s="50">
        <v>1.66</v>
      </c>
      <c r="Q97" s="50">
        <v>0.51</v>
      </c>
      <c r="R97" s="50">
        <v>1.01</v>
      </c>
      <c r="S97" s="50">
        <v>0.55000000000000004</v>
      </c>
      <c r="T97" s="50">
        <v>0.03</v>
      </c>
      <c r="U97" s="49">
        <v>26</v>
      </c>
      <c r="V97" s="50">
        <v>0.35</v>
      </c>
      <c r="W97" s="50">
        <v>0.08</v>
      </c>
      <c r="X97" s="49">
        <f t="shared" si="3"/>
        <v>41.36</v>
      </c>
      <c r="Y97" s="49">
        <f t="shared" si="4"/>
        <v>284.35000000000002</v>
      </c>
      <c r="Z97" s="49">
        <f t="shared" si="5"/>
        <v>191.28999999999996</v>
      </c>
      <c r="AA97" s="23" t="s">
        <v>116</v>
      </c>
      <c r="AB97" s="23" t="s">
        <v>116</v>
      </c>
      <c r="AC97" s="23" t="s">
        <v>116</v>
      </c>
      <c r="AD97" s="23" t="s">
        <v>116</v>
      </c>
      <c r="AE97" s="23" t="s">
        <v>116</v>
      </c>
      <c r="AF97" s="23" t="s">
        <v>116</v>
      </c>
      <c r="AG97" s="23" t="s">
        <v>116</v>
      </c>
      <c r="AH97" s="23" t="s">
        <v>116</v>
      </c>
      <c r="AI97" s="52">
        <v>0</v>
      </c>
      <c r="AJ97" s="51">
        <v>150</v>
      </c>
    </row>
    <row r="98" spans="1:36" x14ac:dyDescent="0.2">
      <c r="A98" s="47">
        <v>44658</v>
      </c>
      <c r="B98" s="48">
        <v>7</v>
      </c>
      <c r="C98" s="48">
        <v>97</v>
      </c>
      <c r="D98" s="48">
        <v>5</v>
      </c>
      <c r="E98" s="48" t="s">
        <v>16</v>
      </c>
      <c r="F98" s="48">
        <v>14</v>
      </c>
      <c r="G98" s="48">
        <v>4</v>
      </c>
      <c r="H98" s="48" t="s">
        <v>20</v>
      </c>
      <c r="I98" s="48">
        <v>2</v>
      </c>
      <c r="J98" s="49">
        <v>20</v>
      </c>
      <c r="K98" s="49">
        <v>71</v>
      </c>
      <c r="L98" s="49">
        <v>1397</v>
      </c>
      <c r="M98" s="50">
        <v>0.75</v>
      </c>
      <c r="N98" s="49">
        <v>1046</v>
      </c>
      <c r="O98" s="49">
        <v>350</v>
      </c>
      <c r="P98" s="50">
        <v>0.82</v>
      </c>
      <c r="Q98" s="50">
        <v>0.78</v>
      </c>
      <c r="R98" s="50">
        <v>1.07</v>
      </c>
      <c r="S98" s="50">
        <v>0.4</v>
      </c>
      <c r="T98" s="50">
        <v>0.01</v>
      </c>
      <c r="U98" s="49">
        <v>50</v>
      </c>
      <c r="V98" s="50">
        <v>0.17</v>
      </c>
      <c r="W98" s="50">
        <v>0.03</v>
      </c>
      <c r="X98" s="49">
        <f t="shared" si="3"/>
        <v>41.91</v>
      </c>
      <c r="Y98" s="49">
        <f t="shared" si="4"/>
        <v>558.80000000000007</v>
      </c>
      <c r="Z98" s="49">
        <f t="shared" si="5"/>
        <v>796.29</v>
      </c>
      <c r="AA98" s="23" t="s">
        <v>116</v>
      </c>
      <c r="AB98" s="23" t="s">
        <v>116</v>
      </c>
      <c r="AC98" s="23" t="s">
        <v>116</v>
      </c>
      <c r="AD98" s="23" t="s">
        <v>116</v>
      </c>
      <c r="AE98" s="23" t="s">
        <v>116</v>
      </c>
      <c r="AF98" s="23" t="s">
        <v>116</v>
      </c>
      <c r="AG98" s="23" t="s">
        <v>116</v>
      </c>
      <c r="AH98" s="23" t="s">
        <v>116</v>
      </c>
      <c r="AI98" s="52">
        <v>0</v>
      </c>
      <c r="AJ98" s="51">
        <v>350</v>
      </c>
    </row>
    <row r="99" spans="1:36" x14ac:dyDescent="0.2">
      <c r="A99" s="47">
        <v>44659</v>
      </c>
      <c r="B99" s="48">
        <v>8</v>
      </c>
      <c r="C99" s="48">
        <v>98</v>
      </c>
      <c r="D99" s="48">
        <v>6</v>
      </c>
      <c r="E99" s="48" t="s">
        <v>17</v>
      </c>
      <c r="F99" s="48">
        <v>14</v>
      </c>
      <c r="G99" s="48">
        <v>4</v>
      </c>
      <c r="H99" s="48" t="s">
        <v>20</v>
      </c>
      <c r="I99" s="48">
        <v>2</v>
      </c>
      <c r="J99" s="49">
        <v>26</v>
      </c>
      <c r="K99" s="49">
        <v>71</v>
      </c>
      <c r="L99" s="49">
        <v>1838</v>
      </c>
      <c r="M99" s="50">
        <v>0.43</v>
      </c>
      <c r="N99" s="49">
        <v>786</v>
      </c>
      <c r="O99" s="49">
        <v>1052</v>
      </c>
      <c r="P99" s="50">
        <v>0.67</v>
      </c>
      <c r="Q99" s="50">
        <v>0.86</v>
      </c>
      <c r="R99" s="50">
        <v>0.61</v>
      </c>
      <c r="S99" s="50">
        <v>0.52</v>
      </c>
      <c r="T99" s="50">
        <v>0.01</v>
      </c>
      <c r="U99" s="49">
        <v>50</v>
      </c>
      <c r="V99" s="50">
        <v>0.18</v>
      </c>
      <c r="W99" s="50">
        <v>0.02</v>
      </c>
      <c r="X99" s="49">
        <f t="shared" si="3"/>
        <v>36.76</v>
      </c>
      <c r="Y99" s="49">
        <f t="shared" si="4"/>
        <v>955.76</v>
      </c>
      <c r="Z99" s="49">
        <f t="shared" si="5"/>
        <v>845.48</v>
      </c>
      <c r="AA99" s="23" t="s">
        <v>116</v>
      </c>
      <c r="AB99" s="23" t="s">
        <v>116</v>
      </c>
      <c r="AC99" s="23" t="s">
        <v>116</v>
      </c>
      <c r="AD99" s="23" t="s">
        <v>116</v>
      </c>
      <c r="AE99" s="23" t="s">
        <v>116</v>
      </c>
      <c r="AF99" s="23" t="s">
        <v>116</v>
      </c>
      <c r="AG99" s="23" t="s">
        <v>116</v>
      </c>
      <c r="AH99" s="23" t="s">
        <v>116</v>
      </c>
      <c r="AI99" s="52">
        <v>0</v>
      </c>
      <c r="AJ99" s="51">
        <v>1052</v>
      </c>
    </row>
    <row r="100" spans="1:36" x14ac:dyDescent="0.2">
      <c r="A100" s="47">
        <v>44660</v>
      </c>
      <c r="B100" s="48">
        <v>9</v>
      </c>
      <c r="C100" s="48">
        <v>99</v>
      </c>
      <c r="D100" s="48">
        <v>7</v>
      </c>
      <c r="E100" s="48" t="s">
        <v>10</v>
      </c>
      <c r="F100" s="48">
        <v>14</v>
      </c>
      <c r="G100" s="48">
        <v>4</v>
      </c>
      <c r="H100" s="48" t="s">
        <v>20</v>
      </c>
      <c r="I100" s="48">
        <v>2</v>
      </c>
      <c r="J100" s="49">
        <v>13</v>
      </c>
      <c r="K100" s="49">
        <v>23</v>
      </c>
      <c r="L100" s="49">
        <v>302</v>
      </c>
      <c r="M100" s="50">
        <v>0.76</v>
      </c>
      <c r="N100" s="49">
        <v>228</v>
      </c>
      <c r="O100" s="49">
        <v>73</v>
      </c>
      <c r="P100" s="50">
        <v>2.1800000000000002</v>
      </c>
      <c r="Q100" s="50">
        <v>0.36</v>
      </c>
      <c r="R100" s="50">
        <v>1.08</v>
      </c>
      <c r="S100" s="50">
        <v>0.83</v>
      </c>
      <c r="T100" s="50">
        <v>0.04</v>
      </c>
      <c r="U100" s="49">
        <v>16</v>
      </c>
      <c r="V100" s="50">
        <v>0.44</v>
      </c>
      <c r="W100" s="50">
        <v>0.12</v>
      </c>
      <c r="X100" s="49">
        <f t="shared" si="3"/>
        <v>36.24</v>
      </c>
      <c r="Y100" s="49">
        <f t="shared" si="4"/>
        <v>250.66</v>
      </c>
      <c r="Z100" s="49">
        <f t="shared" si="5"/>
        <v>15.100000000000023</v>
      </c>
      <c r="AA100" s="23" t="s">
        <v>116</v>
      </c>
      <c r="AB100" s="23" t="s">
        <v>116</v>
      </c>
      <c r="AC100" s="23" t="s">
        <v>116</v>
      </c>
      <c r="AD100" s="23" t="s">
        <v>116</v>
      </c>
      <c r="AE100" s="23" t="s">
        <v>116</v>
      </c>
      <c r="AF100" s="23" t="s">
        <v>116</v>
      </c>
      <c r="AG100" s="23" t="s">
        <v>116</v>
      </c>
      <c r="AH100" s="23" t="s">
        <v>116</v>
      </c>
      <c r="AI100" s="52">
        <v>0</v>
      </c>
      <c r="AJ100" s="51">
        <v>73</v>
      </c>
    </row>
    <row r="101" spans="1:36" x14ac:dyDescent="0.2">
      <c r="A101" s="47">
        <v>44661</v>
      </c>
      <c r="B101" s="48">
        <v>10</v>
      </c>
      <c r="C101" s="48">
        <v>100</v>
      </c>
      <c r="D101" s="48">
        <v>1</v>
      </c>
      <c r="E101" s="48" t="s">
        <v>12</v>
      </c>
      <c r="F101" s="48">
        <v>15</v>
      </c>
      <c r="G101" s="48">
        <v>4</v>
      </c>
      <c r="H101" s="48" t="s">
        <v>20</v>
      </c>
      <c r="I101" s="48">
        <v>2</v>
      </c>
      <c r="J101" s="49">
        <v>9</v>
      </c>
      <c r="K101" s="49">
        <v>36</v>
      </c>
      <c r="L101" s="49">
        <v>319</v>
      </c>
      <c r="M101" s="50">
        <v>0.23</v>
      </c>
      <c r="N101" s="49">
        <v>75</v>
      </c>
      <c r="O101" s="49">
        <v>244</v>
      </c>
      <c r="P101" s="50">
        <v>0.98</v>
      </c>
      <c r="Q101" s="50">
        <v>0.44</v>
      </c>
      <c r="R101" s="50">
        <v>0.34</v>
      </c>
      <c r="S101" s="50">
        <v>0.36</v>
      </c>
      <c r="T101" s="50">
        <v>0.09</v>
      </c>
      <c r="U101" s="49">
        <v>25</v>
      </c>
      <c r="V101" s="50">
        <v>0.24</v>
      </c>
      <c r="W101" s="50">
        <v>0.08</v>
      </c>
      <c r="X101" s="49">
        <f t="shared" si="3"/>
        <v>25.52</v>
      </c>
      <c r="Y101" s="49">
        <f t="shared" si="4"/>
        <v>114.83999999999999</v>
      </c>
      <c r="Z101" s="49">
        <f t="shared" si="5"/>
        <v>178.64000000000001</v>
      </c>
      <c r="AA101" s="23" t="s">
        <v>116</v>
      </c>
      <c r="AB101" s="23">
        <v>1000</v>
      </c>
      <c r="AC101" s="23" t="s">
        <v>116</v>
      </c>
      <c r="AD101" s="23">
        <v>300</v>
      </c>
      <c r="AE101" s="23" t="s">
        <v>116</v>
      </c>
      <c r="AF101" s="23" t="s">
        <v>116</v>
      </c>
      <c r="AG101" s="23" t="s">
        <v>116</v>
      </c>
      <c r="AH101" s="23" t="s">
        <v>116</v>
      </c>
      <c r="AI101" s="52">
        <v>1300</v>
      </c>
      <c r="AJ101" s="51">
        <v>-1056</v>
      </c>
    </row>
    <row r="102" spans="1:36" x14ac:dyDescent="0.2">
      <c r="A102" s="47">
        <v>44662</v>
      </c>
      <c r="B102" s="48">
        <v>11</v>
      </c>
      <c r="C102" s="48">
        <v>101</v>
      </c>
      <c r="D102" s="48">
        <v>2</v>
      </c>
      <c r="E102" s="48" t="s">
        <v>13</v>
      </c>
      <c r="F102" s="48">
        <v>15</v>
      </c>
      <c r="G102" s="48">
        <v>4</v>
      </c>
      <c r="H102" s="48" t="s">
        <v>20</v>
      </c>
      <c r="I102" s="48">
        <v>2</v>
      </c>
      <c r="J102" s="49">
        <v>19</v>
      </c>
      <c r="K102" s="49">
        <v>60</v>
      </c>
      <c r="L102" s="49">
        <v>1116</v>
      </c>
      <c r="M102" s="50">
        <v>0.6</v>
      </c>
      <c r="N102" s="49">
        <v>669</v>
      </c>
      <c r="O102" s="49">
        <v>446</v>
      </c>
      <c r="P102" s="50">
        <v>0.91</v>
      </c>
      <c r="Q102" s="50">
        <v>0.37</v>
      </c>
      <c r="R102" s="50">
        <v>0.86</v>
      </c>
      <c r="S102" s="50">
        <v>0.44</v>
      </c>
      <c r="T102" s="50">
        <v>0.01</v>
      </c>
      <c r="U102" s="49">
        <v>42</v>
      </c>
      <c r="V102" s="50">
        <v>0.16</v>
      </c>
      <c r="W102" s="50">
        <v>0.03</v>
      </c>
      <c r="X102" s="49">
        <f t="shared" si="3"/>
        <v>33.479999999999997</v>
      </c>
      <c r="Y102" s="49">
        <f t="shared" si="4"/>
        <v>491.04</v>
      </c>
      <c r="Z102" s="49">
        <f t="shared" si="5"/>
        <v>591.48</v>
      </c>
      <c r="AA102" s="23" t="s">
        <v>116</v>
      </c>
      <c r="AB102" s="23" t="s">
        <v>116</v>
      </c>
      <c r="AC102" s="23" t="s">
        <v>116</v>
      </c>
      <c r="AD102" s="23" t="s">
        <v>116</v>
      </c>
      <c r="AE102" s="23" t="s">
        <v>116</v>
      </c>
      <c r="AF102" s="23" t="s">
        <v>116</v>
      </c>
      <c r="AG102" s="23" t="s">
        <v>116</v>
      </c>
      <c r="AH102" s="23" t="s">
        <v>116</v>
      </c>
      <c r="AI102" s="52">
        <v>0</v>
      </c>
      <c r="AJ102" s="51">
        <v>446</v>
      </c>
    </row>
    <row r="103" spans="1:36" x14ac:dyDescent="0.2">
      <c r="A103" s="47">
        <v>44663</v>
      </c>
      <c r="B103" s="48">
        <v>12</v>
      </c>
      <c r="C103" s="48">
        <v>102</v>
      </c>
      <c r="D103" s="48">
        <v>3</v>
      </c>
      <c r="E103" s="48" t="s">
        <v>14</v>
      </c>
      <c r="F103" s="48">
        <v>15</v>
      </c>
      <c r="G103" s="48">
        <v>4</v>
      </c>
      <c r="H103" s="48" t="s">
        <v>20</v>
      </c>
      <c r="I103" s="48">
        <v>2</v>
      </c>
      <c r="J103" s="49">
        <v>7</v>
      </c>
      <c r="K103" s="49">
        <v>64</v>
      </c>
      <c r="L103" s="49">
        <v>436</v>
      </c>
      <c r="M103" s="50">
        <v>0.57999999999999996</v>
      </c>
      <c r="N103" s="49">
        <v>255</v>
      </c>
      <c r="O103" s="49">
        <v>181</v>
      </c>
      <c r="P103" s="50">
        <v>0.91</v>
      </c>
      <c r="Q103" s="50">
        <v>0.19</v>
      </c>
      <c r="R103" s="50">
        <v>0.83</v>
      </c>
      <c r="S103" s="50">
        <v>0.15</v>
      </c>
      <c r="T103" s="50">
        <v>0.03</v>
      </c>
      <c r="U103" s="49">
        <v>45</v>
      </c>
      <c r="V103" s="50">
        <v>0.11</v>
      </c>
      <c r="W103" s="50">
        <v>0.09</v>
      </c>
      <c r="X103" s="49">
        <f t="shared" si="3"/>
        <v>39.24</v>
      </c>
      <c r="Y103" s="49">
        <f t="shared" si="4"/>
        <v>65.399999999999991</v>
      </c>
      <c r="Z103" s="49">
        <f t="shared" si="5"/>
        <v>331.36</v>
      </c>
      <c r="AA103" s="23" t="s">
        <v>116</v>
      </c>
      <c r="AB103" s="23" t="s">
        <v>116</v>
      </c>
      <c r="AC103" s="23" t="s">
        <v>116</v>
      </c>
      <c r="AD103" s="23" t="s">
        <v>116</v>
      </c>
      <c r="AE103" s="23" t="s">
        <v>116</v>
      </c>
      <c r="AF103" s="23">
        <v>480</v>
      </c>
      <c r="AG103" s="23" t="s">
        <v>116</v>
      </c>
      <c r="AH103" s="23" t="s">
        <v>116</v>
      </c>
      <c r="AI103" s="52">
        <v>480</v>
      </c>
      <c r="AJ103" s="51">
        <v>-299</v>
      </c>
    </row>
    <row r="104" spans="1:36" x14ac:dyDescent="0.2">
      <c r="A104" s="47">
        <v>44664</v>
      </c>
      <c r="B104" s="48">
        <v>13</v>
      </c>
      <c r="C104" s="48">
        <v>103</v>
      </c>
      <c r="D104" s="48">
        <v>4</v>
      </c>
      <c r="E104" s="48" t="s">
        <v>15</v>
      </c>
      <c r="F104" s="48">
        <v>15</v>
      </c>
      <c r="G104" s="48">
        <v>4</v>
      </c>
      <c r="H104" s="48" t="s">
        <v>20</v>
      </c>
      <c r="I104" s="48">
        <v>2</v>
      </c>
      <c r="J104" s="49">
        <v>14</v>
      </c>
      <c r="K104" s="49">
        <v>64</v>
      </c>
      <c r="L104" s="49">
        <v>921</v>
      </c>
      <c r="M104" s="50">
        <v>0.92</v>
      </c>
      <c r="N104" s="49">
        <v>844</v>
      </c>
      <c r="O104" s="49">
        <v>77</v>
      </c>
      <c r="P104" s="50">
        <v>1.23</v>
      </c>
      <c r="Q104" s="50">
        <v>0.34</v>
      </c>
      <c r="R104" s="50">
        <v>1.31</v>
      </c>
      <c r="S104" s="50">
        <v>0.32</v>
      </c>
      <c r="T104" s="50">
        <v>0.01</v>
      </c>
      <c r="U104" s="49">
        <v>45</v>
      </c>
      <c r="V104" s="50">
        <v>0.24</v>
      </c>
      <c r="W104" s="50">
        <v>0.06</v>
      </c>
      <c r="X104" s="49">
        <f t="shared" si="3"/>
        <v>55.26</v>
      </c>
      <c r="Y104" s="49">
        <f t="shared" si="4"/>
        <v>294.72000000000003</v>
      </c>
      <c r="Z104" s="49">
        <f t="shared" si="5"/>
        <v>571.02</v>
      </c>
      <c r="AA104" s="23" t="s">
        <v>116</v>
      </c>
      <c r="AB104" s="23" t="s">
        <v>116</v>
      </c>
      <c r="AC104" s="23" t="s">
        <v>116</v>
      </c>
      <c r="AD104" s="23" t="s">
        <v>116</v>
      </c>
      <c r="AE104" s="23" t="s">
        <v>116</v>
      </c>
      <c r="AF104" s="23" t="s">
        <v>116</v>
      </c>
      <c r="AG104" s="23" t="s">
        <v>116</v>
      </c>
      <c r="AH104" s="23" t="s">
        <v>116</v>
      </c>
      <c r="AI104" s="52">
        <v>0</v>
      </c>
      <c r="AJ104" s="51">
        <v>77</v>
      </c>
    </row>
    <row r="105" spans="1:36" x14ac:dyDescent="0.2">
      <c r="A105" s="47">
        <v>44665</v>
      </c>
      <c r="B105" s="48">
        <v>14</v>
      </c>
      <c r="C105" s="48">
        <v>104</v>
      </c>
      <c r="D105" s="48">
        <v>5</v>
      </c>
      <c r="E105" s="48" t="s">
        <v>16</v>
      </c>
      <c r="F105" s="48">
        <v>15</v>
      </c>
      <c r="G105" s="48">
        <v>4</v>
      </c>
      <c r="H105" s="48" t="s">
        <v>20</v>
      </c>
      <c r="I105" s="48">
        <v>2</v>
      </c>
      <c r="J105" s="49">
        <v>24</v>
      </c>
      <c r="K105" s="49">
        <v>50</v>
      </c>
      <c r="L105" s="49">
        <v>1225</v>
      </c>
      <c r="M105" s="50">
        <v>0.74</v>
      </c>
      <c r="N105" s="49">
        <v>909</v>
      </c>
      <c r="O105" s="49">
        <v>315</v>
      </c>
      <c r="P105" s="50">
        <v>1.48</v>
      </c>
      <c r="Q105" s="50">
        <v>0.65</v>
      </c>
      <c r="R105" s="50">
        <v>1.06</v>
      </c>
      <c r="S105" s="50">
        <v>0.7</v>
      </c>
      <c r="T105" s="50">
        <v>0.01</v>
      </c>
      <c r="U105" s="49">
        <v>35</v>
      </c>
      <c r="V105" s="50">
        <v>0.23</v>
      </c>
      <c r="W105" s="50">
        <v>0.04</v>
      </c>
      <c r="X105" s="49">
        <f t="shared" si="3"/>
        <v>49</v>
      </c>
      <c r="Y105" s="49">
        <f t="shared" si="4"/>
        <v>857.5</v>
      </c>
      <c r="Z105" s="49">
        <f t="shared" si="5"/>
        <v>318.5</v>
      </c>
      <c r="AA105" s="23" t="s">
        <v>116</v>
      </c>
      <c r="AB105" s="23" t="s">
        <v>116</v>
      </c>
      <c r="AC105" s="23" t="s">
        <v>116</v>
      </c>
      <c r="AD105" s="23" t="s">
        <v>116</v>
      </c>
      <c r="AE105" s="23" t="s">
        <v>116</v>
      </c>
      <c r="AF105" s="23" t="s">
        <v>116</v>
      </c>
      <c r="AG105" s="23" t="s">
        <v>116</v>
      </c>
      <c r="AH105" s="23" t="s">
        <v>116</v>
      </c>
      <c r="AI105" s="52">
        <v>0</v>
      </c>
      <c r="AJ105" s="51">
        <v>315</v>
      </c>
    </row>
    <row r="106" spans="1:36" x14ac:dyDescent="0.2">
      <c r="A106" s="47">
        <v>44666</v>
      </c>
      <c r="B106" s="48">
        <v>15</v>
      </c>
      <c r="C106" s="48">
        <v>105</v>
      </c>
      <c r="D106" s="48">
        <v>6</v>
      </c>
      <c r="E106" s="48" t="s">
        <v>17</v>
      </c>
      <c r="F106" s="48">
        <v>15</v>
      </c>
      <c r="G106" s="48">
        <v>4</v>
      </c>
      <c r="H106" s="48" t="s">
        <v>20</v>
      </c>
      <c r="I106" s="48">
        <v>2</v>
      </c>
      <c r="J106" s="49">
        <v>3</v>
      </c>
      <c r="K106" s="49">
        <v>61</v>
      </c>
      <c r="L106" s="49">
        <v>161</v>
      </c>
      <c r="M106" s="50">
        <v>0.59</v>
      </c>
      <c r="N106" s="49">
        <v>95</v>
      </c>
      <c r="O106" s="49">
        <v>65</v>
      </c>
      <c r="P106" s="50">
        <v>0.84</v>
      </c>
      <c r="Q106" s="50">
        <v>0.06</v>
      </c>
      <c r="R106" s="50">
        <v>0.85</v>
      </c>
      <c r="S106" s="50">
        <v>0.06</v>
      </c>
      <c r="T106" s="50">
        <v>0.08</v>
      </c>
      <c r="U106" s="49">
        <v>43</v>
      </c>
      <c r="V106" s="50">
        <v>0.28000000000000003</v>
      </c>
      <c r="W106" s="50">
        <v>0.22</v>
      </c>
      <c r="X106" s="49">
        <f t="shared" si="3"/>
        <v>35.42</v>
      </c>
      <c r="Y106" s="49">
        <f t="shared" si="4"/>
        <v>9.66</v>
      </c>
      <c r="Z106" s="49">
        <f t="shared" si="5"/>
        <v>115.92</v>
      </c>
      <c r="AA106" s="23" t="s">
        <v>116</v>
      </c>
      <c r="AB106" s="23" t="s">
        <v>116</v>
      </c>
      <c r="AC106" s="23">
        <v>300</v>
      </c>
      <c r="AD106" s="23" t="s">
        <v>116</v>
      </c>
      <c r="AE106" s="23" t="s">
        <v>116</v>
      </c>
      <c r="AF106" s="23" t="s">
        <v>116</v>
      </c>
      <c r="AG106" s="23" t="s">
        <v>116</v>
      </c>
      <c r="AH106" s="23" t="s">
        <v>116</v>
      </c>
      <c r="AI106" s="52">
        <v>300</v>
      </c>
      <c r="AJ106" s="51">
        <v>-235</v>
      </c>
    </row>
    <row r="107" spans="1:36" x14ac:dyDescent="0.2">
      <c r="A107" s="47">
        <v>44667</v>
      </c>
      <c r="B107" s="48">
        <v>16</v>
      </c>
      <c r="C107" s="48">
        <v>106</v>
      </c>
      <c r="D107" s="48">
        <v>7</v>
      </c>
      <c r="E107" s="48" t="s">
        <v>10</v>
      </c>
      <c r="F107" s="48">
        <v>15</v>
      </c>
      <c r="G107" s="48">
        <v>4</v>
      </c>
      <c r="H107" s="48" t="s">
        <v>20</v>
      </c>
      <c r="I107" s="48">
        <v>2</v>
      </c>
      <c r="J107" s="49">
        <v>24</v>
      </c>
      <c r="K107" s="49">
        <v>62</v>
      </c>
      <c r="L107" s="49">
        <v>1511</v>
      </c>
      <c r="M107" s="50">
        <v>0.84</v>
      </c>
      <c r="N107" s="49">
        <v>1263</v>
      </c>
      <c r="O107" s="49">
        <v>248</v>
      </c>
      <c r="P107" s="50">
        <v>1.05</v>
      </c>
      <c r="Q107" s="50">
        <v>0.54</v>
      </c>
      <c r="R107" s="50">
        <v>1.19</v>
      </c>
      <c r="S107" s="50">
        <v>0.56999999999999995</v>
      </c>
      <c r="T107" s="50">
        <v>0.01</v>
      </c>
      <c r="U107" s="49">
        <v>43</v>
      </c>
      <c r="V107" s="50">
        <v>0.18</v>
      </c>
      <c r="W107" s="50">
        <v>0.03</v>
      </c>
      <c r="X107" s="49">
        <f t="shared" si="3"/>
        <v>45.33</v>
      </c>
      <c r="Y107" s="49">
        <f t="shared" si="4"/>
        <v>861.27</v>
      </c>
      <c r="Z107" s="49">
        <f t="shared" si="5"/>
        <v>604.4</v>
      </c>
      <c r="AA107" s="23" t="s">
        <v>116</v>
      </c>
      <c r="AB107" s="23" t="s">
        <v>116</v>
      </c>
      <c r="AC107" s="23" t="s">
        <v>116</v>
      </c>
      <c r="AD107" s="23" t="s">
        <v>116</v>
      </c>
      <c r="AE107" s="23" t="s">
        <v>116</v>
      </c>
      <c r="AF107" s="23" t="s">
        <v>116</v>
      </c>
      <c r="AG107" s="23" t="s">
        <v>116</v>
      </c>
      <c r="AH107" s="23" t="s">
        <v>116</v>
      </c>
      <c r="AI107" s="52">
        <v>0</v>
      </c>
      <c r="AJ107" s="51">
        <v>248</v>
      </c>
    </row>
    <row r="108" spans="1:36" x14ac:dyDescent="0.2">
      <c r="A108" s="47">
        <v>44668</v>
      </c>
      <c r="B108" s="48">
        <v>17</v>
      </c>
      <c r="C108" s="48">
        <v>107</v>
      </c>
      <c r="D108" s="48">
        <v>1</v>
      </c>
      <c r="E108" s="48" t="s">
        <v>12</v>
      </c>
      <c r="F108" s="48">
        <v>16</v>
      </c>
      <c r="G108" s="48">
        <v>4</v>
      </c>
      <c r="H108" s="48" t="s">
        <v>20</v>
      </c>
      <c r="I108" s="48">
        <v>2</v>
      </c>
      <c r="J108" s="49">
        <v>8</v>
      </c>
      <c r="K108" s="49">
        <v>42</v>
      </c>
      <c r="L108" s="49">
        <v>344</v>
      </c>
      <c r="M108" s="50">
        <v>0.33</v>
      </c>
      <c r="N108" s="49">
        <v>115</v>
      </c>
      <c r="O108" s="49">
        <v>229</v>
      </c>
      <c r="P108" s="50">
        <v>0.93</v>
      </c>
      <c r="Q108" s="50">
        <v>0.31</v>
      </c>
      <c r="R108" s="50">
        <v>0.48</v>
      </c>
      <c r="S108" s="50">
        <v>0.28000000000000003</v>
      </c>
      <c r="T108" s="50">
        <v>0.08</v>
      </c>
      <c r="U108" s="49">
        <v>29</v>
      </c>
      <c r="V108" s="50">
        <v>0.34</v>
      </c>
      <c r="W108" s="50">
        <v>0.08</v>
      </c>
      <c r="X108" s="49">
        <f t="shared" si="3"/>
        <v>27.52</v>
      </c>
      <c r="Y108" s="49">
        <f t="shared" si="4"/>
        <v>96.320000000000007</v>
      </c>
      <c r="Z108" s="49">
        <f t="shared" si="5"/>
        <v>220.16</v>
      </c>
      <c r="AA108" s="23" t="s">
        <v>116</v>
      </c>
      <c r="AB108" s="23">
        <v>1000</v>
      </c>
      <c r="AC108" s="23" t="s">
        <v>116</v>
      </c>
      <c r="AD108" s="23" t="s">
        <v>116</v>
      </c>
      <c r="AE108" s="23" t="s">
        <v>116</v>
      </c>
      <c r="AF108" s="23" t="s">
        <v>116</v>
      </c>
      <c r="AG108" s="23" t="s">
        <v>116</v>
      </c>
      <c r="AH108" s="23" t="s">
        <v>116</v>
      </c>
      <c r="AI108" s="52">
        <v>1000</v>
      </c>
      <c r="AJ108" s="51">
        <v>-771</v>
      </c>
    </row>
    <row r="109" spans="1:36" x14ac:dyDescent="0.2">
      <c r="A109" s="47">
        <v>44669</v>
      </c>
      <c r="B109" s="48">
        <v>18</v>
      </c>
      <c r="C109" s="48">
        <v>108</v>
      </c>
      <c r="D109" s="48">
        <v>2</v>
      </c>
      <c r="E109" s="48" t="s">
        <v>13</v>
      </c>
      <c r="F109" s="48">
        <v>16</v>
      </c>
      <c r="G109" s="48">
        <v>4</v>
      </c>
      <c r="H109" s="48" t="s">
        <v>20</v>
      </c>
      <c r="I109" s="48">
        <v>2</v>
      </c>
      <c r="J109" s="49">
        <v>0</v>
      </c>
      <c r="K109" s="49">
        <v>58</v>
      </c>
      <c r="L109" s="49">
        <v>10</v>
      </c>
      <c r="M109" s="50">
        <v>0.77</v>
      </c>
      <c r="N109" s="49">
        <v>7</v>
      </c>
      <c r="O109" s="49">
        <v>2</v>
      </c>
      <c r="P109" s="50">
        <v>1.65</v>
      </c>
      <c r="Q109" s="50">
        <v>0</v>
      </c>
      <c r="R109" s="50">
        <v>1.0900000000000001</v>
      </c>
      <c r="S109" s="50">
        <v>0</v>
      </c>
      <c r="T109" s="50">
        <v>1.33</v>
      </c>
      <c r="U109" s="49">
        <v>40</v>
      </c>
      <c r="V109" s="50">
        <v>0.48</v>
      </c>
      <c r="W109" s="50">
        <v>6.85</v>
      </c>
      <c r="X109" s="49">
        <f t="shared" si="3"/>
        <v>68.5</v>
      </c>
      <c r="Y109" s="49">
        <f t="shared" si="4"/>
        <v>0</v>
      </c>
      <c r="Z109" s="49">
        <f t="shared" si="5"/>
        <v>-58.5</v>
      </c>
      <c r="AA109" s="23" t="s">
        <v>116</v>
      </c>
      <c r="AB109" s="23" t="s">
        <v>116</v>
      </c>
      <c r="AC109" s="23" t="s">
        <v>116</v>
      </c>
      <c r="AD109" s="23" t="s">
        <v>116</v>
      </c>
      <c r="AE109" s="23" t="s">
        <v>116</v>
      </c>
      <c r="AF109" s="23" t="s">
        <v>116</v>
      </c>
      <c r="AG109" s="23" t="s">
        <v>116</v>
      </c>
      <c r="AH109" s="23" t="s">
        <v>116</v>
      </c>
      <c r="AI109" s="52">
        <v>0</v>
      </c>
      <c r="AJ109" s="51">
        <v>2</v>
      </c>
    </row>
    <row r="110" spans="1:36" x14ac:dyDescent="0.2">
      <c r="A110" s="47">
        <v>44670</v>
      </c>
      <c r="B110" s="48">
        <v>19</v>
      </c>
      <c r="C110" s="48">
        <v>109</v>
      </c>
      <c r="D110" s="48">
        <v>3</v>
      </c>
      <c r="E110" s="48" t="s">
        <v>14</v>
      </c>
      <c r="F110" s="48">
        <v>16</v>
      </c>
      <c r="G110" s="48">
        <v>4</v>
      </c>
      <c r="H110" s="48" t="s">
        <v>20</v>
      </c>
      <c r="I110" s="48">
        <v>2</v>
      </c>
      <c r="J110" s="49">
        <v>14</v>
      </c>
      <c r="K110" s="49">
        <v>128</v>
      </c>
      <c r="L110" s="49">
        <v>1754</v>
      </c>
      <c r="M110" s="50">
        <v>1.02</v>
      </c>
      <c r="N110" s="49">
        <v>1786</v>
      </c>
      <c r="O110" s="49">
        <v>-32</v>
      </c>
      <c r="P110" s="50">
        <v>0.61</v>
      </c>
      <c r="Q110" s="50">
        <v>0.27</v>
      </c>
      <c r="R110" s="50">
        <v>1.45</v>
      </c>
      <c r="S110" s="50">
        <v>0.15</v>
      </c>
      <c r="T110" s="50">
        <v>0.01</v>
      </c>
      <c r="U110" s="49">
        <v>89</v>
      </c>
      <c r="V110" s="50">
        <v>0.17</v>
      </c>
      <c r="W110" s="50">
        <v>0.03</v>
      </c>
      <c r="X110" s="49">
        <f t="shared" si="3"/>
        <v>52.62</v>
      </c>
      <c r="Y110" s="49">
        <f t="shared" si="4"/>
        <v>263.09999999999997</v>
      </c>
      <c r="Z110" s="49">
        <f t="shared" si="5"/>
        <v>1438.28</v>
      </c>
      <c r="AA110" s="23" t="s">
        <v>116</v>
      </c>
      <c r="AB110" s="23" t="s">
        <v>116</v>
      </c>
      <c r="AC110" s="23" t="s">
        <v>116</v>
      </c>
      <c r="AD110" s="23" t="s">
        <v>116</v>
      </c>
      <c r="AE110" s="23" t="s">
        <v>116</v>
      </c>
      <c r="AF110" s="23" t="s">
        <v>116</v>
      </c>
      <c r="AG110" s="23" t="s">
        <v>116</v>
      </c>
      <c r="AH110" s="23" t="s">
        <v>116</v>
      </c>
      <c r="AI110" s="52">
        <v>0</v>
      </c>
      <c r="AJ110" s="51">
        <v>-32</v>
      </c>
    </row>
    <row r="111" spans="1:36" x14ac:dyDescent="0.2">
      <c r="A111" s="47">
        <v>44671</v>
      </c>
      <c r="B111" s="48">
        <v>20</v>
      </c>
      <c r="C111" s="48">
        <v>110</v>
      </c>
      <c r="D111" s="48">
        <v>4</v>
      </c>
      <c r="E111" s="48" t="s">
        <v>15</v>
      </c>
      <c r="F111" s="48">
        <v>16</v>
      </c>
      <c r="G111" s="48">
        <v>4</v>
      </c>
      <c r="H111" s="48" t="s">
        <v>20</v>
      </c>
      <c r="I111" s="48">
        <v>2</v>
      </c>
      <c r="J111" s="49">
        <v>22</v>
      </c>
      <c r="K111" s="49">
        <v>148</v>
      </c>
      <c r="L111" s="49">
        <v>3182</v>
      </c>
      <c r="M111" s="50">
        <v>0.7</v>
      </c>
      <c r="N111" s="49">
        <v>2237</v>
      </c>
      <c r="O111" s="49">
        <v>945</v>
      </c>
      <c r="P111" s="50">
        <v>0.45</v>
      </c>
      <c r="Q111" s="50">
        <v>0.39</v>
      </c>
      <c r="R111" s="50">
        <v>1</v>
      </c>
      <c r="S111" s="50">
        <v>0.21</v>
      </c>
      <c r="T111" s="50">
        <v>0</v>
      </c>
      <c r="U111" s="49">
        <v>103</v>
      </c>
      <c r="V111" s="50">
        <v>0.08</v>
      </c>
      <c r="W111" s="50">
        <v>0.01</v>
      </c>
      <c r="X111" s="49">
        <f t="shared" si="3"/>
        <v>31.82</v>
      </c>
      <c r="Y111" s="49">
        <f t="shared" si="4"/>
        <v>668.22</v>
      </c>
      <c r="Z111" s="49">
        <f t="shared" si="5"/>
        <v>2481.96</v>
      </c>
      <c r="AA111" s="23" t="s">
        <v>116</v>
      </c>
      <c r="AB111" s="23" t="s">
        <v>116</v>
      </c>
      <c r="AC111" s="23" t="s">
        <v>116</v>
      </c>
      <c r="AD111" s="23" t="s">
        <v>116</v>
      </c>
      <c r="AE111" s="23">
        <v>100</v>
      </c>
      <c r="AF111" s="23" t="s">
        <v>116</v>
      </c>
      <c r="AG111" s="23" t="s">
        <v>116</v>
      </c>
      <c r="AH111" s="23" t="s">
        <v>116</v>
      </c>
      <c r="AI111" s="52">
        <v>100</v>
      </c>
      <c r="AJ111" s="51">
        <v>845</v>
      </c>
    </row>
    <row r="112" spans="1:36" x14ac:dyDescent="0.2">
      <c r="A112" s="47">
        <v>44672</v>
      </c>
      <c r="B112" s="48">
        <v>21</v>
      </c>
      <c r="C112" s="48">
        <v>111</v>
      </c>
      <c r="D112" s="48">
        <v>5</v>
      </c>
      <c r="E112" s="48" t="s">
        <v>16</v>
      </c>
      <c r="F112" s="48">
        <v>16</v>
      </c>
      <c r="G112" s="48">
        <v>4</v>
      </c>
      <c r="H112" s="48" t="s">
        <v>20</v>
      </c>
      <c r="I112" s="48">
        <v>2</v>
      </c>
      <c r="J112" s="49">
        <v>21</v>
      </c>
      <c r="K112" s="49">
        <v>49</v>
      </c>
      <c r="L112" s="49">
        <v>1033</v>
      </c>
      <c r="M112" s="50">
        <v>0.33</v>
      </c>
      <c r="N112" s="49">
        <v>340</v>
      </c>
      <c r="O112" s="49">
        <v>693</v>
      </c>
      <c r="P112" s="50">
        <v>0.87</v>
      </c>
      <c r="Q112" s="50">
        <v>0.46</v>
      </c>
      <c r="R112" s="50">
        <v>0.47</v>
      </c>
      <c r="S112" s="50">
        <v>0.61</v>
      </c>
      <c r="T112" s="50">
        <v>0.01</v>
      </c>
      <c r="U112" s="49">
        <v>35</v>
      </c>
      <c r="V112" s="50">
        <v>0.28000000000000003</v>
      </c>
      <c r="W112" s="50">
        <v>0.03</v>
      </c>
      <c r="X112" s="49">
        <f t="shared" si="3"/>
        <v>30.99</v>
      </c>
      <c r="Y112" s="49">
        <f t="shared" si="4"/>
        <v>630.13</v>
      </c>
      <c r="Z112" s="49">
        <f t="shared" si="5"/>
        <v>371.88</v>
      </c>
      <c r="AA112" s="23" t="s">
        <v>116</v>
      </c>
      <c r="AB112" s="23" t="s">
        <v>116</v>
      </c>
      <c r="AC112" s="23" t="s">
        <v>116</v>
      </c>
      <c r="AD112" s="23" t="s">
        <v>116</v>
      </c>
      <c r="AE112" s="23" t="s">
        <v>116</v>
      </c>
      <c r="AF112" s="23" t="s">
        <v>116</v>
      </c>
      <c r="AG112" s="23" t="s">
        <v>116</v>
      </c>
      <c r="AH112" s="23" t="s">
        <v>116</v>
      </c>
      <c r="AI112" s="52">
        <v>0</v>
      </c>
      <c r="AJ112" s="51">
        <v>693</v>
      </c>
    </row>
    <row r="113" spans="1:36" x14ac:dyDescent="0.2">
      <c r="A113" s="47">
        <v>44673</v>
      </c>
      <c r="B113" s="48">
        <v>22</v>
      </c>
      <c r="C113" s="48">
        <v>112</v>
      </c>
      <c r="D113" s="48">
        <v>6</v>
      </c>
      <c r="E113" s="48" t="s">
        <v>17</v>
      </c>
      <c r="F113" s="48">
        <v>16</v>
      </c>
      <c r="G113" s="48">
        <v>4</v>
      </c>
      <c r="H113" s="48" t="s">
        <v>20</v>
      </c>
      <c r="I113" s="48">
        <v>2</v>
      </c>
      <c r="J113" s="49">
        <v>15</v>
      </c>
      <c r="K113" s="49">
        <v>85</v>
      </c>
      <c r="L113" s="49">
        <v>1300</v>
      </c>
      <c r="M113" s="50">
        <v>0.8</v>
      </c>
      <c r="N113" s="49">
        <v>1045</v>
      </c>
      <c r="O113" s="49">
        <v>255</v>
      </c>
      <c r="P113" s="50">
        <v>0.87</v>
      </c>
      <c r="Q113" s="50">
        <v>0.24</v>
      </c>
      <c r="R113" s="50">
        <v>1.1499999999999999</v>
      </c>
      <c r="S113" s="50">
        <v>0.26</v>
      </c>
      <c r="T113" s="50">
        <v>0.01</v>
      </c>
      <c r="U113" s="49">
        <v>60</v>
      </c>
      <c r="V113" s="50">
        <v>0.28999999999999998</v>
      </c>
      <c r="W113" s="50">
        <v>0.04</v>
      </c>
      <c r="X113" s="49">
        <f t="shared" si="3"/>
        <v>52</v>
      </c>
      <c r="Y113" s="49">
        <f t="shared" si="4"/>
        <v>338</v>
      </c>
      <c r="Z113" s="49">
        <f t="shared" si="5"/>
        <v>910</v>
      </c>
      <c r="AA113" s="23" t="s">
        <v>116</v>
      </c>
      <c r="AB113" s="23" t="s">
        <v>116</v>
      </c>
      <c r="AC113" s="23" t="s">
        <v>116</v>
      </c>
      <c r="AD113" s="23" t="s">
        <v>116</v>
      </c>
      <c r="AE113" s="23" t="s">
        <v>116</v>
      </c>
      <c r="AF113" s="23" t="s">
        <v>116</v>
      </c>
      <c r="AG113" s="23" t="s">
        <v>116</v>
      </c>
      <c r="AH113" s="23" t="s">
        <v>116</v>
      </c>
      <c r="AI113" s="52">
        <v>0</v>
      </c>
      <c r="AJ113" s="51">
        <v>255</v>
      </c>
    </row>
    <row r="114" spans="1:36" x14ac:dyDescent="0.2">
      <c r="A114" s="47">
        <v>44674</v>
      </c>
      <c r="B114" s="48">
        <v>23</v>
      </c>
      <c r="C114" s="48">
        <v>113</v>
      </c>
      <c r="D114" s="48">
        <v>7</v>
      </c>
      <c r="E114" s="48" t="s">
        <v>10</v>
      </c>
      <c r="F114" s="48">
        <v>16</v>
      </c>
      <c r="G114" s="48">
        <v>4</v>
      </c>
      <c r="H114" s="48" t="s">
        <v>20</v>
      </c>
      <c r="I114" s="48">
        <v>2</v>
      </c>
      <c r="J114" s="49">
        <v>27</v>
      </c>
      <c r="K114" s="49">
        <v>109</v>
      </c>
      <c r="L114" s="49">
        <v>2921</v>
      </c>
      <c r="M114" s="50">
        <v>0.68</v>
      </c>
      <c r="N114" s="49">
        <v>1974</v>
      </c>
      <c r="O114" s="49">
        <v>947</v>
      </c>
      <c r="P114" s="50">
        <v>0.79</v>
      </c>
      <c r="Q114" s="50">
        <v>0.49</v>
      </c>
      <c r="R114" s="50">
        <v>0.97</v>
      </c>
      <c r="S114" s="50">
        <v>0.35</v>
      </c>
      <c r="T114" s="50">
        <v>0</v>
      </c>
      <c r="U114" s="49">
        <v>76</v>
      </c>
      <c r="V114" s="50">
        <v>0.08</v>
      </c>
      <c r="W114" s="50">
        <v>0.02</v>
      </c>
      <c r="X114" s="49">
        <f t="shared" si="3"/>
        <v>58.42</v>
      </c>
      <c r="Y114" s="49">
        <f t="shared" si="4"/>
        <v>1022.3499999999999</v>
      </c>
      <c r="Z114" s="49">
        <f t="shared" si="5"/>
        <v>1840.23</v>
      </c>
      <c r="AA114" s="23" t="s">
        <v>116</v>
      </c>
      <c r="AB114" s="23" t="s">
        <v>116</v>
      </c>
      <c r="AC114" s="23" t="s">
        <v>116</v>
      </c>
      <c r="AD114" s="23" t="s">
        <v>116</v>
      </c>
      <c r="AE114" s="23" t="s">
        <v>116</v>
      </c>
      <c r="AF114" s="23" t="s">
        <v>116</v>
      </c>
      <c r="AG114" s="23" t="s">
        <v>116</v>
      </c>
      <c r="AH114" s="23" t="s">
        <v>116</v>
      </c>
      <c r="AI114" s="52">
        <v>0</v>
      </c>
      <c r="AJ114" s="51">
        <v>947</v>
      </c>
    </row>
    <row r="115" spans="1:36" x14ac:dyDescent="0.2">
      <c r="A115" s="47">
        <v>44675</v>
      </c>
      <c r="B115" s="48">
        <v>24</v>
      </c>
      <c r="C115" s="48">
        <v>114</v>
      </c>
      <c r="D115" s="48">
        <v>1</v>
      </c>
      <c r="E115" s="48" t="s">
        <v>12</v>
      </c>
      <c r="F115" s="48">
        <v>17</v>
      </c>
      <c r="G115" s="48">
        <v>4</v>
      </c>
      <c r="H115" s="48" t="s">
        <v>20</v>
      </c>
      <c r="I115" s="48">
        <v>2</v>
      </c>
      <c r="J115" s="49">
        <v>2</v>
      </c>
      <c r="K115" s="49">
        <v>64</v>
      </c>
      <c r="L115" s="49">
        <v>157</v>
      </c>
      <c r="M115" s="50">
        <v>0.41</v>
      </c>
      <c r="N115" s="49">
        <v>65</v>
      </c>
      <c r="O115" s="49">
        <v>93</v>
      </c>
      <c r="P115" s="50">
        <v>0.66</v>
      </c>
      <c r="Q115" s="50">
        <v>0.08</v>
      </c>
      <c r="R115" s="50">
        <v>0.59</v>
      </c>
      <c r="S115" s="50">
        <v>0.05</v>
      </c>
      <c r="T115" s="50">
        <v>0.18</v>
      </c>
      <c r="U115" s="49">
        <v>45</v>
      </c>
      <c r="V115" s="50">
        <v>0.12</v>
      </c>
      <c r="W115" s="50">
        <v>0.19</v>
      </c>
      <c r="X115" s="49">
        <f t="shared" si="3"/>
        <v>29.830000000000002</v>
      </c>
      <c r="Y115" s="49">
        <f t="shared" si="4"/>
        <v>7.8500000000000005</v>
      </c>
      <c r="Z115" s="49">
        <f t="shared" si="5"/>
        <v>119.32</v>
      </c>
      <c r="AA115" s="23" t="s">
        <v>116</v>
      </c>
      <c r="AB115" s="23">
        <v>1000</v>
      </c>
      <c r="AC115" s="23" t="s">
        <v>116</v>
      </c>
      <c r="AD115" s="23" t="s">
        <v>116</v>
      </c>
      <c r="AE115" s="23" t="s">
        <v>116</v>
      </c>
      <c r="AF115" s="23" t="s">
        <v>116</v>
      </c>
      <c r="AG115" s="23" t="s">
        <v>116</v>
      </c>
      <c r="AH115" s="23" t="s">
        <v>116</v>
      </c>
      <c r="AI115" s="52">
        <v>1000</v>
      </c>
      <c r="AJ115" s="51">
        <v>-907</v>
      </c>
    </row>
    <row r="116" spans="1:36" x14ac:dyDescent="0.2">
      <c r="A116" s="47">
        <v>44676</v>
      </c>
      <c r="B116" s="48">
        <v>25</v>
      </c>
      <c r="C116" s="48">
        <v>115</v>
      </c>
      <c r="D116" s="48">
        <v>2</v>
      </c>
      <c r="E116" s="48" t="s">
        <v>13</v>
      </c>
      <c r="F116" s="48">
        <v>17</v>
      </c>
      <c r="G116" s="48">
        <v>4</v>
      </c>
      <c r="H116" s="48" t="s">
        <v>20</v>
      </c>
      <c r="I116" s="48">
        <v>2</v>
      </c>
      <c r="J116" s="49">
        <v>17</v>
      </c>
      <c r="K116" s="49">
        <v>128</v>
      </c>
      <c r="L116" s="49">
        <v>2209</v>
      </c>
      <c r="M116" s="50">
        <v>1.04</v>
      </c>
      <c r="N116" s="49">
        <v>2308</v>
      </c>
      <c r="O116" s="49">
        <v>-99</v>
      </c>
      <c r="P116" s="50">
        <v>0.59</v>
      </c>
      <c r="Q116" s="50">
        <v>0.26</v>
      </c>
      <c r="R116" s="50">
        <v>1.49</v>
      </c>
      <c r="S116" s="50">
        <v>0.19</v>
      </c>
      <c r="T116" s="50">
        <v>0.01</v>
      </c>
      <c r="U116" s="49">
        <v>89</v>
      </c>
      <c r="V116" s="50">
        <v>0.23</v>
      </c>
      <c r="W116" s="50">
        <v>0.02</v>
      </c>
      <c r="X116" s="49">
        <f t="shared" si="3"/>
        <v>44.18</v>
      </c>
      <c r="Y116" s="49">
        <f t="shared" si="4"/>
        <v>419.71</v>
      </c>
      <c r="Z116" s="49">
        <f t="shared" si="5"/>
        <v>1745.1100000000001</v>
      </c>
      <c r="AA116" s="23" t="s">
        <v>116</v>
      </c>
      <c r="AB116" s="23" t="s">
        <v>116</v>
      </c>
      <c r="AC116" s="23" t="s">
        <v>116</v>
      </c>
      <c r="AD116" s="23" t="s">
        <v>116</v>
      </c>
      <c r="AE116" s="23" t="s">
        <v>116</v>
      </c>
      <c r="AF116" s="23" t="s">
        <v>116</v>
      </c>
      <c r="AG116" s="23">
        <v>83</v>
      </c>
      <c r="AH116" s="23" t="s">
        <v>116</v>
      </c>
      <c r="AI116" s="52">
        <v>83</v>
      </c>
      <c r="AJ116" s="51">
        <v>-182</v>
      </c>
    </row>
    <row r="117" spans="1:36" x14ac:dyDescent="0.2">
      <c r="A117" s="47">
        <v>44677</v>
      </c>
      <c r="B117" s="48">
        <v>26</v>
      </c>
      <c r="C117" s="48">
        <v>116</v>
      </c>
      <c r="D117" s="48">
        <v>3</v>
      </c>
      <c r="E117" s="48" t="s">
        <v>14</v>
      </c>
      <c r="F117" s="48">
        <v>17</v>
      </c>
      <c r="G117" s="48">
        <v>4</v>
      </c>
      <c r="H117" s="48" t="s">
        <v>20</v>
      </c>
      <c r="I117" s="48">
        <v>2</v>
      </c>
      <c r="J117" s="49">
        <v>27</v>
      </c>
      <c r="K117" s="49">
        <v>110</v>
      </c>
      <c r="L117" s="49">
        <v>3020</v>
      </c>
      <c r="M117" s="50">
        <v>0.8</v>
      </c>
      <c r="N117" s="49">
        <v>2430</v>
      </c>
      <c r="O117" s="49">
        <v>590</v>
      </c>
      <c r="P117" s="50">
        <v>0.97</v>
      </c>
      <c r="Q117" s="50">
        <v>0.34</v>
      </c>
      <c r="R117" s="50">
        <v>1.1499999999999999</v>
      </c>
      <c r="S117" s="50">
        <v>0.35</v>
      </c>
      <c r="T117" s="50">
        <v>0</v>
      </c>
      <c r="U117" s="49">
        <v>77</v>
      </c>
      <c r="V117" s="50">
        <v>0.23</v>
      </c>
      <c r="W117" s="50">
        <v>0.02</v>
      </c>
      <c r="X117" s="49">
        <f t="shared" si="3"/>
        <v>60.4</v>
      </c>
      <c r="Y117" s="49">
        <f t="shared" si="4"/>
        <v>1057</v>
      </c>
      <c r="Z117" s="49">
        <f t="shared" si="5"/>
        <v>1902.6</v>
      </c>
      <c r="AA117" s="23" t="s">
        <v>116</v>
      </c>
      <c r="AB117" s="23" t="s">
        <v>116</v>
      </c>
      <c r="AC117" s="23" t="s">
        <v>116</v>
      </c>
      <c r="AD117" s="23" t="s">
        <v>116</v>
      </c>
      <c r="AE117" s="23" t="s">
        <v>116</v>
      </c>
      <c r="AF117" s="23" t="s">
        <v>116</v>
      </c>
      <c r="AG117" s="23" t="s">
        <v>116</v>
      </c>
      <c r="AH117" s="23" t="s">
        <v>116</v>
      </c>
      <c r="AI117" s="52">
        <v>0</v>
      </c>
      <c r="AJ117" s="51">
        <v>590</v>
      </c>
    </row>
    <row r="118" spans="1:36" x14ac:dyDescent="0.2">
      <c r="A118" s="47">
        <v>44678</v>
      </c>
      <c r="B118" s="48">
        <v>27</v>
      </c>
      <c r="C118" s="48">
        <v>117</v>
      </c>
      <c r="D118" s="48">
        <v>4</v>
      </c>
      <c r="E118" s="48" t="s">
        <v>15</v>
      </c>
      <c r="F118" s="48">
        <v>17</v>
      </c>
      <c r="G118" s="48">
        <v>4</v>
      </c>
      <c r="H118" s="48" t="s">
        <v>20</v>
      </c>
      <c r="I118" s="48">
        <v>2</v>
      </c>
      <c r="J118" s="49">
        <v>38</v>
      </c>
      <c r="K118" s="49">
        <v>48</v>
      </c>
      <c r="L118" s="49">
        <v>1828</v>
      </c>
      <c r="M118" s="50">
        <v>0.72</v>
      </c>
      <c r="N118" s="49">
        <v>1315</v>
      </c>
      <c r="O118" s="49">
        <v>513</v>
      </c>
      <c r="P118" s="50">
        <v>2.2999999999999998</v>
      </c>
      <c r="Q118" s="50">
        <v>0.56000000000000005</v>
      </c>
      <c r="R118" s="50">
        <v>1.03</v>
      </c>
      <c r="S118" s="50">
        <v>1.1100000000000001</v>
      </c>
      <c r="T118" s="50">
        <v>0.01</v>
      </c>
      <c r="U118" s="49">
        <v>34</v>
      </c>
      <c r="V118" s="50">
        <v>0.55000000000000004</v>
      </c>
      <c r="W118" s="50">
        <v>0.04</v>
      </c>
      <c r="X118" s="49">
        <f t="shared" si="3"/>
        <v>73.12</v>
      </c>
      <c r="Y118" s="49">
        <f t="shared" si="4"/>
        <v>2029.0800000000002</v>
      </c>
      <c r="Z118" s="49">
        <f t="shared" si="5"/>
        <v>-274.20000000000027</v>
      </c>
      <c r="AA118" s="23" t="s">
        <v>116</v>
      </c>
      <c r="AB118" s="23" t="s">
        <v>116</v>
      </c>
      <c r="AC118" s="23" t="s">
        <v>116</v>
      </c>
      <c r="AD118" s="23" t="s">
        <v>116</v>
      </c>
      <c r="AE118" s="23" t="s">
        <v>116</v>
      </c>
      <c r="AF118" s="23" t="s">
        <v>116</v>
      </c>
      <c r="AG118" s="23" t="s">
        <v>116</v>
      </c>
      <c r="AH118" s="23" t="s">
        <v>116</v>
      </c>
      <c r="AI118" s="52">
        <v>0</v>
      </c>
      <c r="AJ118" s="51">
        <v>513</v>
      </c>
    </row>
    <row r="119" spans="1:36" x14ac:dyDescent="0.2">
      <c r="A119" s="47">
        <v>44679</v>
      </c>
      <c r="B119" s="48">
        <v>28</v>
      </c>
      <c r="C119" s="48">
        <v>118</v>
      </c>
      <c r="D119" s="48">
        <v>5</v>
      </c>
      <c r="E119" s="48" t="s">
        <v>16</v>
      </c>
      <c r="F119" s="48">
        <v>17</v>
      </c>
      <c r="G119" s="48">
        <v>4</v>
      </c>
      <c r="H119" s="48" t="s">
        <v>20</v>
      </c>
      <c r="I119" s="48">
        <v>2</v>
      </c>
      <c r="J119" s="49">
        <v>10</v>
      </c>
      <c r="K119" s="49">
        <v>115</v>
      </c>
      <c r="L119" s="49">
        <v>1189</v>
      </c>
      <c r="M119" s="50">
        <v>0.49</v>
      </c>
      <c r="N119" s="49">
        <v>580</v>
      </c>
      <c r="O119" s="49">
        <v>609</v>
      </c>
      <c r="P119" s="50">
        <v>0.71</v>
      </c>
      <c r="Q119" s="50">
        <v>0.18</v>
      </c>
      <c r="R119" s="50">
        <v>0.7</v>
      </c>
      <c r="S119" s="50">
        <v>0.13</v>
      </c>
      <c r="T119" s="50">
        <v>0.01</v>
      </c>
      <c r="U119" s="49">
        <v>81</v>
      </c>
      <c r="V119" s="50">
        <v>0.12</v>
      </c>
      <c r="W119" s="50">
        <v>0.05</v>
      </c>
      <c r="X119" s="49">
        <f t="shared" si="3"/>
        <v>59.45</v>
      </c>
      <c r="Y119" s="49">
        <f t="shared" si="4"/>
        <v>154.57</v>
      </c>
      <c r="Z119" s="49">
        <f t="shared" si="5"/>
        <v>974.98</v>
      </c>
      <c r="AA119" s="23" t="s">
        <v>116</v>
      </c>
      <c r="AB119" s="23" t="s">
        <v>116</v>
      </c>
      <c r="AC119" s="23" t="s">
        <v>116</v>
      </c>
      <c r="AD119" s="23" t="s">
        <v>116</v>
      </c>
      <c r="AE119" s="23" t="s">
        <v>116</v>
      </c>
      <c r="AF119" s="23" t="s">
        <v>116</v>
      </c>
      <c r="AG119" s="23" t="s">
        <v>116</v>
      </c>
      <c r="AH119" s="23" t="s">
        <v>116</v>
      </c>
      <c r="AI119" s="52">
        <v>0</v>
      </c>
      <c r="AJ119" s="51">
        <v>609</v>
      </c>
    </row>
    <row r="120" spans="1:36" x14ac:dyDescent="0.2">
      <c r="A120" s="47">
        <v>44680</v>
      </c>
      <c r="B120" s="48">
        <v>29</v>
      </c>
      <c r="C120" s="48">
        <v>119</v>
      </c>
      <c r="D120" s="48">
        <v>6</v>
      </c>
      <c r="E120" s="48" t="s">
        <v>17</v>
      </c>
      <c r="F120" s="48">
        <v>17</v>
      </c>
      <c r="G120" s="48">
        <v>4</v>
      </c>
      <c r="H120" s="48" t="s">
        <v>20</v>
      </c>
      <c r="I120" s="48">
        <v>2</v>
      </c>
      <c r="J120" s="49">
        <v>41</v>
      </c>
      <c r="K120" s="49">
        <v>76</v>
      </c>
      <c r="L120" s="49">
        <v>3113</v>
      </c>
      <c r="M120" s="50">
        <v>1.17</v>
      </c>
      <c r="N120" s="49">
        <v>3630</v>
      </c>
      <c r="O120" s="49">
        <v>-517</v>
      </c>
      <c r="P120" s="50">
        <v>1.1100000000000001</v>
      </c>
      <c r="Q120" s="50">
        <v>0.86</v>
      </c>
      <c r="R120" s="50">
        <v>1.67</v>
      </c>
      <c r="S120" s="50">
        <v>0.77</v>
      </c>
      <c r="T120" s="50">
        <v>0</v>
      </c>
      <c r="U120" s="49">
        <v>53</v>
      </c>
      <c r="V120" s="50">
        <v>0.24</v>
      </c>
      <c r="W120" s="50">
        <v>0.02</v>
      </c>
      <c r="X120" s="49">
        <f t="shared" si="3"/>
        <v>62.26</v>
      </c>
      <c r="Y120" s="49">
        <f t="shared" si="4"/>
        <v>2397.0100000000002</v>
      </c>
      <c r="Z120" s="49">
        <f t="shared" si="5"/>
        <v>653.72999999999956</v>
      </c>
      <c r="AA120" s="23" t="s">
        <v>116</v>
      </c>
      <c r="AB120" s="23" t="s">
        <v>116</v>
      </c>
      <c r="AC120" s="23" t="s">
        <v>116</v>
      </c>
      <c r="AD120" s="23" t="s">
        <v>116</v>
      </c>
      <c r="AE120" s="23" t="s">
        <v>116</v>
      </c>
      <c r="AF120" s="23" t="s">
        <v>116</v>
      </c>
      <c r="AG120" s="23" t="s">
        <v>116</v>
      </c>
      <c r="AH120" s="23" t="s">
        <v>116</v>
      </c>
      <c r="AI120" s="52">
        <v>0</v>
      </c>
      <c r="AJ120" s="51">
        <v>-517</v>
      </c>
    </row>
    <row r="121" spans="1:36" x14ac:dyDescent="0.2">
      <c r="A121" s="47">
        <v>44681</v>
      </c>
      <c r="B121" s="48">
        <v>30</v>
      </c>
      <c r="C121" s="48">
        <v>120</v>
      </c>
      <c r="D121" s="48">
        <v>7</v>
      </c>
      <c r="E121" s="48" t="s">
        <v>10</v>
      </c>
      <c r="F121" s="48">
        <v>17</v>
      </c>
      <c r="G121" s="48">
        <v>4</v>
      </c>
      <c r="H121" s="48" t="s">
        <v>20</v>
      </c>
      <c r="I121" s="48">
        <v>2</v>
      </c>
      <c r="J121" s="49">
        <v>3</v>
      </c>
      <c r="K121" s="49">
        <v>52</v>
      </c>
      <c r="L121" s="49">
        <v>172</v>
      </c>
      <c r="M121" s="50">
        <v>0.91</v>
      </c>
      <c r="N121" s="49">
        <v>157</v>
      </c>
      <c r="O121" s="49">
        <v>15</v>
      </c>
      <c r="P121" s="50">
        <v>2.23</v>
      </c>
      <c r="Q121" s="50">
        <v>0.05</v>
      </c>
      <c r="R121" s="50">
        <v>1.3</v>
      </c>
      <c r="S121" s="50">
        <v>0.09</v>
      </c>
      <c r="T121" s="50">
        <v>0.08</v>
      </c>
      <c r="U121" s="49">
        <v>36</v>
      </c>
      <c r="V121" s="50">
        <v>0.56000000000000005</v>
      </c>
      <c r="W121" s="50">
        <v>0.47</v>
      </c>
      <c r="X121" s="49">
        <f t="shared" si="3"/>
        <v>80.839999999999989</v>
      </c>
      <c r="Y121" s="49">
        <f t="shared" si="4"/>
        <v>15.479999999999999</v>
      </c>
      <c r="Z121" s="49">
        <f t="shared" si="5"/>
        <v>75.680000000000007</v>
      </c>
      <c r="AA121" s="23" t="s">
        <v>116</v>
      </c>
      <c r="AB121" s="23" t="s">
        <v>116</v>
      </c>
      <c r="AC121" s="23" t="s">
        <v>116</v>
      </c>
      <c r="AD121" s="23" t="s">
        <v>116</v>
      </c>
      <c r="AE121" s="23" t="s">
        <v>116</v>
      </c>
      <c r="AF121" s="23" t="s">
        <v>116</v>
      </c>
      <c r="AG121" s="23" t="s">
        <v>116</v>
      </c>
      <c r="AH121" s="23" t="s">
        <v>116</v>
      </c>
      <c r="AI121" s="52">
        <v>0</v>
      </c>
      <c r="AJ121" s="51">
        <v>15</v>
      </c>
    </row>
    <row r="122" spans="1:36" x14ac:dyDescent="0.2">
      <c r="A122" s="47">
        <v>44682</v>
      </c>
      <c r="B122" s="48">
        <v>1</v>
      </c>
      <c r="C122" s="48">
        <v>121</v>
      </c>
      <c r="D122" s="48">
        <v>1</v>
      </c>
      <c r="E122" s="48" t="s">
        <v>12</v>
      </c>
      <c r="F122" s="48">
        <v>18</v>
      </c>
      <c r="G122" s="48">
        <v>5</v>
      </c>
      <c r="H122" s="48" t="s">
        <v>21</v>
      </c>
      <c r="I122" s="48">
        <v>2</v>
      </c>
      <c r="J122" s="49">
        <v>14</v>
      </c>
      <c r="K122" s="49">
        <v>54</v>
      </c>
      <c r="L122" s="49">
        <v>782</v>
      </c>
      <c r="M122" s="50">
        <v>0.36</v>
      </c>
      <c r="N122" s="49">
        <v>285</v>
      </c>
      <c r="O122" s="49">
        <v>497</v>
      </c>
      <c r="P122" s="50">
        <v>0.87</v>
      </c>
      <c r="Q122" s="50">
        <v>0.45</v>
      </c>
      <c r="R122" s="50">
        <v>0.52</v>
      </c>
      <c r="S122" s="50">
        <v>0.38</v>
      </c>
      <c r="T122" s="50">
        <v>0.04</v>
      </c>
      <c r="U122" s="49">
        <v>38</v>
      </c>
      <c r="V122" s="50">
        <v>0.19</v>
      </c>
      <c r="W122" s="50">
        <v>0.04</v>
      </c>
      <c r="X122" s="49">
        <f t="shared" si="3"/>
        <v>31.28</v>
      </c>
      <c r="Y122" s="49">
        <f t="shared" si="4"/>
        <v>297.16000000000003</v>
      </c>
      <c r="Z122" s="49">
        <f t="shared" si="5"/>
        <v>453.55999999999995</v>
      </c>
      <c r="AA122" s="23">
        <v>3000</v>
      </c>
      <c r="AB122" s="23">
        <v>1000</v>
      </c>
      <c r="AC122" s="23" t="s">
        <v>116</v>
      </c>
      <c r="AD122" s="23" t="s">
        <v>116</v>
      </c>
      <c r="AE122" s="23" t="s">
        <v>116</v>
      </c>
      <c r="AF122" s="23" t="s">
        <v>116</v>
      </c>
      <c r="AG122" s="23" t="s">
        <v>116</v>
      </c>
      <c r="AH122" s="23" t="s">
        <v>116</v>
      </c>
      <c r="AI122" s="52">
        <v>4000</v>
      </c>
      <c r="AJ122" s="51">
        <v>-3503</v>
      </c>
    </row>
    <row r="123" spans="1:36" x14ac:dyDescent="0.2">
      <c r="A123" s="47">
        <v>44683</v>
      </c>
      <c r="B123" s="48">
        <v>2</v>
      </c>
      <c r="C123" s="48">
        <v>122</v>
      </c>
      <c r="D123" s="48">
        <v>2</v>
      </c>
      <c r="E123" s="48" t="s">
        <v>13</v>
      </c>
      <c r="F123" s="48">
        <v>18</v>
      </c>
      <c r="G123" s="48">
        <v>5</v>
      </c>
      <c r="H123" s="48" t="s">
        <v>21</v>
      </c>
      <c r="I123" s="48">
        <v>2</v>
      </c>
      <c r="J123" s="49">
        <v>36</v>
      </c>
      <c r="K123" s="49">
        <v>60</v>
      </c>
      <c r="L123" s="49">
        <v>2179</v>
      </c>
      <c r="M123" s="50">
        <v>0.66</v>
      </c>
      <c r="N123" s="49">
        <v>1428</v>
      </c>
      <c r="O123" s="49">
        <v>751</v>
      </c>
      <c r="P123" s="50">
        <v>2.2400000000000002</v>
      </c>
      <c r="Q123" s="50">
        <v>0.42</v>
      </c>
      <c r="R123" s="50">
        <v>0.94</v>
      </c>
      <c r="S123" s="50">
        <v>0.86</v>
      </c>
      <c r="T123" s="50">
        <v>0.01</v>
      </c>
      <c r="U123" s="49">
        <v>42</v>
      </c>
      <c r="V123" s="50">
        <v>0.38</v>
      </c>
      <c r="W123" s="50">
        <v>0.04</v>
      </c>
      <c r="X123" s="49">
        <f t="shared" si="3"/>
        <v>87.16</v>
      </c>
      <c r="Y123" s="49">
        <f t="shared" si="4"/>
        <v>1873.94</v>
      </c>
      <c r="Z123" s="49">
        <f t="shared" si="5"/>
        <v>217.89999999999986</v>
      </c>
      <c r="AA123" s="23" t="s">
        <v>116</v>
      </c>
      <c r="AB123" s="23" t="s">
        <v>116</v>
      </c>
      <c r="AC123" s="23" t="s">
        <v>116</v>
      </c>
      <c r="AD123" s="23" t="s">
        <v>116</v>
      </c>
      <c r="AE123" s="23" t="s">
        <v>116</v>
      </c>
      <c r="AF123" s="23" t="s">
        <v>116</v>
      </c>
      <c r="AG123" s="23" t="s">
        <v>116</v>
      </c>
      <c r="AH123" s="23" t="s">
        <v>116</v>
      </c>
      <c r="AI123" s="52">
        <v>0</v>
      </c>
      <c r="AJ123" s="51">
        <v>751</v>
      </c>
    </row>
    <row r="124" spans="1:36" x14ac:dyDescent="0.2">
      <c r="A124" s="47">
        <v>44684</v>
      </c>
      <c r="B124" s="48">
        <v>3</v>
      </c>
      <c r="C124" s="48">
        <v>123</v>
      </c>
      <c r="D124" s="48">
        <v>3</v>
      </c>
      <c r="E124" s="48" t="s">
        <v>14</v>
      </c>
      <c r="F124" s="48">
        <v>18</v>
      </c>
      <c r="G124" s="48">
        <v>5</v>
      </c>
      <c r="H124" s="48" t="s">
        <v>21</v>
      </c>
      <c r="I124" s="48">
        <v>2</v>
      </c>
      <c r="J124" s="49">
        <v>27</v>
      </c>
      <c r="K124" s="49">
        <v>94</v>
      </c>
      <c r="L124" s="49">
        <v>2548</v>
      </c>
      <c r="M124" s="50">
        <v>0.72</v>
      </c>
      <c r="N124" s="49">
        <v>1843</v>
      </c>
      <c r="O124" s="49">
        <v>705</v>
      </c>
      <c r="P124" s="50">
        <v>1.33</v>
      </c>
      <c r="Q124" s="50">
        <v>0.37</v>
      </c>
      <c r="R124" s="50">
        <v>1.03</v>
      </c>
      <c r="S124" s="50">
        <v>0.41</v>
      </c>
      <c r="T124" s="50">
        <v>0.01</v>
      </c>
      <c r="U124" s="49">
        <v>66</v>
      </c>
      <c r="V124" s="50">
        <v>0.3</v>
      </c>
      <c r="W124" s="50">
        <v>0.03</v>
      </c>
      <c r="X124" s="49">
        <f t="shared" si="3"/>
        <v>76.44</v>
      </c>
      <c r="Y124" s="49">
        <f t="shared" si="4"/>
        <v>1044.6799999999998</v>
      </c>
      <c r="Z124" s="49">
        <f t="shared" si="5"/>
        <v>1426.88</v>
      </c>
      <c r="AA124" s="23" t="s">
        <v>116</v>
      </c>
      <c r="AB124" s="23" t="s">
        <v>116</v>
      </c>
      <c r="AC124" s="23" t="s">
        <v>116</v>
      </c>
      <c r="AD124" s="23" t="s">
        <v>116</v>
      </c>
      <c r="AE124" s="23" t="s">
        <v>116</v>
      </c>
      <c r="AF124" s="23" t="s">
        <v>116</v>
      </c>
      <c r="AG124" s="23" t="s">
        <v>116</v>
      </c>
      <c r="AH124" s="23" t="s">
        <v>116</v>
      </c>
      <c r="AI124" s="52">
        <v>0</v>
      </c>
      <c r="AJ124" s="51">
        <v>705</v>
      </c>
    </row>
    <row r="125" spans="1:36" x14ac:dyDescent="0.2">
      <c r="A125" s="47">
        <v>44685</v>
      </c>
      <c r="B125" s="48">
        <v>4</v>
      </c>
      <c r="C125" s="48">
        <v>124</v>
      </c>
      <c r="D125" s="48">
        <v>4</v>
      </c>
      <c r="E125" s="48" t="s">
        <v>15</v>
      </c>
      <c r="F125" s="48">
        <v>18</v>
      </c>
      <c r="G125" s="48">
        <v>5</v>
      </c>
      <c r="H125" s="48" t="s">
        <v>21</v>
      </c>
      <c r="I125" s="48">
        <v>2</v>
      </c>
      <c r="J125" s="49">
        <v>33</v>
      </c>
      <c r="K125" s="49">
        <v>109</v>
      </c>
      <c r="L125" s="49">
        <v>3637</v>
      </c>
      <c r="M125" s="50">
        <v>0.4</v>
      </c>
      <c r="N125" s="49">
        <v>1450</v>
      </c>
      <c r="O125" s="49">
        <v>2187</v>
      </c>
      <c r="P125" s="50">
        <v>1.04</v>
      </c>
      <c r="Q125" s="50">
        <v>0.41</v>
      </c>
      <c r="R125" s="50">
        <v>0.56999999999999995</v>
      </c>
      <c r="S125" s="50">
        <v>0.44</v>
      </c>
      <c r="T125" s="50">
        <v>0</v>
      </c>
      <c r="U125" s="49">
        <v>76</v>
      </c>
      <c r="V125" s="50">
        <v>0.33</v>
      </c>
      <c r="W125" s="50">
        <v>0.02</v>
      </c>
      <c r="X125" s="49">
        <f t="shared" si="3"/>
        <v>72.739999999999995</v>
      </c>
      <c r="Y125" s="49">
        <f t="shared" si="4"/>
        <v>1600.28</v>
      </c>
      <c r="Z125" s="49">
        <f t="shared" si="5"/>
        <v>1963.98</v>
      </c>
      <c r="AA125" s="23" t="s">
        <v>116</v>
      </c>
      <c r="AB125" s="23" t="s">
        <v>116</v>
      </c>
      <c r="AC125" s="23" t="s">
        <v>116</v>
      </c>
      <c r="AD125" s="23" t="s">
        <v>116</v>
      </c>
      <c r="AE125" s="23" t="s">
        <v>116</v>
      </c>
      <c r="AF125" s="23" t="s">
        <v>116</v>
      </c>
      <c r="AG125" s="23" t="s">
        <v>116</v>
      </c>
      <c r="AH125" s="23" t="s">
        <v>116</v>
      </c>
      <c r="AI125" s="52">
        <v>0</v>
      </c>
      <c r="AJ125" s="51">
        <v>2187</v>
      </c>
    </row>
    <row r="126" spans="1:36" x14ac:dyDescent="0.2">
      <c r="A126" s="47">
        <v>44686</v>
      </c>
      <c r="B126" s="48">
        <v>5</v>
      </c>
      <c r="C126" s="48">
        <v>125</v>
      </c>
      <c r="D126" s="48">
        <v>5</v>
      </c>
      <c r="E126" s="48" t="s">
        <v>16</v>
      </c>
      <c r="F126" s="48">
        <v>18</v>
      </c>
      <c r="G126" s="48">
        <v>5</v>
      </c>
      <c r="H126" s="48" t="s">
        <v>21</v>
      </c>
      <c r="I126" s="48">
        <v>2</v>
      </c>
      <c r="J126" s="49">
        <v>24</v>
      </c>
      <c r="K126" s="49">
        <v>88</v>
      </c>
      <c r="L126" s="49">
        <v>2118</v>
      </c>
      <c r="M126" s="50">
        <v>0.97</v>
      </c>
      <c r="N126" s="49">
        <v>2060</v>
      </c>
      <c r="O126" s="49">
        <v>58</v>
      </c>
      <c r="P126" s="50">
        <v>0.97</v>
      </c>
      <c r="Q126" s="50">
        <v>0.31</v>
      </c>
      <c r="R126" s="50">
        <v>1.39</v>
      </c>
      <c r="S126" s="50">
        <v>0.39</v>
      </c>
      <c r="T126" s="50">
        <v>0.01</v>
      </c>
      <c r="U126" s="49">
        <v>62</v>
      </c>
      <c r="V126" s="50">
        <v>0.1</v>
      </c>
      <c r="W126" s="50">
        <v>0.03</v>
      </c>
      <c r="X126" s="49">
        <f t="shared" si="3"/>
        <v>63.54</v>
      </c>
      <c r="Y126" s="49">
        <f t="shared" si="4"/>
        <v>826.02</v>
      </c>
      <c r="Z126" s="49">
        <f t="shared" si="5"/>
        <v>1228.44</v>
      </c>
      <c r="AA126" s="23" t="s">
        <v>116</v>
      </c>
      <c r="AB126" s="23" t="s">
        <v>116</v>
      </c>
      <c r="AC126" s="23" t="s">
        <v>116</v>
      </c>
      <c r="AD126" s="23" t="s">
        <v>116</v>
      </c>
      <c r="AE126" s="23" t="s">
        <v>116</v>
      </c>
      <c r="AF126" s="23" t="s">
        <v>116</v>
      </c>
      <c r="AG126" s="23" t="s">
        <v>116</v>
      </c>
      <c r="AH126" s="23">
        <v>1000</v>
      </c>
      <c r="AI126" s="52">
        <v>1000</v>
      </c>
      <c r="AJ126" s="51">
        <v>-942</v>
      </c>
    </row>
    <row r="127" spans="1:36" x14ac:dyDescent="0.2">
      <c r="A127" s="47">
        <v>44687</v>
      </c>
      <c r="B127" s="48">
        <v>6</v>
      </c>
      <c r="C127" s="48">
        <v>126</v>
      </c>
      <c r="D127" s="48">
        <v>6</v>
      </c>
      <c r="E127" s="48" t="s">
        <v>17</v>
      </c>
      <c r="F127" s="48">
        <v>18</v>
      </c>
      <c r="G127" s="48">
        <v>5</v>
      </c>
      <c r="H127" s="48" t="s">
        <v>21</v>
      </c>
      <c r="I127" s="48">
        <v>2</v>
      </c>
      <c r="J127" s="49">
        <v>33</v>
      </c>
      <c r="K127" s="49">
        <v>45</v>
      </c>
      <c r="L127" s="49">
        <v>1492</v>
      </c>
      <c r="M127" s="50">
        <v>0.65</v>
      </c>
      <c r="N127" s="49">
        <v>972</v>
      </c>
      <c r="O127" s="49">
        <v>520</v>
      </c>
      <c r="P127" s="50">
        <v>3.57</v>
      </c>
      <c r="Q127" s="50">
        <v>0.54</v>
      </c>
      <c r="R127" s="50">
        <v>0.93</v>
      </c>
      <c r="S127" s="50">
        <v>1.04</v>
      </c>
      <c r="T127" s="50">
        <v>0.01</v>
      </c>
      <c r="U127" s="49">
        <v>32</v>
      </c>
      <c r="V127" s="50">
        <v>0.49</v>
      </c>
      <c r="W127" s="50">
        <v>0.08</v>
      </c>
      <c r="X127" s="49">
        <f t="shared" si="3"/>
        <v>119.36</v>
      </c>
      <c r="Y127" s="49">
        <f t="shared" si="4"/>
        <v>1551.68</v>
      </c>
      <c r="Z127" s="49">
        <f t="shared" si="5"/>
        <v>-179.03999999999996</v>
      </c>
      <c r="AA127" s="23" t="s">
        <v>116</v>
      </c>
      <c r="AB127" s="23" t="s">
        <v>116</v>
      </c>
      <c r="AC127" s="23" t="s">
        <v>116</v>
      </c>
      <c r="AD127" s="23" t="s">
        <v>116</v>
      </c>
      <c r="AE127" s="23" t="s">
        <v>116</v>
      </c>
      <c r="AF127" s="23" t="s">
        <v>116</v>
      </c>
      <c r="AG127" s="23" t="s">
        <v>116</v>
      </c>
      <c r="AH127" s="23" t="s">
        <v>116</v>
      </c>
      <c r="AI127" s="52">
        <v>0</v>
      </c>
      <c r="AJ127" s="51">
        <v>520</v>
      </c>
    </row>
    <row r="128" spans="1:36" x14ac:dyDescent="0.2">
      <c r="A128" s="47">
        <v>44688</v>
      </c>
      <c r="B128" s="48">
        <v>7</v>
      </c>
      <c r="C128" s="48">
        <v>127</v>
      </c>
      <c r="D128" s="48">
        <v>7</v>
      </c>
      <c r="E128" s="48" t="s">
        <v>10</v>
      </c>
      <c r="F128" s="48">
        <v>18</v>
      </c>
      <c r="G128" s="48">
        <v>5</v>
      </c>
      <c r="H128" s="48" t="s">
        <v>21</v>
      </c>
      <c r="I128" s="48">
        <v>2</v>
      </c>
      <c r="J128" s="49">
        <v>21</v>
      </c>
      <c r="K128" s="49">
        <v>59</v>
      </c>
      <c r="L128" s="49">
        <v>1253</v>
      </c>
      <c r="M128" s="50">
        <v>0.88</v>
      </c>
      <c r="N128" s="49">
        <v>1104</v>
      </c>
      <c r="O128" s="49">
        <v>149</v>
      </c>
      <c r="P128" s="50">
        <v>2.0499999999999998</v>
      </c>
      <c r="Q128" s="50">
        <v>0.3</v>
      </c>
      <c r="R128" s="50">
        <v>1.26</v>
      </c>
      <c r="S128" s="50">
        <v>0.51</v>
      </c>
      <c r="T128" s="50">
        <v>0.01</v>
      </c>
      <c r="U128" s="49">
        <v>42</v>
      </c>
      <c r="V128" s="50">
        <v>0.54</v>
      </c>
      <c r="W128" s="50">
        <v>7.0000000000000007E-2</v>
      </c>
      <c r="X128" s="49">
        <f t="shared" si="3"/>
        <v>87.710000000000008</v>
      </c>
      <c r="Y128" s="49">
        <f t="shared" si="4"/>
        <v>639.03</v>
      </c>
      <c r="Z128" s="49">
        <f t="shared" si="5"/>
        <v>526.26</v>
      </c>
      <c r="AA128" s="23" t="s">
        <v>116</v>
      </c>
      <c r="AB128" s="23" t="s">
        <v>116</v>
      </c>
      <c r="AC128" s="23" t="s">
        <v>116</v>
      </c>
      <c r="AD128" s="23" t="s">
        <v>116</v>
      </c>
      <c r="AE128" s="23" t="s">
        <v>116</v>
      </c>
      <c r="AF128" s="23" t="s">
        <v>116</v>
      </c>
      <c r="AG128" s="23" t="s">
        <v>116</v>
      </c>
      <c r="AH128" s="23" t="s">
        <v>116</v>
      </c>
      <c r="AI128" s="52">
        <v>0</v>
      </c>
      <c r="AJ128" s="51">
        <v>149</v>
      </c>
    </row>
    <row r="129" spans="1:36" x14ac:dyDescent="0.2">
      <c r="A129" s="47">
        <v>44689</v>
      </c>
      <c r="B129" s="48">
        <v>8</v>
      </c>
      <c r="C129" s="48">
        <v>128</v>
      </c>
      <c r="D129" s="48">
        <v>1</v>
      </c>
      <c r="E129" s="48" t="s">
        <v>12</v>
      </c>
      <c r="F129" s="48">
        <v>19</v>
      </c>
      <c r="G129" s="48">
        <v>5</v>
      </c>
      <c r="H129" s="48" t="s">
        <v>21</v>
      </c>
      <c r="I129" s="48">
        <v>2</v>
      </c>
      <c r="J129" s="49">
        <v>12</v>
      </c>
      <c r="K129" s="49">
        <v>48</v>
      </c>
      <c r="L129" s="49">
        <v>565</v>
      </c>
      <c r="M129" s="50">
        <v>0.39</v>
      </c>
      <c r="N129" s="49">
        <v>218</v>
      </c>
      <c r="O129" s="49">
        <v>347</v>
      </c>
      <c r="P129" s="50">
        <v>0.6</v>
      </c>
      <c r="Q129" s="50">
        <v>0.28999999999999998</v>
      </c>
      <c r="R129" s="50">
        <v>0.55000000000000004</v>
      </c>
      <c r="S129" s="50">
        <v>0.34</v>
      </c>
      <c r="T129" s="50">
        <v>0.05</v>
      </c>
      <c r="U129" s="49">
        <v>34</v>
      </c>
      <c r="V129" s="50">
        <v>0.1</v>
      </c>
      <c r="W129" s="50">
        <v>0.04</v>
      </c>
      <c r="X129" s="49">
        <f t="shared" si="3"/>
        <v>22.6</v>
      </c>
      <c r="Y129" s="49">
        <f t="shared" si="4"/>
        <v>192.10000000000002</v>
      </c>
      <c r="Z129" s="49">
        <f t="shared" si="5"/>
        <v>350.29999999999995</v>
      </c>
      <c r="AA129" s="23" t="s">
        <v>116</v>
      </c>
      <c r="AB129" s="23">
        <v>1000</v>
      </c>
      <c r="AC129" s="23" t="s">
        <v>116</v>
      </c>
      <c r="AD129" s="23" t="s">
        <v>116</v>
      </c>
      <c r="AE129" s="23" t="s">
        <v>116</v>
      </c>
      <c r="AF129" s="23" t="s">
        <v>116</v>
      </c>
      <c r="AG129" s="23" t="s">
        <v>116</v>
      </c>
      <c r="AH129" s="23" t="s">
        <v>116</v>
      </c>
      <c r="AI129" s="52">
        <v>1000</v>
      </c>
      <c r="AJ129" s="51">
        <v>-653</v>
      </c>
    </row>
    <row r="130" spans="1:36" x14ac:dyDescent="0.2">
      <c r="A130" s="47">
        <v>44690</v>
      </c>
      <c r="B130" s="48">
        <v>9</v>
      </c>
      <c r="C130" s="48">
        <v>129</v>
      </c>
      <c r="D130" s="48">
        <v>2</v>
      </c>
      <c r="E130" s="48" t="s">
        <v>13</v>
      </c>
      <c r="F130" s="48">
        <v>19</v>
      </c>
      <c r="G130" s="48">
        <v>5</v>
      </c>
      <c r="H130" s="48" t="s">
        <v>21</v>
      </c>
      <c r="I130" s="48">
        <v>2</v>
      </c>
      <c r="J130" s="49">
        <v>16</v>
      </c>
      <c r="K130" s="49">
        <v>68</v>
      </c>
      <c r="L130" s="49">
        <v>1093</v>
      </c>
      <c r="M130" s="50">
        <v>1.1399999999999999</v>
      </c>
      <c r="N130" s="49">
        <v>1248</v>
      </c>
      <c r="O130" s="49">
        <v>-155</v>
      </c>
      <c r="P130" s="50">
        <v>2.4500000000000002</v>
      </c>
      <c r="Q130" s="50">
        <v>0.19</v>
      </c>
      <c r="R130" s="50">
        <v>1.63</v>
      </c>
      <c r="S130" s="50">
        <v>0.34</v>
      </c>
      <c r="T130" s="50">
        <v>0.01</v>
      </c>
      <c r="U130" s="49">
        <v>48</v>
      </c>
      <c r="V130" s="50">
        <v>0.4</v>
      </c>
      <c r="W130" s="50">
        <v>0.11</v>
      </c>
      <c r="X130" s="49">
        <f t="shared" si="3"/>
        <v>120.23</v>
      </c>
      <c r="Y130" s="49">
        <f t="shared" si="4"/>
        <v>371.62</v>
      </c>
      <c r="Z130" s="49">
        <f t="shared" si="5"/>
        <v>601.15</v>
      </c>
      <c r="AA130" s="23" t="s">
        <v>116</v>
      </c>
      <c r="AB130" s="23" t="s">
        <v>116</v>
      </c>
      <c r="AC130" s="23" t="s">
        <v>116</v>
      </c>
      <c r="AD130" s="23" t="s">
        <v>116</v>
      </c>
      <c r="AE130" s="23" t="s">
        <v>116</v>
      </c>
      <c r="AF130" s="23" t="s">
        <v>116</v>
      </c>
      <c r="AG130" s="23" t="s">
        <v>116</v>
      </c>
      <c r="AH130" s="23" t="s">
        <v>116</v>
      </c>
      <c r="AI130" s="52">
        <v>0</v>
      </c>
      <c r="AJ130" s="51">
        <v>-155</v>
      </c>
    </row>
    <row r="131" spans="1:36" x14ac:dyDescent="0.2">
      <c r="A131" s="47">
        <v>44691</v>
      </c>
      <c r="B131" s="48">
        <v>10</v>
      </c>
      <c r="C131" s="48">
        <v>130</v>
      </c>
      <c r="D131" s="48">
        <v>3</v>
      </c>
      <c r="E131" s="48" t="s">
        <v>14</v>
      </c>
      <c r="F131" s="48">
        <v>19</v>
      </c>
      <c r="G131" s="48">
        <v>5</v>
      </c>
      <c r="H131" s="48" t="s">
        <v>21</v>
      </c>
      <c r="I131" s="48">
        <v>2</v>
      </c>
      <c r="J131" s="49">
        <v>21</v>
      </c>
      <c r="K131" s="49">
        <v>85</v>
      </c>
      <c r="L131" s="49">
        <v>1819</v>
      </c>
      <c r="M131" s="50">
        <v>0.94</v>
      </c>
      <c r="N131" s="49">
        <v>1718</v>
      </c>
      <c r="O131" s="49">
        <v>101</v>
      </c>
      <c r="P131" s="50">
        <v>1.66</v>
      </c>
      <c r="Q131" s="50">
        <v>0.23</v>
      </c>
      <c r="R131" s="50">
        <v>1.35</v>
      </c>
      <c r="S131" s="50">
        <v>0.36</v>
      </c>
      <c r="T131" s="50">
        <v>0.01</v>
      </c>
      <c r="U131" s="49">
        <v>60</v>
      </c>
      <c r="V131" s="50">
        <v>0.35</v>
      </c>
      <c r="W131" s="50">
        <v>0.05</v>
      </c>
      <c r="X131" s="49">
        <f t="shared" ref="X131:X194" si="6">L131*W131</f>
        <v>90.95</v>
      </c>
      <c r="Y131" s="49">
        <f t="shared" ref="Y131:Y194" si="7">S131*L131</f>
        <v>654.84</v>
      </c>
      <c r="Z131" s="49">
        <f t="shared" ref="Z131:Z194" si="8">L131-(X131+Y131)</f>
        <v>1073.21</v>
      </c>
      <c r="AA131" s="23" t="s">
        <v>116</v>
      </c>
      <c r="AB131" s="23" t="s">
        <v>116</v>
      </c>
      <c r="AC131" s="23" t="s">
        <v>116</v>
      </c>
      <c r="AD131" s="23">
        <v>300</v>
      </c>
      <c r="AE131" s="23" t="s">
        <v>116</v>
      </c>
      <c r="AF131" s="23" t="s">
        <v>116</v>
      </c>
      <c r="AG131" s="23" t="s">
        <v>116</v>
      </c>
      <c r="AH131" s="23" t="s">
        <v>116</v>
      </c>
      <c r="AI131" s="52">
        <v>300</v>
      </c>
      <c r="AJ131" s="51">
        <v>-199</v>
      </c>
    </row>
    <row r="132" spans="1:36" x14ac:dyDescent="0.2">
      <c r="A132" s="47">
        <v>44692</v>
      </c>
      <c r="B132" s="48">
        <v>11</v>
      </c>
      <c r="C132" s="48">
        <v>131</v>
      </c>
      <c r="D132" s="48">
        <v>4</v>
      </c>
      <c r="E132" s="48" t="s">
        <v>15</v>
      </c>
      <c r="F132" s="48">
        <v>19</v>
      </c>
      <c r="G132" s="48">
        <v>5</v>
      </c>
      <c r="H132" s="48" t="s">
        <v>21</v>
      </c>
      <c r="I132" s="48">
        <v>2</v>
      </c>
      <c r="J132" s="49">
        <v>27</v>
      </c>
      <c r="K132" s="49">
        <v>120</v>
      </c>
      <c r="L132" s="49">
        <v>3259</v>
      </c>
      <c r="M132" s="50">
        <v>0.66</v>
      </c>
      <c r="N132" s="49">
        <v>2160</v>
      </c>
      <c r="O132" s="49">
        <v>1099</v>
      </c>
      <c r="P132" s="50">
        <v>0.97</v>
      </c>
      <c r="Q132" s="50">
        <v>0.36</v>
      </c>
      <c r="R132" s="50">
        <v>0.95</v>
      </c>
      <c r="S132" s="50">
        <v>0.33</v>
      </c>
      <c r="T132" s="50">
        <v>0</v>
      </c>
      <c r="U132" s="49">
        <v>84</v>
      </c>
      <c r="V132" s="50">
        <v>0.32</v>
      </c>
      <c r="W132" s="50">
        <v>0.02</v>
      </c>
      <c r="X132" s="49">
        <f t="shared" si="6"/>
        <v>65.180000000000007</v>
      </c>
      <c r="Y132" s="49">
        <f t="shared" si="7"/>
        <v>1075.47</v>
      </c>
      <c r="Z132" s="49">
        <f t="shared" si="8"/>
        <v>2118.35</v>
      </c>
      <c r="AA132" s="23" t="s">
        <v>116</v>
      </c>
      <c r="AB132" s="23" t="s">
        <v>116</v>
      </c>
      <c r="AC132" s="23" t="s">
        <v>116</v>
      </c>
      <c r="AD132" s="23" t="s">
        <v>116</v>
      </c>
      <c r="AE132" s="23" t="s">
        <v>116</v>
      </c>
      <c r="AF132" s="23" t="s">
        <v>116</v>
      </c>
      <c r="AG132" s="23" t="s">
        <v>116</v>
      </c>
      <c r="AH132" s="23" t="s">
        <v>116</v>
      </c>
      <c r="AI132" s="52">
        <v>0</v>
      </c>
      <c r="AJ132" s="51">
        <v>1099</v>
      </c>
    </row>
    <row r="133" spans="1:36" x14ac:dyDescent="0.2">
      <c r="A133" s="47">
        <v>44693</v>
      </c>
      <c r="B133" s="48">
        <v>12</v>
      </c>
      <c r="C133" s="48">
        <v>132</v>
      </c>
      <c r="D133" s="48">
        <v>5</v>
      </c>
      <c r="E133" s="48" t="s">
        <v>16</v>
      </c>
      <c r="F133" s="48">
        <v>19</v>
      </c>
      <c r="G133" s="48">
        <v>5</v>
      </c>
      <c r="H133" s="48" t="s">
        <v>21</v>
      </c>
      <c r="I133" s="48">
        <v>2</v>
      </c>
      <c r="J133" s="49">
        <v>22</v>
      </c>
      <c r="K133" s="49">
        <v>48</v>
      </c>
      <c r="L133" s="49">
        <v>1043</v>
      </c>
      <c r="M133" s="50">
        <v>0.93</v>
      </c>
      <c r="N133" s="49">
        <v>968</v>
      </c>
      <c r="O133" s="49">
        <v>75</v>
      </c>
      <c r="P133" s="50">
        <v>2.3199999999999998</v>
      </c>
      <c r="Q133" s="50">
        <v>0.21</v>
      </c>
      <c r="R133" s="50">
        <v>1.33</v>
      </c>
      <c r="S133" s="50">
        <v>0.64</v>
      </c>
      <c r="T133" s="50">
        <v>0.01</v>
      </c>
      <c r="U133" s="49">
        <v>34</v>
      </c>
      <c r="V133" s="50">
        <v>0.41</v>
      </c>
      <c r="W133" s="50">
        <v>0.08</v>
      </c>
      <c r="X133" s="49">
        <f t="shared" si="6"/>
        <v>83.44</v>
      </c>
      <c r="Y133" s="49">
        <f t="shared" si="7"/>
        <v>667.52</v>
      </c>
      <c r="Z133" s="49">
        <f t="shared" si="8"/>
        <v>292.03999999999996</v>
      </c>
      <c r="AA133" s="23" t="s">
        <v>116</v>
      </c>
      <c r="AB133" s="23" t="s">
        <v>116</v>
      </c>
      <c r="AC133" s="23" t="s">
        <v>116</v>
      </c>
      <c r="AD133" s="23" t="s">
        <v>116</v>
      </c>
      <c r="AE133" s="23" t="s">
        <v>116</v>
      </c>
      <c r="AF133" s="23">
        <v>480</v>
      </c>
      <c r="AG133" s="23" t="s">
        <v>116</v>
      </c>
      <c r="AH133" s="23" t="s">
        <v>116</v>
      </c>
      <c r="AI133" s="52">
        <v>480</v>
      </c>
      <c r="AJ133" s="51">
        <v>-405</v>
      </c>
    </row>
    <row r="134" spans="1:36" x14ac:dyDescent="0.2">
      <c r="A134" s="47">
        <v>44694</v>
      </c>
      <c r="B134" s="48">
        <v>13</v>
      </c>
      <c r="C134" s="48">
        <v>133</v>
      </c>
      <c r="D134" s="48">
        <v>6</v>
      </c>
      <c r="E134" s="48" t="s">
        <v>17</v>
      </c>
      <c r="F134" s="48">
        <v>19</v>
      </c>
      <c r="G134" s="48">
        <v>5</v>
      </c>
      <c r="H134" s="48" t="s">
        <v>21</v>
      </c>
      <c r="I134" s="48">
        <v>2</v>
      </c>
      <c r="J134" s="49">
        <v>24</v>
      </c>
      <c r="K134" s="49">
        <v>65</v>
      </c>
      <c r="L134" s="49">
        <v>1527</v>
      </c>
      <c r="M134" s="50">
        <v>0.97</v>
      </c>
      <c r="N134" s="49">
        <v>1488</v>
      </c>
      <c r="O134" s="49">
        <v>39</v>
      </c>
      <c r="P134" s="50">
        <v>2.13</v>
      </c>
      <c r="Q134" s="50">
        <v>0.35</v>
      </c>
      <c r="R134" s="50">
        <v>1.39</v>
      </c>
      <c r="S134" s="50">
        <v>0.52</v>
      </c>
      <c r="T134" s="50">
        <v>0.01</v>
      </c>
      <c r="U134" s="49">
        <v>45</v>
      </c>
      <c r="V134" s="50">
        <v>0.37</v>
      </c>
      <c r="W134" s="50">
        <v>0.06</v>
      </c>
      <c r="X134" s="49">
        <f t="shared" si="6"/>
        <v>91.61999999999999</v>
      </c>
      <c r="Y134" s="49">
        <f t="shared" si="7"/>
        <v>794.04000000000008</v>
      </c>
      <c r="Z134" s="49">
        <f t="shared" si="8"/>
        <v>641.33999999999992</v>
      </c>
      <c r="AA134" s="23" t="s">
        <v>116</v>
      </c>
      <c r="AB134" s="23" t="s">
        <v>116</v>
      </c>
      <c r="AC134" s="23" t="s">
        <v>116</v>
      </c>
      <c r="AD134" s="23" t="s">
        <v>116</v>
      </c>
      <c r="AE134" s="23" t="s">
        <v>116</v>
      </c>
      <c r="AF134" s="23" t="s">
        <v>116</v>
      </c>
      <c r="AG134" s="23" t="s">
        <v>116</v>
      </c>
      <c r="AH134" s="23" t="s">
        <v>116</v>
      </c>
      <c r="AI134" s="52">
        <v>0</v>
      </c>
      <c r="AJ134" s="51">
        <v>39</v>
      </c>
    </row>
    <row r="135" spans="1:36" x14ac:dyDescent="0.2">
      <c r="A135" s="47">
        <v>44695</v>
      </c>
      <c r="B135" s="48">
        <v>14</v>
      </c>
      <c r="C135" s="48">
        <v>134</v>
      </c>
      <c r="D135" s="48">
        <v>7</v>
      </c>
      <c r="E135" s="48" t="s">
        <v>10</v>
      </c>
      <c r="F135" s="48">
        <v>19</v>
      </c>
      <c r="G135" s="48">
        <v>5</v>
      </c>
      <c r="H135" s="48" t="s">
        <v>21</v>
      </c>
      <c r="I135" s="48">
        <v>2</v>
      </c>
      <c r="J135" s="49">
        <v>34</v>
      </c>
      <c r="K135" s="49">
        <v>108</v>
      </c>
      <c r="L135" s="49">
        <v>3667</v>
      </c>
      <c r="M135" s="50">
        <v>0.52</v>
      </c>
      <c r="N135" s="49">
        <v>1923</v>
      </c>
      <c r="O135" s="49">
        <v>1744</v>
      </c>
      <c r="P135" s="50">
        <v>1.43</v>
      </c>
      <c r="Q135" s="50">
        <v>0.5</v>
      </c>
      <c r="R135" s="50">
        <v>0.75</v>
      </c>
      <c r="S135" s="50">
        <v>0.45</v>
      </c>
      <c r="T135" s="50">
        <v>0</v>
      </c>
      <c r="U135" s="49">
        <v>76</v>
      </c>
      <c r="V135" s="50">
        <v>0.13</v>
      </c>
      <c r="W135" s="50">
        <v>0.03</v>
      </c>
      <c r="X135" s="49">
        <f t="shared" si="6"/>
        <v>110.00999999999999</v>
      </c>
      <c r="Y135" s="49">
        <f t="shared" si="7"/>
        <v>1650.15</v>
      </c>
      <c r="Z135" s="49">
        <f t="shared" si="8"/>
        <v>1906.84</v>
      </c>
      <c r="AA135" s="23" t="s">
        <v>116</v>
      </c>
      <c r="AB135" s="23" t="s">
        <v>116</v>
      </c>
      <c r="AC135" s="23" t="s">
        <v>116</v>
      </c>
      <c r="AD135" s="23" t="s">
        <v>116</v>
      </c>
      <c r="AE135" s="23" t="s">
        <v>116</v>
      </c>
      <c r="AF135" s="23" t="s">
        <v>116</v>
      </c>
      <c r="AG135" s="23" t="s">
        <v>116</v>
      </c>
      <c r="AH135" s="23" t="s">
        <v>116</v>
      </c>
      <c r="AI135" s="52">
        <v>0</v>
      </c>
      <c r="AJ135" s="51">
        <v>1744</v>
      </c>
    </row>
    <row r="136" spans="1:36" x14ac:dyDescent="0.2">
      <c r="A136" s="47">
        <v>44696</v>
      </c>
      <c r="B136" s="48">
        <v>15</v>
      </c>
      <c r="C136" s="48">
        <v>135</v>
      </c>
      <c r="D136" s="48">
        <v>1</v>
      </c>
      <c r="E136" s="48" t="s">
        <v>12</v>
      </c>
      <c r="F136" s="48">
        <v>20</v>
      </c>
      <c r="G136" s="48">
        <v>5</v>
      </c>
      <c r="H136" s="48" t="s">
        <v>21</v>
      </c>
      <c r="I136" s="48">
        <v>2</v>
      </c>
      <c r="J136" s="49">
        <v>10</v>
      </c>
      <c r="K136" s="49">
        <v>13</v>
      </c>
      <c r="L136" s="49">
        <v>133</v>
      </c>
      <c r="M136" s="50">
        <v>0.44</v>
      </c>
      <c r="N136" s="49">
        <v>58</v>
      </c>
      <c r="O136" s="49">
        <v>75</v>
      </c>
      <c r="P136" s="50">
        <v>6.29</v>
      </c>
      <c r="Q136" s="50">
        <v>0.26</v>
      </c>
      <c r="R136" s="50">
        <v>0.63</v>
      </c>
      <c r="S136" s="50">
        <v>1.1499999999999999</v>
      </c>
      <c r="T136" s="50">
        <v>0.21</v>
      </c>
      <c r="U136" s="49">
        <v>9</v>
      </c>
      <c r="V136" s="50">
        <v>1.1499999999999999</v>
      </c>
      <c r="W136" s="50">
        <v>0.42</v>
      </c>
      <c r="X136" s="49">
        <f t="shared" si="6"/>
        <v>55.86</v>
      </c>
      <c r="Y136" s="49">
        <f t="shared" si="7"/>
        <v>152.94999999999999</v>
      </c>
      <c r="Z136" s="49">
        <f t="shared" si="8"/>
        <v>-75.81</v>
      </c>
      <c r="AA136" s="23" t="s">
        <v>116</v>
      </c>
      <c r="AB136" s="23">
        <v>1000</v>
      </c>
      <c r="AC136" s="23">
        <v>300</v>
      </c>
      <c r="AD136" s="23" t="s">
        <v>116</v>
      </c>
      <c r="AE136" s="23" t="s">
        <v>116</v>
      </c>
      <c r="AF136" s="23" t="s">
        <v>116</v>
      </c>
      <c r="AG136" s="23" t="s">
        <v>116</v>
      </c>
      <c r="AH136" s="23" t="s">
        <v>116</v>
      </c>
      <c r="AI136" s="52">
        <v>1300</v>
      </c>
      <c r="AJ136" s="51">
        <v>-1225</v>
      </c>
    </row>
    <row r="137" spans="1:36" x14ac:dyDescent="0.2">
      <c r="A137" s="47">
        <v>44697</v>
      </c>
      <c r="B137" s="48">
        <v>16</v>
      </c>
      <c r="C137" s="48">
        <v>136</v>
      </c>
      <c r="D137" s="48">
        <v>2</v>
      </c>
      <c r="E137" s="48" t="s">
        <v>13</v>
      </c>
      <c r="F137" s="48">
        <v>20</v>
      </c>
      <c r="G137" s="48">
        <v>5</v>
      </c>
      <c r="H137" s="48" t="s">
        <v>21</v>
      </c>
      <c r="I137" s="48">
        <v>2</v>
      </c>
      <c r="J137" s="49">
        <v>23</v>
      </c>
      <c r="K137" s="49">
        <v>63</v>
      </c>
      <c r="L137" s="49">
        <v>1450</v>
      </c>
      <c r="M137" s="50">
        <v>0.59</v>
      </c>
      <c r="N137" s="49">
        <v>860</v>
      </c>
      <c r="O137" s="49">
        <v>589</v>
      </c>
      <c r="P137" s="50">
        <v>2.33</v>
      </c>
      <c r="Q137" s="50">
        <v>0.26</v>
      </c>
      <c r="R137" s="50">
        <v>0.85</v>
      </c>
      <c r="S137" s="50">
        <v>0.52</v>
      </c>
      <c r="T137" s="50">
        <v>0.01</v>
      </c>
      <c r="U137" s="49">
        <v>44</v>
      </c>
      <c r="V137" s="50">
        <v>0.31</v>
      </c>
      <c r="W137" s="50">
        <v>7.0000000000000007E-2</v>
      </c>
      <c r="X137" s="49">
        <f t="shared" si="6"/>
        <v>101.50000000000001</v>
      </c>
      <c r="Y137" s="49">
        <f t="shared" si="7"/>
        <v>754</v>
      </c>
      <c r="Z137" s="49">
        <f t="shared" si="8"/>
        <v>594.5</v>
      </c>
      <c r="AA137" s="23" t="s">
        <v>116</v>
      </c>
      <c r="AB137" s="23" t="s">
        <v>116</v>
      </c>
      <c r="AC137" s="23" t="s">
        <v>116</v>
      </c>
      <c r="AD137" s="23" t="s">
        <v>116</v>
      </c>
      <c r="AE137" s="23" t="s">
        <v>116</v>
      </c>
      <c r="AF137" s="23" t="s">
        <v>116</v>
      </c>
      <c r="AG137" s="23" t="s">
        <v>116</v>
      </c>
      <c r="AH137" s="23" t="s">
        <v>116</v>
      </c>
      <c r="AI137" s="52">
        <v>0</v>
      </c>
      <c r="AJ137" s="51">
        <v>589</v>
      </c>
    </row>
    <row r="138" spans="1:36" x14ac:dyDescent="0.2">
      <c r="A138" s="47">
        <v>44698</v>
      </c>
      <c r="B138" s="48">
        <v>17</v>
      </c>
      <c r="C138" s="48">
        <v>137</v>
      </c>
      <c r="D138" s="48">
        <v>3</v>
      </c>
      <c r="E138" s="48" t="s">
        <v>14</v>
      </c>
      <c r="F138" s="48">
        <v>20</v>
      </c>
      <c r="G138" s="48">
        <v>5</v>
      </c>
      <c r="H138" s="48" t="s">
        <v>21</v>
      </c>
      <c r="I138" s="48">
        <v>2</v>
      </c>
      <c r="J138" s="49">
        <v>33</v>
      </c>
      <c r="K138" s="49">
        <v>95</v>
      </c>
      <c r="L138" s="49">
        <v>3127</v>
      </c>
      <c r="M138" s="50">
        <v>1.02</v>
      </c>
      <c r="N138" s="49">
        <v>3185</v>
      </c>
      <c r="O138" s="49">
        <v>-58</v>
      </c>
      <c r="P138" s="50">
        <v>0.87</v>
      </c>
      <c r="Q138" s="50">
        <v>0.38</v>
      </c>
      <c r="R138" s="50">
        <v>1.46</v>
      </c>
      <c r="S138" s="50">
        <v>0.49</v>
      </c>
      <c r="T138" s="50">
        <v>0</v>
      </c>
      <c r="U138" s="49">
        <v>67</v>
      </c>
      <c r="V138" s="50">
        <v>0.3</v>
      </c>
      <c r="W138" s="50">
        <v>0.02</v>
      </c>
      <c r="X138" s="49">
        <f t="shared" si="6"/>
        <v>62.54</v>
      </c>
      <c r="Y138" s="49">
        <f t="shared" si="7"/>
        <v>1532.23</v>
      </c>
      <c r="Z138" s="49">
        <f t="shared" si="8"/>
        <v>1532.23</v>
      </c>
      <c r="AA138" s="23" t="s">
        <v>116</v>
      </c>
      <c r="AB138" s="23" t="s">
        <v>116</v>
      </c>
      <c r="AC138" s="23" t="s">
        <v>116</v>
      </c>
      <c r="AD138" s="23" t="s">
        <v>116</v>
      </c>
      <c r="AE138" s="23" t="s">
        <v>116</v>
      </c>
      <c r="AF138" s="23" t="s">
        <v>116</v>
      </c>
      <c r="AG138" s="23" t="s">
        <v>116</v>
      </c>
      <c r="AH138" s="23" t="s">
        <v>116</v>
      </c>
      <c r="AI138" s="52">
        <v>0</v>
      </c>
      <c r="AJ138" s="51">
        <v>-58</v>
      </c>
    </row>
    <row r="139" spans="1:36" x14ac:dyDescent="0.2">
      <c r="A139" s="47">
        <v>44699</v>
      </c>
      <c r="B139" s="48">
        <v>18</v>
      </c>
      <c r="C139" s="48">
        <v>138</v>
      </c>
      <c r="D139" s="48">
        <v>4</v>
      </c>
      <c r="E139" s="48" t="s">
        <v>15</v>
      </c>
      <c r="F139" s="48">
        <v>20</v>
      </c>
      <c r="G139" s="48">
        <v>5</v>
      </c>
      <c r="H139" s="48" t="s">
        <v>21</v>
      </c>
      <c r="I139" s="48">
        <v>2</v>
      </c>
      <c r="J139" s="49">
        <v>29</v>
      </c>
      <c r="K139" s="49">
        <v>89</v>
      </c>
      <c r="L139" s="49">
        <v>2565</v>
      </c>
      <c r="M139" s="50">
        <v>0.65</v>
      </c>
      <c r="N139" s="49">
        <v>1661</v>
      </c>
      <c r="O139" s="49">
        <v>905</v>
      </c>
      <c r="P139" s="50">
        <v>1.7</v>
      </c>
      <c r="Q139" s="50">
        <v>0.34</v>
      </c>
      <c r="R139" s="50">
        <v>0.92</v>
      </c>
      <c r="S139" s="50">
        <v>0.46</v>
      </c>
      <c r="T139" s="50">
        <v>0.01</v>
      </c>
      <c r="U139" s="49">
        <v>62</v>
      </c>
      <c r="V139" s="50">
        <v>0.25</v>
      </c>
      <c r="W139" s="50">
        <v>0.04</v>
      </c>
      <c r="X139" s="49">
        <f t="shared" si="6"/>
        <v>102.60000000000001</v>
      </c>
      <c r="Y139" s="49">
        <f t="shared" si="7"/>
        <v>1179.9000000000001</v>
      </c>
      <c r="Z139" s="49">
        <f t="shared" si="8"/>
        <v>1282.5</v>
      </c>
      <c r="AA139" s="23" t="s">
        <v>116</v>
      </c>
      <c r="AB139" s="23" t="s">
        <v>116</v>
      </c>
      <c r="AC139" s="23" t="s">
        <v>116</v>
      </c>
      <c r="AD139" s="23" t="s">
        <v>116</v>
      </c>
      <c r="AE139" s="23" t="s">
        <v>116</v>
      </c>
      <c r="AF139" s="23" t="s">
        <v>116</v>
      </c>
      <c r="AG139" s="23" t="s">
        <v>116</v>
      </c>
      <c r="AH139" s="23" t="s">
        <v>116</v>
      </c>
      <c r="AI139" s="52">
        <v>0</v>
      </c>
      <c r="AJ139" s="51">
        <v>905</v>
      </c>
    </row>
    <row r="140" spans="1:36" x14ac:dyDescent="0.2">
      <c r="A140" s="47">
        <v>44700</v>
      </c>
      <c r="B140" s="48">
        <v>19</v>
      </c>
      <c r="C140" s="48">
        <v>139</v>
      </c>
      <c r="D140" s="48">
        <v>5</v>
      </c>
      <c r="E140" s="48" t="s">
        <v>16</v>
      </c>
      <c r="F140" s="48">
        <v>20</v>
      </c>
      <c r="G140" s="48">
        <v>5</v>
      </c>
      <c r="H140" s="48" t="s">
        <v>21</v>
      </c>
      <c r="I140" s="48">
        <v>2</v>
      </c>
      <c r="J140" s="49">
        <v>21</v>
      </c>
      <c r="K140" s="49">
        <v>142</v>
      </c>
      <c r="L140" s="49">
        <v>3044</v>
      </c>
      <c r="M140" s="50">
        <v>0.66</v>
      </c>
      <c r="N140" s="49">
        <v>2000</v>
      </c>
      <c r="O140" s="49">
        <v>1044</v>
      </c>
      <c r="P140" s="50">
        <v>1.2</v>
      </c>
      <c r="Q140" s="50">
        <v>0.25</v>
      </c>
      <c r="R140" s="50">
        <v>0.94</v>
      </c>
      <c r="S140" s="50">
        <v>0.21</v>
      </c>
      <c r="T140" s="50">
        <v>0</v>
      </c>
      <c r="U140" s="49">
        <v>100</v>
      </c>
      <c r="V140" s="50">
        <v>0.39</v>
      </c>
      <c r="W140" s="50">
        <v>0.04</v>
      </c>
      <c r="X140" s="49">
        <f t="shared" si="6"/>
        <v>121.76</v>
      </c>
      <c r="Y140" s="49">
        <f t="shared" si="7"/>
        <v>639.24</v>
      </c>
      <c r="Z140" s="49">
        <f t="shared" si="8"/>
        <v>2283</v>
      </c>
      <c r="AA140" s="23" t="s">
        <v>116</v>
      </c>
      <c r="AB140" s="23" t="s">
        <v>116</v>
      </c>
      <c r="AC140" s="23" t="s">
        <v>116</v>
      </c>
      <c r="AD140" s="23" t="s">
        <v>116</v>
      </c>
      <c r="AE140" s="23" t="s">
        <v>116</v>
      </c>
      <c r="AF140" s="23" t="s">
        <v>116</v>
      </c>
      <c r="AG140" s="23" t="s">
        <v>116</v>
      </c>
      <c r="AH140" s="23" t="s">
        <v>116</v>
      </c>
      <c r="AI140" s="52">
        <v>0</v>
      </c>
      <c r="AJ140" s="51">
        <v>1044</v>
      </c>
    </row>
    <row r="141" spans="1:36" x14ac:dyDescent="0.2">
      <c r="A141" s="47">
        <v>44701</v>
      </c>
      <c r="B141" s="48">
        <v>20</v>
      </c>
      <c r="C141" s="48">
        <v>140</v>
      </c>
      <c r="D141" s="48">
        <v>6</v>
      </c>
      <c r="E141" s="48" t="s">
        <v>17</v>
      </c>
      <c r="F141" s="48">
        <v>20</v>
      </c>
      <c r="G141" s="48">
        <v>5</v>
      </c>
      <c r="H141" s="48" t="s">
        <v>21</v>
      </c>
      <c r="I141" s="48">
        <v>2</v>
      </c>
      <c r="J141" s="49">
        <v>29</v>
      </c>
      <c r="K141" s="49">
        <v>48</v>
      </c>
      <c r="L141" s="49">
        <v>1362</v>
      </c>
      <c r="M141" s="50">
        <v>0.94</v>
      </c>
      <c r="N141" s="49">
        <v>1280</v>
      </c>
      <c r="O141" s="49">
        <v>82</v>
      </c>
      <c r="P141" s="50">
        <v>1.87</v>
      </c>
      <c r="Q141" s="50">
        <v>0.33</v>
      </c>
      <c r="R141" s="50">
        <v>1.34</v>
      </c>
      <c r="S141" s="50">
        <v>0.86</v>
      </c>
      <c r="T141" s="50">
        <v>0.01</v>
      </c>
      <c r="U141" s="49">
        <v>33</v>
      </c>
      <c r="V141" s="50">
        <v>0.57999999999999996</v>
      </c>
      <c r="W141" s="50">
        <v>0.05</v>
      </c>
      <c r="X141" s="49">
        <f t="shared" si="6"/>
        <v>68.100000000000009</v>
      </c>
      <c r="Y141" s="49">
        <f t="shared" si="7"/>
        <v>1171.32</v>
      </c>
      <c r="Z141" s="49">
        <f t="shared" si="8"/>
        <v>122.58000000000015</v>
      </c>
      <c r="AA141" s="23" t="s">
        <v>116</v>
      </c>
      <c r="AB141" s="23" t="s">
        <v>116</v>
      </c>
      <c r="AC141" s="23" t="s">
        <v>116</v>
      </c>
      <c r="AD141" s="23" t="s">
        <v>116</v>
      </c>
      <c r="AE141" s="23">
        <v>100</v>
      </c>
      <c r="AF141" s="23" t="s">
        <v>116</v>
      </c>
      <c r="AG141" s="23" t="s">
        <v>116</v>
      </c>
      <c r="AH141" s="23" t="s">
        <v>116</v>
      </c>
      <c r="AI141" s="52">
        <v>100</v>
      </c>
      <c r="AJ141" s="51">
        <v>-18</v>
      </c>
    </row>
    <row r="142" spans="1:36" x14ac:dyDescent="0.2">
      <c r="A142" s="47">
        <v>44702</v>
      </c>
      <c r="B142" s="48">
        <v>21</v>
      </c>
      <c r="C142" s="48">
        <v>141</v>
      </c>
      <c r="D142" s="48">
        <v>7</v>
      </c>
      <c r="E142" s="48" t="s">
        <v>10</v>
      </c>
      <c r="F142" s="48">
        <v>20</v>
      </c>
      <c r="G142" s="48">
        <v>5</v>
      </c>
      <c r="H142" s="48" t="s">
        <v>21</v>
      </c>
      <c r="I142" s="48">
        <v>2</v>
      </c>
      <c r="J142" s="49">
        <v>26</v>
      </c>
      <c r="K142" s="49">
        <v>76</v>
      </c>
      <c r="L142" s="49">
        <v>2017</v>
      </c>
      <c r="M142" s="50">
        <v>0.83</v>
      </c>
      <c r="N142" s="49">
        <v>1676</v>
      </c>
      <c r="O142" s="49">
        <v>341</v>
      </c>
      <c r="P142" s="50">
        <v>1.47</v>
      </c>
      <c r="Q142" s="50">
        <v>0.33</v>
      </c>
      <c r="R142" s="50">
        <v>1.19</v>
      </c>
      <c r="S142" s="50">
        <v>0.5</v>
      </c>
      <c r="T142" s="50">
        <v>0.01</v>
      </c>
      <c r="U142" s="49">
        <v>53</v>
      </c>
      <c r="V142" s="50">
        <v>0.22</v>
      </c>
      <c r="W142" s="50">
        <v>0.04</v>
      </c>
      <c r="X142" s="49">
        <f t="shared" si="6"/>
        <v>80.680000000000007</v>
      </c>
      <c r="Y142" s="49">
        <f t="shared" si="7"/>
        <v>1008.5</v>
      </c>
      <c r="Z142" s="49">
        <f t="shared" si="8"/>
        <v>927.81999999999994</v>
      </c>
      <c r="AA142" s="23" t="s">
        <v>116</v>
      </c>
      <c r="AB142" s="23" t="s">
        <v>116</v>
      </c>
      <c r="AC142" s="23" t="s">
        <v>116</v>
      </c>
      <c r="AD142" s="23" t="s">
        <v>116</v>
      </c>
      <c r="AE142" s="23" t="s">
        <v>116</v>
      </c>
      <c r="AF142" s="23" t="s">
        <v>116</v>
      </c>
      <c r="AG142" s="23" t="s">
        <v>116</v>
      </c>
      <c r="AH142" s="23" t="s">
        <v>116</v>
      </c>
      <c r="AI142" s="52">
        <v>0</v>
      </c>
      <c r="AJ142" s="51">
        <v>341</v>
      </c>
    </row>
    <row r="143" spans="1:36" x14ac:dyDescent="0.2">
      <c r="A143" s="47">
        <v>44703</v>
      </c>
      <c r="B143" s="48">
        <v>22</v>
      </c>
      <c r="C143" s="48">
        <v>142</v>
      </c>
      <c r="D143" s="48">
        <v>1</v>
      </c>
      <c r="E143" s="48" t="s">
        <v>12</v>
      </c>
      <c r="F143" s="48">
        <v>21</v>
      </c>
      <c r="G143" s="48">
        <v>5</v>
      </c>
      <c r="H143" s="48" t="s">
        <v>21</v>
      </c>
      <c r="I143" s="48">
        <v>2</v>
      </c>
      <c r="J143" s="49">
        <v>2</v>
      </c>
      <c r="K143" s="49">
        <v>37</v>
      </c>
      <c r="L143" s="49">
        <v>67</v>
      </c>
      <c r="M143" s="50">
        <v>0.26</v>
      </c>
      <c r="N143" s="49">
        <v>17</v>
      </c>
      <c r="O143" s="49">
        <v>50</v>
      </c>
      <c r="P143" s="50">
        <v>0.83</v>
      </c>
      <c r="Q143" s="50">
        <v>0.12</v>
      </c>
      <c r="R143" s="50">
        <v>0.37</v>
      </c>
      <c r="S143" s="50">
        <v>7.0000000000000007E-2</v>
      </c>
      <c r="T143" s="50">
        <v>0.43</v>
      </c>
      <c r="U143" s="49">
        <v>26</v>
      </c>
      <c r="V143" s="50">
        <v>0.09</v>
      </c>
      <c r="W143" s="50">
        <v>0.32</v>
      </c>
      <c r="X143" s="49">
        <f t="shared" si="6"/>
        <v>21.44</v>
      </c>
      <c r="Y143" s="49">
        <f t="shared" si="7"/>
        <v>4.6900000000000004</v>
      </c>
      <c r="Z143" s="49">
        <f t="shared" si="8"/>
        <v>40.869999999999997</v>
      </c>
      <c r="AA143" s="23" t="s">
        <v>116</v>
      </c>
      <c r="AB143" s="23">
        <v>1000</v>
      </c>
      <c r="AC143" s="23" t="s">
        <v>116</v>
      </c>
      <c r="AD143" s="23" t="s">
        <v>116</v>
      </c>
      <c r="AE143" s="23" t="s">
        <v>116</v>
      </c>
      <c r="AF143" s="23" t="s">
        <v>116</v>
      </c>
      <c r="AG143" s="23" t="s">
        <v>116</v>
      </c>
      <c r="AH143" s="23" t="s">
        <v>116</v>
      </c>
      <c r="AI143" s="52">
        <v>1000</v>
      </c>
      <c r="AJ143" s="51">
        <v>-950</v>
      </c>
    </row>
    <row r="144" spans="1:36" x14ac:dyDescent="0.2">
      <c r="A144" s="47">
        <v>44704</v>
      </c>
      <c r="B144" s="48">
        <v>23</v>
      </c>
      <c r="C144" s="48">
        <v>143</v>
      </c>
      <c r="D144" s="48">
        <v>2</v>
      </c>
      <c r="E144" s="48" t="s">
        <v>13</v>
      </c>
      <c r="F144" s="48">
        <v>21</v>
      </c>
      <c r="G144" s="48">
        <v>5</v>
      </c>
      <c r="H144" s="48" t="s">
        <v>21</v>
      </c>
      <c r="I144" s="48">
        <v>2</v>
      </c>
      <c r="J144" s="49">
        <v>12</v>
      </c>
      <c r="K144" s="49">
        <v>86</v>
      </c>
      <c r="L144" s="49">
        <v>1035</v>
      </c>
      <c r="M144" s="50">
        <v>0.65</v>
      </c>
      <c r="N144" s="49">
        <v>672</v>
      </c>
      <c r="O144" s="49">
        <v>363</v>
      </c>
      <c r="P144" s="50">
        <v>0.63</v>
      </c>
      <c r="Q144" s="50">
        <v>0.37</v>
      </c>
      <c r="R144" s="50">
        <v>0.93</v>
      </c>
      <c r="S144" s="50">
        <v>0.2</v>
      </c>
      <c r="T144" s="50">
        <v>0.01</v>
      </c>
      <c r="U144" s="49">
        <v>60</v>
      </c>
      <c r="V144" s="50">
        <v>0.15</v>
      </c>
      <c r="W144" s="50">
        <v>0.04</v>
      </c>
      <c r="X144" s="49">
        <f t="shared" si="6"/>
        <v>41.4</v>
      </c>
      <c r="Y144" s="49">
        <f t="shared" si="7"/>
        <v>207</v>
      </c>
      <c r="Z144" s="49">
        <f t="shared" si="8"/>
        <v>786.6</v>
      </c>
      <c r="AA144" s="23" t="s">
        <v>116</v>
      </c>
      <c r="AB144" s="23" t="s">
        <v>116</v>
      </c>
      <c r="AC144" s="23" t="s">
        <v>116</v>
      </c>
      <c r="AD144" s="23" t="s">
        <v>116</v>
      </c>
      <c r="AE144" s="23" t="s">
        <v>116</v>
      </c>
      <c r="AF144" s="23" t="s">
        <v>116</v>
      </c>
      <c r="AG144" s="23" t="s">
        <v>116</v>
      </c>
      <c r="AH144" s="23" t="s">
        <v>116</v>
      </c>
      <c r="AI144" s="52">
        <v>0</v>
      </c>
      <c r="AJ144" s="51">
        <v>363</v>
      </c>
    </row>
    <row r="145" spans="1:36" x14ac:dyDescent="0.2">
      <c r="A145" s="47">
        <v>44705</v>
      </c>
      <c r="B145" s="48">
        <v>24</v>
      </c>
      <c r="C145" s="48">
        <v>144</v>
      </c>
      <c r="D145" s="48">
        <v>3</v>
      </c>
      <c r="E145" s="48" t="s">
        <v>14</v>
      </c>
      <c r="F145" s="48">
        <v>21</v>
      </c>
      <c r="G145" s="48">
        <v>5</v>
      </c>
      <c r="H145" s="48" t="s">
        <v>21</v>
      </c>
      <c r="I145" s="48">
        <v>2</v>
      </c>
      <c r="J145" s="49">
        <v>17</v>
      </c>
      <c r="K145" s="49">
        <v>61</v>
      </c>
      <c r="L145" s="49">
        <v>1044</v>
      </c>
      <c r="M145" s="50">
        <v>0.68</v>
      </c>
      <c r="N145" s="49">
        <v>708</v>
      </c>
      <c r="O145" s="49">
        <v>335</v>
      </c>
      <c r="P145" s="50">
        <v>0.59</v>
      </c>
      <c r="Q145" s="50">
        <v>0.43</v>
      </c>
      <c r="R145" s="50">
        <v>0.97</v>
      </c>
      <c r="S145" s="50">
        <v>0.4</v>
      </c>
      <c r="T145" s="50">
        <v>0.01</v>
      </c>
      <c r="U145" s="49">
        <v>43</v>
      </c>
      <c r="V145" s="50">
        <v>0.17</v>
      </c>
      <c r="W145" s="50">
        <v>0.02</v>
      </c>
      <c r="X145" s="49">
        <f t="shared" si="6"/>
        <v>20.88</v>
      </c>
      <c r="Y145" s="49">
        <f t="shared" si="7"/>
        <v>417.6</v>
      </c>
      <c r="Z145" s="49">
        <f t="shared" si="8"/>
        <v>605.52</v>
      </c>
      <c r="AA145" s="23" t="s">
        <v>116</v>
      </c>
      <c r="AB145" s="23" t="s">
        <v>116</v>
      </c>
      <c r="AC145" s="23" t="s">
        <v>116</v>
      </c>
      <c r="AD145" s="23" t="s">
        <v>116</v>
      </c>
      <c r="AE145" s="23" t="s">
        <v>116</v>
      </c>
      <c r="AF145" s="23" t="s">
        <v>116</v>
      </c>
      <c r="AG145" s="23" t="s">
        <v>116</v>
      </c>
      <c r="AH145" s="23" t="s">
        <v>116</v>
      </c>
      <c r="AI145" s="52">
        <v>0</v>
      </c>
      <c r="AJ145" s="51">
        <v>335</v>
      </c>
    </row>
    <row r="146" spans="1:36" x14ac:dyDescent="0.2">
      <c r="A146" s="47">
        <v>44706</v>
      </c>
      <c r="B146" s="48">
        <v>25</v>
      </c>
      <c r="C146" s="48">
        <v>145</v>
      </c>
      <c r="D146" s="48">
        <v>4</v>
      </c>
      <c r="E146" s="48" t="s">
        <v>15</v>
      </c>
      <c r="F146" s="48">
        <v>21</v>
      </c>
      <c r="G146" s="48">
        <v>5</v>
      </c>
      <c r="H146" s="48" t="s">
        <v>21</v>
      </c>
      <c r="I146" s="48">
        <v>2</v>
      </c>
      <c r="J146" s="49">
        <v>15</v>
      </c>
      <c r="K146" s="49">
        <v>105</v>
      </c>
      <c r="L146" s="49">
        <v>1628</v>
      </c>
      <c r="M146" s="50">
        <v>0.69</v>
      </c>
      <c r="N146" s="49">
        <v>1124</v>
      </c>
      <c r="O146" s="49">
        <v>503</v>
      </c>
      <c r="P146" s="50">
        <v>0.46</v>
      </c>
      <c r="Q146" s="50">
        <v>0.39</v>
      </c>
      <c r="R146" s="50">
        <v>0.99</v>
      </c>
      <c r="S146" s="50">
        <v>0.21</v>
      </c>
      <c r="T146" s="50">
        <v>0.01</v>
      </c>
      <c r="U146" s="49">
        <v>74</v>
      </c>
      <c r="V146" s="50">
        <v>0.12</v>
      </c>
      <c r="W146" s="50">
        <v>0.02</v>
      </c>
      <c r="X146" s="49">
        <f t="shared" si="6"/>
        <v>32.56</v>
      </c>
      <c r="Y146" s="49">
        <f t="shared" si="7"/>
        <v>341.88</v>
      </c>
      <c r="Z146" s="49">
        <f t="shared" si="8"/>
        <v>1253.56</v>
      </c>
      <c r="AA146" s="23" t="s">
        <v>116</v>
      </c>
      <c r="AB146" s="23" t="s">
        <v>116</v>
      </c>
      <c r="AC146" s="23" t="s">
        <v>116</v>
      </c>
      <c r="AD146" s="23" t="s">
        <v>116</v>
      </c>
      <c r="AE146" s="23" t="s">
        <v>116</v>
      </c>
      <c r="AF146" s="23" t="s">
        <v>116</v>
      </c>
      <c r="AG146" s="23">
        <v>83</v>
      </c>
      <c r="AH146" s="23" t="s">
        <v>116</v>
      </c>
      <c r="AI146" s="52">
        <v>83</v>
      </c>
      <c r="AJ146" s="51">
        <v>420</v>
      </c>
    </row>
    <row r="147" spans="1:36" x14ac:dyDescent="0.2">
      <c r="A147" s="47">
        <v>44707</v>
      </c>
      <c r="B147" s="48">
        <v>26</v>
      </c>
      <c r="C147" s="48">
        <v>146</v>
      </c>
      <c r="D147" s="48">
        <v>5</v>
      </c>
      <c r="E147" s="48" t="s">
        <v>16</v>
      </c>
      <c r="F147" s="48">
        <v>21</v>
      </c>
      <c r="G147" s="48">
        <v>5</v>
      </c>
      <c r="H147" s="48" t="s">
        <v>21</v>
      </c>
      <c r="I147" s="48">
        <v>2</v>
      </c>
      <c r="J147" s="49">
        <v>14</v>
      </c>
      <c r="K147" s="49">
        <v>32</v>
      </c>
      <c r="L147" s="49">
        <v>452</v>
      </c>
      <c r="M147" s="50">
        <v>0.85</v>
      </c>
      <c r="N147" s="49">
        <v>382</v>
      </c>
      <c r="O147" s="49">
        <v>70</v>
      </c>
      <c r="P147" s="50">
        <v>1.71</v>
      </c>
      <c r="Q147" s="50">
        <v>0.32</v>
      </c>
      <c r="R147" s="50">
        <v>1.21</v>
      </c>
      <c r="S147" s="50">
        <v>0.64</v>
      </c>
      <c r="T147" s="50">
        <v>0.03</v>
      </c>
      <c r="U147" s="49">
        <v>22</v>
      </c>
      <c r="V147" s="50">
        <v>0.3</v>
      </c>
      <c r="W147" s="50">
        <v>0.08</v>
      </c>
      <c r="X147" s="49">
        <f t="shared" si="6"/>
        <v>36.160000000000004</v>
      </c>
      <c r="Y147" s="49">
        <f t="shared" si="7"/>
        <v>289.28000000000003</v>
      </c>
      <c r="Z147" s="49">
        <f t="shared" si="8"/>
        <v>126.55999999999995</v>
      </c>
      <c r="AA147" s="23" t="s">
        <v>116</v>
      </c>
      <c r="AB147" s="23" t="s">
        <v>116</v>
      </c>
      <c r="AC147" s="23" t="s">
        <v>116</v>
      </c>
      <c r="AD147" s="23" t="s">
        <v>116</v>
      </c>
      <c r="AE147" s="23" t="s">
        <v>116</v>
      </c>
      <c r="AF147" s="23" t="s">
        <v>116</v>
      </c>
      <c r="AG147" s="23" t="s">
        <v>116</v>
      </c>
      <c r="AH147" s="23" t="s">
        <v>116</v>
      </c>
      <c r="AI147" s="52">
        <v>0</v>
      </c>
      <c r="AJ147" s="51">
        <v>70</v>
      </c>
    </row>
    <row r="148" spans="1:36" x14ac:dyDescent="0.2">
      <c r="A148" s="47">
        <v>44708</v>
      </c>
      <c r="B148" s="48">
        <v>27</v>
      </c>
      <c r="C148" s="48">
        <v>147</v>
      </c>
      <c r="D148" s="48">
        <v>6</v>
      </c>
      <c r="E148" s="48" t="s">
        <v>17</v>
      </c>
      <c r="F148" s="48">
        <v>21</v>
      </c>
      <c r="G148" s="48">
        <v>5</v>
      </c>
      <c r="H148" s="48" t="s">
        <v>21</v>
      </c>
      <c r="I148" s="48">
        <v>2</v>
      </c>
      <c r="J148" s="49">
        <v>23</v>
      </c>
      <c r="K148" s="49">
        <v>69</v>
      </c>
      <c r="L148" s="49">
        <v>1555</v>
      </c>
      <c r="M148" s="50">
        <v>0.57999999999999996</v>
      </c>
      <c r="N148" s="49">
        <v>899</v>
      </c>
      <c r="O148" s="49">
        <v>656</v>
      </c>
      <c r="P148" s="50">
        <v>0.57999999999999996</v>
      </c>
      <c r="Q148" s="50">
        <v>0.7</v>
      </c>
      <c r="R148" s="50">
        <v>0.83</v>
      </c>
      <c r="S148" s="50">
        <v>0.47</v>
      </c>
      <c r="T148" s="50">
        <v>0.01</v>
      </c>
      <c r="U148" s="49">
        <v>48</v>
      </c>
      <c r="V148" s="50">
        <v>0.2</v>
      </c>
      <c r="W148" s="50">
        <v>0.02</v>
      </c>
      <c r="X148" s="49">
        <f t="shared" si="6"/>
        <v>31.1</v>
      </c>
      <c r="Y148" s="49">
        <f t="shared" si="7"/>
        <v>730.84999999999991</v>
      </c>
      <c r="Z148" s="49">
        <f t="shared" si="8"/>
        <v>793.05000000000007</v>
      </c>
      <c r="AA148" s="23" t="s">
        <v>116</v>
      </c>
      <c r="AB148" s="23" t="s">
        <v>116</v>
      </c>
      <c r="AC148" s="23" t="s">
        <v>116</v>
      </c>
      <c r="AD148" s="23" t="s">
        <v>116</v>
      </c>
      <c r="AE148" s="23" t="s">
        <v>116</v>
      </c>
      <c r="AF148" s="23" t="s">
        <v>116</v>
      </c>
      <c r="AG148" s="23" t="s">
        <v>116</v>
      </c>
      <c r="AH148" s="23" t="s">
        <v>116</v>
      </c>
      <c r="AI148" s="52">
        <v>0</v>
      </c>
      <c r="AJ148" s="51">
        <v>656</v>
      </c>
    </row>
    <row r="149" spans="1:36" x14ac:dyDescent="0.2">
      <c r="A149" s="47">
        <v>44709</v>
      </c>
      <c r="B149" s="48">
        <v>28</v>
      </c>
      <c r="C149" s="48">
        <v>148</v>
      </c>
      <c r="D149" s="48">
        <v>7</v>
      </c>
      <c r="E149" s="48" t="s">
        <v>10</v>
      </c>
      <c r="F149" s="48">
        <v>21</v>
      </c>
      <c r="G149" s="48">
        <v>5</v>
      </c>
      <c r="H149" s="48" t="s">
        <v>21</v>
      </c>
      <c r="I149" s="48">
        <v>2</v>
      </c>
      <c r="J149" s="49">
        <v>11</v>
      </c>
      <c r="K149" s="49">
        <v>73</v>
      </c>
      <c r="L149" s="49">
        <v>779</v>
      </c>
      <c r="M149" s="50">
        <v>0.48</v>
      </c>
      <c r="N149" s="49">
        <v>374</v>
      </c>
      <c r="O149" s="49">
        <v>405</v>
      </c>
      <c r="P149" s="50">
        <v>0.94</v>
      </c>
      <c r="Q149" s="50">
        <v>0.32</v>
      </c>
      <c r="R149" s="50">
        <v>0.69</v>
      </c>
      <c r="S149" s="50">
        <v>0.21</v>
      </c>
      <c r="T149" s="50">
        <v>0.02</v>
      </c>
      <c r="U149" s="49">
        <v>51</v>
      </c>
      <c r="V149" s="50">
        <v>0.12</v>
      </c>
      <c r="W149" s="50">
        <v>0.06</v>
      </c>
      <c r="X149" s="49">
        <f t="shared" si="6"/>
        <v>46.739999999999995</v>
      </c>
      <c r="Y149" s="49">
        <f t="shared" si="7"/>
        <v>163.59</v>
      </c>
      <c r="Z149" s="49">
        <f t="shared" si="8"/>
        <v>568.67000000000007</v>
      </c>
      <c r="AA149" s="23" t="s">
        <v>116</v>
      </c>
      <c r="AB149" s="23" t="s">
        <v>116</v>
      </c>
      <c r="AC149" s="23" t="s">
        <v>116</v>
      </c>
      <c r="AD149" s="23" t="s">
        <v>116</v>
      </c>
      <c r="AE149" s="23" t="s">
        <v>116</v>
      </c>
      <c r="AF149" s="23" t="s">
        <v>116</v>
      </c>
      <c r="AG149" s="23" t="s">
        <v>116</v>
      </c>
      <c r="AH149" s="23" t="s">
        <v>116</v>
      </c>
      <c r="AI149" s="52">
        <v>0</v>
      </c>
      <c r="AJ149" s="51">
        <v>405</v>
      </c>
    </row>
    <row r="150" spans="1:36" x14ac:dyDescent="0.2">
      <c r="A150" s="47">
        <v>44710</v>
      </c>
      <c r="B150" s="48">
        <v>29</v>
      </c>
      <c r="C150" s="48">
        <v>149</v>
      </c>
      <c r="D150" s="48">
        <v>1</v>
      </c>
      <c r="E150" s="48" t="s">
        <v>12</v>
      </c>
      <c r="F150" s="48">
        <v>22</v>
      </c>
      <c r="G150" s="48">
        <v>5</v>
      </c>
      <c r="H150" s="48" t="s">
        <v>21</v>
      </c>
      <c r="I150" s="48">
        <v>2</v>
      </c>
      <c r="J150" s="49">
        <v>5</v>
      </c>
      <c r="K150" s="49">
        <v>21</v>
      </c>
      <c r="L150" s="49">
        <v>99</v>
      </c>
      <c r="M150" s="50">
        <v>0.35</v>
      </c>
      <c r="N150" s="49">
        <v>34</v>
      </c>
      <c r="O150" s="49">
        <v>64</v>
      </c>
      <c r="P150" s="50">
        <v>0.92</v>
      </c>
      <c r="Q150" s="50">
        <v>0.33</v>
      </c>
      <c r="R150" s="50">
        <v>0.5</v>
      </c>
      <c r="S150" s="50">
        <v>0.31</v>
      </c>
      <c r="T150" s="50">
        <v>0.28999999999999998</v>
      </c>
      <c r="U150" s="49">
        <v>15</v>
      </c>
      <c r="V150" s="50">
        <v>0.21</v>
      </c>
      <c r="W150" s="50">
        <v>0.14000000000000001</v>
      </c>
      <c r="X150" s="49">
        <f t="shared" si="6"/>
        <v>13.860000000000001</v>
      </c>
      <c r="Y150" s="49">
        <f t="shared" si="7"/>
        <v>30.69</v>
      </c>
      <c r="Z150" s="49">
        <f t="shared" si="8"/>
        <v>54.449999999999996</v>
      </c>
      <c r="AA150" s="23" t="s">
        <v>116</v>
      </c>
      <c r="AB150" s="23">
        <v>1000</v>
      </c>
      <c r="AC150" s="23" t="s">
        <v>116</v>
      </c>
      <c r="AD150" s="23" t="s">
        <v>116</v>
      </c>
      <c r="AE150" s="23" t="s">
        <v>116</v>
      </c>
      <c r="AF150" s="23" t="s">
        <v>116</v>
      </c>
      <c r="AG150" s="23" t="s">
        <v>116</v>
      </c>
      <c r="AH150" s="23" t="s">
        <v>116</v>
      </c>
      <c r="AI150" s="52">
        <v>1000</v>
      </c>
      <c r="AJ150" s="51">
        <v>-936</v>
      </c>
    </row>
    <row r="151" spans="1:36" x14ac:dyDescent="0.2">
      <c r="A151" s="47">
        <v>44711</v>
      </c>
      <c r="B151" s="48">
        <v>30</v>
      </c>
      <c r="C151" s="48">
        <v>150</v>
      </c>
      <c r="D151" s="48">
        <v>2</v>
      </c>
      <c r="E151" s="48" t="s">
        <v>13</v>
      </c>
      <c r="F151" s="48">
        <v>22</v>
      </c>
      <c r="G151" s="48">
        <v>5</v>
      </c>
      <c r="H151" s="48" t="s">
        <v>21</v>
      </c>
      <c r="I151" s="48">
        <v>2</v>
      </c>
      <c r="J151" s="49">
        <v>0</v>
      </c>
      <c r="K151" s="49">
        <v>69</v>
      </c>
      <c r="L151" s="49">
        <v>15</v>
      </c>
      <c r="M151" s="50">
        <v>0.75</v>
      </c>
      <c r="N151" s="49">
        <v>12</v>
      </c>
      <c r="O151" s="49">
        <v>4</v>
      </c>
      <c r="P151" s="50">
        <v>0.57999999999999996</v>
      </c>
      <c r="Q151" s="50">
        <v>0.01</v>
      </c>
      <c r="R151" s="50">
        <v>1.07</v>
      </c>
      <c r="S151" s="50">
        <v>0</v>
      </c>
      <c r="T151" s="50">
        <v>0.84</v>
      </c>
      <c r="U151" s="49">
        <v>48</v>
      </c>
      <c r="V151" s="50">
        <v>0.25</v>
      </c>
      <c r="W151" s="50">
        <v>1.81</v>
      </c>
      <c r="X151" s="49">
        <f t="shared" si="6"/>
        <v>27.150000000000002</v>
      </c>
      <c r="Y151" s="49">
        <f t="shared" si="7"/>
        <v>0</v>
      </c>
      <c r="Z151" s="49">
        <f t="shared" si="8"/>
        <v>-12.150000000000002</v>
      </c>
      <c r="AA151" s="23" t="s">
        <v>116</v>
      </c>
      <c r="AB151" s="23" t="s">
        <v>116</v>
      </c>
      <c r="AC151" s="23" t="s">
        <v>116</v>
      </c>
      <c r="AD151" s="23" t="s">
        <v>116</v>
      </c>
      <c r="AE151" s="23" t="s">
        <v>116</v>
      </c>
      <c r="AF151" s="23" t="s">
        <v>116</v>
      </c>
      <c r="AG151" s="23" t="s">
        <v>116</v>
      </c>
      <c r="AH151" s="23" t="s">
        <v>116</v>
      </c>
      <c r="AI151" s="52">
        <v>0</v>
      </c>
      <c r="AJ151" s="51">
        <v>4</v>
      </c>
    </row>
    <row r="152" spans="1:36" x14ac:dyDescent="0.2">
      <c r="A152" s="47">
        <v>44712</v>
      </c>
      <c r="B152" s="48">
        <v>31</v>
      </c>
      <c r="C152" s="48">
        <v>151</v>
      </c>
      <c r="D152" s="48">
        <v>3</v>
      </c>
      <c r="E152" s="48" t="s">
        <v>14</v>
      </c>
      <c r="F152" s="48">
        <v>22</v>
      </c>
      <c r="G152" s="48">
        <v>5</v>
      </c>
      <c r="H152" s="48" t="s">
        <v>21</v>
      </c>
      <c r="I152" s="48">
        <v>2</v>
      </c>
      <c r="J152" s="49">
        <v>21</v>
      </c>
      <c r="K152" s="49">
        <v>50</v>
      </c>
      <c r="L152" s="49">
        <v>1041</v>
      </c>
      <c r="M152" s="50">
        <v>0.6</v>
      </c>
      <c r="N152" s="49">
        <v>622</v>
      </c>
      <c r="O152" s="49">
        <v>419</v>
      </c>
      <c r="P152" s="50">
        <v>1.06</v>
      </c>
      <c r="Q152" s="50">
        <v>0.76</v>
      </c>
      <c r="R152" s="50">
        <v>0.85</v>
      </c>
      <c r="S152" s="50">
        <v>0.59</v>
      </c>
      <c r="T152" s="50">
        <v>0.01</v>
      </c>
      <c r="U152" s="49">
        <v>35</v>
      </c>
      <c r="V152" s="50">
        <v>0.38</v>
      </c>
      <c r="W152" s="50">
        <v>0.04</v>
      </c>
      <c r="X152" s="49">
        <f t="shared" si="6"/>
        <v>41.64</v>
      </c>
      <c r="Y152" s="49">
        <f t="shared" si="7"/>
        <v>614.18999999999994</v>
      </c>
      <c r="Z152" s="49">
        <f t="shared" si="8"/>
        <v>385.17000000000007</v>
      </c>
      <c r="AA152" s="23" t="s">
        <v>116</v>
      </c>
      <c r="AB152" s="23" t="s">
        <v>116</v>
      </c>
      <c r="AC152" s="23" t="s">
        <v>116</v>
      </c>
      <c r="AD152" s="23" t="s">
        <v>116</v>
      </c>
      <c r="AE152" s="23" t="s">
        <v>116</v>
      </c>
      <c r="AF152" s="23" t="s">
        <v>116</v>
      </c>
      <c r="AG152" s="23" t="s">
        <v>116</v>
      </c>
      <c r="AH152" s="23" t="s">
        <v>116</v>
      </c>
      <c r="AI152" s="52">
        <v>0</v>
      </c>
      <c r="AJ152" s="51">
        <v>419</v>
      </c>
    </row>
    <row r="153" spans="1:36" x14ac:dyDescent="0.2">
      <c r="A153" s="47">
        <v>44713</v>
      </c>
      <c r="B153" s="48">
        <v>1</v>
      </c>
      <c r="C153" s="48">
        <v>152</v>
      </c>
      <c r="D153" s="48">
        <v>4</v>
      </c>
      <c r="E153" s="48" t="s">
        <v>15</v>
      </c>
      <c r="F153" s="48">
        <v>22</v>
      </c>
      <c r="G153" s="48">
        <v>6</v>
      </c>
      <c r="H153" s="48" t="s">
        <v>22</v>
      </c>
      <c r="I153" s="48">
        <v>2</v>
      </c>
      <c r="J153" s="49">
        <v>22</v>
      </c>
      <c r="K153" s="49">
        <v>55</v>
      </c>
      <c r="L153" s="49">
        <v>1235</v>
      </c>
      <c r="M153" s="50">
        <v>0.57999999999999996</v>
      </c>
      <c r="N153" s="49">
        <v>714</v>
      </c>
      <c r="O153" s="49">
        <v>521</v>
      </c>
      <c r="P153" s="50">
        <v>0.87</v>
      </c>
      <c r="Q153" s="50">
        <v>0.66</v>
      </c>
      <c r="R153" s="50">
        <v>0.83</v>
      </c>
      <c r="S153" s="50">
        <v>0.56999999999999995</v>
      </c>
      <c r="T153" s="50">
        <v>0.01</v>
      </c>
      <c r="U153" s="49">
        <v>39</v>
      </c>
      <c r="V153" s="50">
        <v>0.24</v>
      </c>
      <c r="W153" s="50">
        <v>0.03</v>
      </c>
      <c r="X153" s="49">
        <f t="shared" si="6"/>
        <v>37.049999999999997</v>
      </c>
      <c r="Y153" s="49">
        <f t="shared" si="7"/>
        <v>703.94999999999993</v>
      </c>
      <c r="Z153" s="49">
        <f t="shared" si="8"/>
        <v>494.00000000000011</v>
      </c>
      <c r="AA153" s="23">
        <v>3000</v>
      </c>
      <c r="AB153" s="23" t="s">
        <v>116</v>
      </c>
      <c r="AC153" s="23" t="s">
        <v>116</v>
      </c>
      <c r="AD153" s="23" t="s">
        <v>116</v>
      </c>
      <c r="AE153" s="23" t="s">
        <v>116</v>
      </c>
      <c r="AF153" s="23" t="s">
        <v>116</v>
      </c>
      <c r="AG153" s="23" t="s">
        <v>116</v>
      </c>
      <c r="AH153" s="23" t="s">
        <v>116</v>
      </c>
      <c r="AI153" s="52">
        <v>3000</v>
      </c>
      <c r="AJ153" s="51">
        <v>-2479</v>
      </c>
    </row>
    <row r="154" spans="1:36" x14ac:dyDescent="0.2">
      <c r="A154" s="47">
        <v>44714</v>
      </c>
      <c r="B154" s="48">
        <v>2</v>
      </c>
      <c r="C154" s="48">
        <v>153</v>
      </c>
      <c r="D154" s="48">
        <v>5</v>
      </c>
      <c r="E154" s="48" t="s">
        <v>16</v>
      </c>
      <c r="F154" s="48">
        <v>22</v>
      </c>
      <c r="G154" s="48">
        <v>6</v>
      </c>
      <c r="H154" s="48" t="s">
        <v>22</v>
      </c>
      <c r="I154" s="48">
        <v>2</v>
      </c>
      <c r="J154" s="49">
        <v>22</v>
      </c>
      <c r="K154" s="49">
        <v>67</v>
      </c>
      <c r="L154" s="49">
        <v>1480</v>
      </c>
      <c r="M154" s="50">
        <v>0.85</v>
      </c>
      <c r="N154" s="49">
        <v>1253</v>
      </c>
      <c r="O154" s="49">
        <v>227</v>
      </c>
      <c r="P154" s="50">
        <v>0.95</v>
      </c>
      <c r="Q154" s="50">
        <v>0.72</v>
      </c>
      <c r="R154" s="50">
        <v>1.21</v>
      </c>
      <c r="S154" s="50">
        <v>0.47</v>
      </c>
      <c r="T154" s="50">
        <v>0.01</v>
      </c>
      <c r="U154" s="49">
        <v>47</v>
      </c>
      <c r="V154" s="50">
        <v>0.23</v>
      </c>
      <c r="W154" s="50">
        <v>0.03</v>
      </c>
      <c r="X154" s="49">
        <f t="shared" si="6"/>
        <v>44.4</v>
      </c>
      <c r="Y154" s="49">
        <f t="shared" si="7"/>
        <v>695.59999999999991</v>
      </c>
      <c r="Z154" s="49">
        <f t="shared" si="8"/>
        <v>740.00000000000011</v>
      </c>
      <c r="AA154" s="23" t="s">
        <v>116</v>
      </c>
      <c r="AB154" s="23" t="s">
        <v>116</v>
      </c>
      <c r="AC154" s="23" t="s">
        <v>116</v>
      </c>
      <c r="AD154" s="23" t="s">
        <v>116</v>
      </c>
      <c r="AE154" s="23" t="s">
        <v>116</v>
      </c>
      <c r="AF154" s="23" t="s">
        <v>116</v>
      </c>
      <c r="AG154" s="23" t="s">
        <v>116</v>
      </c>
      <c r="AH154" s="23" t="s">
        <v>116</v>
      </c>
      <c r="AI154" s="52">
        <v>0</v>
      </c>
      <c r="AJ154" s="51">
        <v>227</v>
      </c>
    </row>
    <row r="155" spans="1:36" x14ac:dyDescent="0.2">
      <c r="A155" s="47">
        <v>44715</v>
      </c>
      <c r="B155" s="48">
        <v>3</v>
      </c>
      <c r="C155" s="48">
        <v>154</v>
      </c>
      <c r="D155" s="48">
        <v>6</v>
      </c>
      <c r="E155" s="48" t="s">
        <v>17</v>
      </c>
      <c r="F155" s="48">
        <v>22</v>
      </c>
      <c r="G155" s="48">
        <v>6</v>
      </c>
      <c r="H155" s="48" t="s">
        <v>22</v>
      </c>
      <c r="I155" s="48">
        <v>2</v>
      </c>
      <c r="J155" s="49">
        <v>19</v>
      </c>
      <c r="K155" s="49">
        <v>97</v>
      </c>
      <c r="L155" s="49">
        <v>1837</v>
      </c>
      <c r="M155" s="50">
        <v>0.43</v>
      </c>
      <c r="N155" s="49">
        <v>784</v>
      </c>
      <c r="O155" s="49">
        <v>1053</v>
      </c>
      <c r="P155" s="50">
        <v>0.53</v>
      </c>
      <c r="Q155" s="50">
        <v>0.63</v>
      </c>
      <c r="R155" s="50">
        <v>0.61</v>
      </c>
      <c r="S155" s="50">
        <v>0.28000000000000003</v>
      </c>
      <c r="T155" s="50">
        <v>0.01</v>
      </c>
      <c r="U155" s="49">
        <v>68</v>
      </c>
      <c r="V155" s="50">
        <v>0.2</v>
      </c>
      <c r="W155" s="50">
        <v>0.02</v>
      </c>
      <c r="X155" s="49">
        <f t="shared" si="6"/>
        <v>36.74</v>
      </c>
      <c r="Y155" s="49">
        <f t="shared" si="7"/>
        <v>514.36</v>
      </c>
      <c r="Z155" s="49">
        <f t="shared" si="8"/>
        <v>1285.9000000000001</v>
      </c>
      <c r="AA155" s="23" t="s">
        <v>116</v>
      </c>
      <c r="AB155" s="23" t="s">
        <v>116</v>
      </c>
      <c r="AC155" s="23" t="s">
        <v>116</v>
      </c>
      <c r="AD155" s="23" t="s">
        <v>116</v>
      </c>
      <c r="AE155" s="23" t="s">
        <v>116</v>
      </c>
      <c r="AF155" s="23" t="s">
        <v>116</v>
      </c>
      <c r="AG155" s="23" t="s">
        <v>116</v>
      </c>
      <c r="AH155" s="23" t="s">
        <v>116</v>
      </c>
      <c r="AI155" s="52">
        <v>0</v>
      </c>
      <c r="AJ155" s="51">
        <v>1053</v>
      </c>
    </row>
    <row r="156" spans="1:36" x14ac:dyDescent="0.2">
      <c r="A156" s="47">
        <v>44716</v>
      </c>
      <c r="B156" s="48">
        <v>4</v>
      </c>
      <c r="C156" s="48">
        <v>155</v>
      </c>
      <c r="D156" s="48">
        <v>7</v>
      </c>
      <c r="E156" s="48" t="s">
        <v>10</v>
      </c>
      <c r="F156" s="48">
        <v>22</v>
      </c>
      <c r="G156" s="48">
        <v>6</v>
      </c>
      <c r="H156" s="48" t="s">
        <v>22</v>
      </c>
      <c r="I156" s="48">
        <v>2</v>
      </c>
      <c r="J156" s="49">
        <v>24</v>
      </c>
      <c r="K156" s="49">
        <v>42</v>
      </c>
      <c r="L156" s="49">
        <v>983</v>
      </c>
      <c r="M156" s="50">
        <v>1</v>
      </c>
      <c r="N156" s="49">
        <v>980</v>
      </c>
      <c r="O156" s="49">
        <v>2</v>
      </c>
      <c r="P156" s="50">
        <v>0.96</v>
      </c>
      <c r="Q156" s="50">
        <v>0.66</v>
      </c>
      <c r="R156" s="50">
        <v>1.43</v>
      </c>
      <c r="S156" s="50">
        <v>0.81</v>
      </c>
      <c r="T156" s="50">
        <v>0.01</v>
      </c>
      <c r="U156" s="49">
        <v>29</v>
      </c>
      <c r="V156" s="50">
        <v>0.42</v>
      </c>
      <c r="W156" s="50">
        <v>0.03</v>
      </c>
      <c r="X156" s="49">
        <f t="shared" si="6"/>
        <v>29.49</v>
      </c>
      <c r="Y156" s="49">
        <f t="shared" si="7"/>
        <v>796.23</v>
      </c>
      <c r="Z156" s="49">
        <f t="shared" si="8"/>
        <v>157.27999999999997</v>
      </c>
      <c r="AA156" s="23" t="s">
        <v>116</v>
      </c>
      <c r="AB156" s="23" t="s">
        <v>116</v>
      </c>
      <c r="AC156" s="23" t="s">
        <v>116</v>
      </c>
      <c r="AD156" s="23" t="s">
        <v>116</v>
      </c>
      <c r="AE156" s="23" t="s">
        <v>116</v>
      </c>
      <c r="AF156" s="23" t="s">
        <v>116</v>
      </c>
      <c r="AG156" s="23" t="s">
        <v>116</v>
      </c>
      <c r="AH156" s="23" t="s">
        <v>116</v>
      </c>
      <c r="AI156" s="52">
        <v>0</v>
      </c>
      <c r="AJ156" s="51">
        <v>2</v>
      </c>
    </row>
    <row r="157" spans="1:36" x14ac:dyDescent="0.2">
      <c r="A157" s="47">
        <v>44717</v>
      </c>
      <c r="B157" s="48">
        <v>5</v>
      </c>
      <c r="C157" s="48">
        <v>156</v>
      </c>
      <c r="D157" s="48">
        <v>1</v>
      </c>
      <c r="E157" s="48" t="s">
        <v>12</v>
      </c>
      <c r="F157" s="48">
        <v>23</v>
      </c>
      <c r="G157" s="48">
        <v>6</v>
      </c>
      <c r="H157" s="48" t="s">
        <v>22</v>
      </c>
      <c r="I157" s="48">
        <v>2</v>
      </c>
      <c r="J157" s="49">
        <v>5</v>
      </c>
      <c r="K157" s="49">
        <v>28</v>
      </c>
      <c r="L157" s="49">
        <v>153</v>
      </c>
      <c r="M157" s="50">
        <v>0.28999999999999998</v>
      </c>
      <c r="N157" s="49">
        <v>44</v>
      </c>
      <c r="O157" s="49">
        <v>109</v>
      </c>
      <c r="P157" s="50">
        <v>1.03</v>
      </c>
      <c r="Q157" s="50">
        <v>0.47</v>
      </c>
      <c r="R157" s="50">
        <v>0.41</v>
      </c>
      <c r="S157" s="50">
        <v>0.28000000000000003</v>
      </c>
      <c r="T157" s="50">
        <v>0.19</v>
      </c>
      <c r="U157" s="49">
        <v>20</v>
      </c>
      <c r="V157" s="50">
        <v>0.2</v>
      </c>
      <c r="W157" s="50">
        <v>0.13</v>
      </c>
      <c r="X157" s="49">
        <f t="shared" si="6"/>
        <v>19.89</v>
      </c>
      <c r="Y157" s="49">
        <f t="shared" si="7"/>
        <v>42.84</v>
      </c>
      <c r="Z157" s="49">
        <f t="shared" si="8"/>
        <v>90.27</v>
      </c>
      <c r="AA157" s="23" t="s">
        <v>116</v>
      </c>
      <c r="AB157" s="23">
        <v>1000</v>
      </c>
      <c r="AC157" s="23" t="s">
        <v>116</v>
      </c>
      <c r="AD157" s="23" t="s">
        <v>116</v>
      </c>
      <c r="AE157" s="23" t="s">
        <v>116</v>
      </c>
      <c r="AF157" s="23" t="s">
        <v>116</v>
      </c>
      <c r="AG157" s="23" t="s">
        <v>116</v>
      </c>
      <c r="AH157" s="23">
        <v>1000</v>
      </c>
      <c r="AI157" s="52">
        <v>2000</v>
      </c>
      <c r="AJ157" s="51">
        <v>-1891</v>
      </c>
    </row>
    <row r="158" spans="1:36" x14ac:dyDescent="0.2">
      <c r="A158" s="47">
        <v>44718</v>
      </c>
      <c r="B158" s="48">
        <v>6</v>
      </c>
      <c r="C158" s="48">
        <v>157</v>
      </c>
      <c r="D158" s="48">
        <v>2</v>
      </c>
      <c r="E158" s="48" t="s">
        <v>13</v>
      </c>
      <c r="F158" s="48">
        <v>23</v>
      </c>
      <c r="G158" s="48">
        <v>6</v>
      </c>
      <c r="H158" s="48" t="s">
        <v>22</v>
      </c>
      <c r="I158" s="48">
        <v>2</v>
      </c>
      <c r="J158" s="49">
        <v>18</v>
      </c>
      <c r="K158" s="49">
        <v>18</v>
      </c>
      <c r="L158" s="49">
        <v>309</v>
      </c>
      <c r="M158" s="50">
        <v>0.65</v>
      </c>
      <c r="N158" s="49">
        <v>202</v>
      </c>
      <c r="O158" s="49">
        <v>107</v>
      </c>
      <c r="P158" s="50">
        <v>2.76</v>
      </c>
      <c r="Q158" s="50">
        <v>0.62</v>
      </c>
      <c r="R158" s="50">
        <v>0.94</v>
      </c>
      <c r="S158" s="50">
        <v>1.43</v>
      </c>
      <c r="T158" s="50">
        <v>0.04</v>
      </c>
      <c r="U158" s="49">
        <v>12</v>
      </c>
      <c r="V158" s="50">
        <v>0.6</v>
      </c>
      <c r="W158" s="50">
        <v>0.11</v>
      </c>
      <c r="X158" s="49">
        <f t="shared" si="6"/>
        <v>33.99</v>
      </c>
      <c r="Y158" s="49">
        <f t="shared" si="7"/>
        <v>441.87</v>
      </c>
      <c r="Z158" s="49">
        <f t="shared" si="8"/>
        <v>-166.86</v>
      </c>
      <c r="AA158" s="23" t="s">
        <v>116</v>
      </c>
      <c r="AB158" s="23" t="s">
        <v>116</v>
      </c>
      <c r="AC158" s="23" t="s">
        <v>116</v>
      </c>
      <c r="AD158" s="23" t="s">
        <v>116</v>
      </c>
      <c r="AE158" s="23" t="s">
        <v>116</v>
      </c>
      <c r="AF158" s="23" t="s">
        <v>116</v>
      </c>
      <c r="AG158" s="23" t="s">
        <v>116</v>
      </c>
      <c r="AH158" s="23" t="s">
        <v>116</v>
      </c>
      <c r="AI158" s="52">
        <v>0</v>
      </c>
      <c r="AJ158" s="51">
        <v>107</v>
      </c>
    </row>
    <row r="159" spans="1:36" x14ac:dyDescent="0.2">
      <c r="A159" s="47">
        <v>44719</v>
      </c>
      <c r="B159" s="48">
        <v>7</v>
      </c>
      <c r="C159" s="48">
        <v>158</v>
      </c>
      <c r="D159" s="48">
        <v>3</v>
      </c>
      <c r="E159" s="48" t="s">
        <v>14</v>
      </c>
      <c r="F159" s="48">
        <v>23</v>
      </c>
      <c r="G159" s="48">
        <v>6</v>
      </c>
      <c r="H159" s="48" t="s">
        <v>22</v>
      </c>
      <c r="I159" s="48">
        <v>2</v>
      </c>
      <c r="J159" s="49">
        <v>11</v>
      </c>
      <c r="K159" s="49">
        <v>86</v>
      </c>
      <c r="L159" s="49">
        <v>983</v>
      </c>
      <c r="M159" s="50">
        <v>0.51</v>
      </c>
      <c r="N159" s="49">
        <v>505</v>
      </c>
      <c r="O159" s="49">
        <v>478</v>
      </c>
      <c r="P159" s="50">
        <v>0.51</v>
      </c>
      <c r="Q159" s="50">
        <v>0.37</v>
      </c>
      <c r="R159" s="50">
        <v>0.73</v>
      </c>
      <c r="S159" s="50">
        <v>0.19</v>
      </c>
      <c r="T159" s="50">
        <v>0.01</v>
      </c>
      <c r="U159" s="49">
        <v>60</v>
      </c>
      <c r="V159" s="50">
        <v>0.21</v>
      </c>
      <c r="W159" s="50">
        <v>0.03</v>
      </c>
      <c r="X159" s="49">
        <f t="shared" si="6"/>
        <v>29.49</v>
      </c>
      <c r="Y159" s="49">
        <f t="shared" si="7"/>
        <v>186.77</v>
      </c>
      <c r="Z159" s="49">
        <f t="shared" si="8"/>
        <v>766.74</v>
      </c>
      <c r="AA159" s="23" t="s">
        <v>116</v>
      </c>
      <c r="AB159" s="23" t="s">
        <v>116</v>
      </c>
      <c r="AC159" s="23" t="s">
        <v>116</v>
      </c>
      <c r="AD159" s="23" t="s">
        <v>116</v>
      </c>
      <c r="AE159" s="23" t="s">
        <v>116</v>
      </c>
      <c r="AF159" s="23" t="s">
        <v>116</v>
      </c>
      <c r="AG159" s="23" t="s">
        <v>116</v>
      </c>
      <c r="AH159" s="23" t="s">
        <v>116</v>
      </c>
      <c r="AI159" s="52">
        <v>0</v>
      </c>
      <c r="AJ159" s="51">
        <v>478</v>
      </c>
    </row>
    <row r="160" spans="1:36" x14ac:dyDescent="0.2">
      <c r="A160" s="47">
        <v>44720</v>
      </c>
      <c r="B160" s="48">
        <v>8</v>
      </c>
      <c r="C160" s="48">
        <v>159</v>
      </c>
      <c r="D160" s="48">
        <v>4</v>
      </c>
      <c r="E160" s="48" t="s">
        <v>15</v>
      </c>
      <c r="F160" s="48">
        <v>23</v>
      </c>
      <c r="G160" s="48">
        <v>6</v>
      </c>
      <c r="H160" s="48" t="s">
        <v>22</v>
      </c>
      <c r="I160" s="48">
        <v>2</v>
      </c>
      <c r="J160" s="49">
        <v>1</v>
      </c>
      <c r="K160" s="49">
        <v>72</v>
      </c>
      <c r="L160" s="49">
        <v>74</v>
      </c>
      <c r="M160" s="50">
        <v>0.72</v>
      </c>
      <c r="N160" s="49">
        <v>54</v>
      </c>
      <c r="O160" s="49">
        <v>20</v>
      </c>
      <c r="P160" s="50">
        <v>0.7</v>
      </c>
      <c r="Q160" s="50">
        <v>0.03</v>
      </c>
      <c r="R160" s="50">
        <v>1.03</v>
      </c>
      <c r="S160" s="50">
        <v>0.02</v>
      </c>
      <c r="T160" s="50">
        <v>0.17</v>
      </c>
      <c r="U160" s="49">
        <v>51</v>
      </c>
      <c r="V160" s="50">
        <v>0.22</v>
      </c>
      <c r="W160" s="50">
        <v>0.48</v>
      </c>
      <c r="X160" s="49">
        <f t="shared" si="6"/>
        <v>35.519999999999996</v>
      </c>
      <c r="Y160" s="49">
        <f t="shared" si="7"/>
        <v>1.48</v>
      </c>
      <c r="Z160" s="49">
        <f t="shared" si="8"/>
        <v>37.000000000000007</v>
      </c>
      <c r="AA160" s="23" t="s">
        <v>116</v>
      </c>
      <c r="AB160" s="23" t="s">
        <v>116</v>
      </c>
      <c r="AC160" s="23" t="s">
        <v>116</v>
      </c>
      <c r="AD160" s="23" t="s">
        <v>116</v>
      </c>
      <c r="AE160" s="23" t="s">
        <v>116</v>
      </c>
      <c r="AF160" s="23" t="s">
        <v>116</v>
      </c>
      <c r="AG160" s="23" t="s">
        <v>116</v>
      </c>
      <c r="AH160" s="23" t="s">
        <v>116</v>
      </c>
      <c r="AI160" s="52">
        <v>0</v>
      </c>
      <c r="AJ160" s="51">
        <v>20</v>
      </c>
    </row>
    <row r="161" spans="1:36" x14ac:dyDescent="0.2">
      <c r="A161" s="47">
        <v>44721</v>
      </c>
      <c r="B161" s="48">
        <v>9</v>
      </c>
      <c r="C161" s="48">
        <v>160</v>
      </c>
      <c r="D161" s="48">
        <v>5</v>
      </c>
      <c r="E161" s="48" t="s">
        <v>16</v>
      </c>
      <c r="F161" s="48">
        <v>23</v>
      </c>
      <c r="G161" s="48">
        <v>6</v>
      </c>
      <c r="H161" s="48" t="s">
        <v>22</v>
      </c>
      <c r="I161" s="48">
        <v>2</v>
      </c>
      <c r="J161" s="49">
        <v>20</v>
      </c>
      <c r="K161" s="49">
        <v>47</v>
      </c>
      <c r="L161" s="49">
        <v>928</v>
      </c>
      <c r="M161" s="50">
        <v>0.54</v>
      </c>
      <c r="N161" s="49">
        <v>505</v>
      </c>
      <c r="O161" s="49">
        <v>424</v>
      </c>
      <c r="P161" s="50">
        <v>0.67</v>
      </c>
      <c r="Q161" s="50">
        <v>0.73</v>
      </c>
      <c r="R161" s="50">
        <v>0.78</v>
      </c>
      <c r="S161" s="50">
        <v>0.59</v>
      </c>
      <c r="T161" s="50">
        <v>0.01</v>
      </c>
      <c r="U161" s="49">
        <v>33</v>
      </c>
      <c r="V161" s="50">
        <v>0.25</v>
      </c>
      <c r="W161" s="50">
        <v>0.02</v>
      </c>
      <c r="X161" s="49">
        <f t="shared" si="6"/>
        <v>18.559999999999999</v>
      </c>
      <c r="Y161" s="49">
        <f t="shared" si="7"/>
        <v>547.52</v>
      </c>
      <c r="Z161" s="49">
        <f t="shared" si="8"/>
        <v>361.92000000000007</v>
      </c>
      <c r="AA161" s="23" t="s">
        <v>116</v>
      </c>
      <c r="AB161" s="23" t="s">
        <v>116</v>
      </c>
      <c r="AC161" s="23" t="s">
        <v>116</v>
      </c>
      <c r="AD161" s="23" t="s">
        <v>116</v>
      </c>
      <c r="AE161" s="23" t="s">
        <v>116</v>
      </c>
      <c r="AF161" s="23" t="s">
        <v>116</v>
      </c>
      <c r="AG161" s="23" t="s">
        <v>116</v>
      </c>
      <c r="AH161" s="23" t="s">
        <v>116</v>
      </c>
      <c r="AI161" s="52">
        <v>0</v>
      </c>
      <c r="AJ161" s="51">
        <v>424</v>
      </c>
    </row>
    <row r="162" spans="1:36" x14ac:dyDescent="0.2">
      <c r="A162" s="47">
        <v>44722</v>
      </c>
      <c r="B162" s="48">
        <v>10</v>
      </c>
      <c r="C162" s="48">
        <v>161</v>
      </c>
      <c r="D162" s="48">
        <v>6</v>
      </c>
      <c r="E162" s="48" t="s">
        <v>17</v>
      </c>
      <c r="F162" s="48">
        <v>23</v>
      </c>
      <c r="G162" s="48">
        <v>6</v>
      </c>
      <c r="H162" s="48" t="s">
        <v>22</v>
      </c>
      <c r="I162" s="48">
        <v>2</v>
      </c>
      <c r="J162" s="49">
        <v>17</v>
      </c>
      <c r="K162" s="49">
        <v>32</v>
      </c>
      <c r="L162" s="49">
        <v>559</v>
      </c>
      <c r="M162" s="50">
        <v>0.59</v>
      </c>
      <c r="N162" s="49">
        <v>332</v>
      </c>
      <c r="O162" s="49">
        <v>227</v>
      </c>
      <c r="P162" s="50">
        <v>1.52</v>
      </c>
      <c r="Q162" s="50">
        <v>0.56999999999999995</v>
      </c>
      <c r="R162" s="50">
        <v>0.85</v>
      </c>
      <c r="S162" s="50">
        <v>0.78</v>
      </c>
      <c r="T162" s="50">
        <v>0.02</v>
      </c>
      <c r="U162" s="49">
        <v>22</v>
      </c>
      <c r="V162" s="50">
        <v>0.26</v>
      </c>
      <c r="W162" s="50">
        <v>0.06</v>
      </c>
      <c r="X162" s="49">
        <f t="shared" si="6"/>
        <v>33.54</v>
      </c>
      <c r="Y162" s="49">
        <f t="shared" si="7"/>
        <v>436.02000000000004</v>
      </c>
      <c r="Z162" s="49">
        <f t="shared" si="8"/>
        <v>89.439999999999941</v>
      </c>
      <c r="AA162" s="23" t="s">
        <v>116</v>
      </c>
      <c r="AB162" s="23" t="s">
        <v>116</v>
      </c>
      <c r="AC162" s="23" t="s">
        <v>116</v>
      </c>
      <c r="AD162" s="23">
        <v>300</v>
      </c>
      <c r="AE162" s="23" t="s">
        <v>116</v>
      </c>
      <c r="AF162" s="23" t="s">
        <v>116</v>
      </c>
      <c r="AG162" s="23" t="s">
        <v>116</v>
      </c>
      <c r="AH162" s="23" t="s">
        <v>116</v>
      </c>
      <c r="AI162" s="52">
        <v>300</v>
      </c>
      <c r="AJ162" s="51">
        <v>-73</v>
      </c>
    </row>
    <row r="163" spans="1:36" x14ac:dyDescent="0.2">
      <c r="A163" s="47">
        <v>44723</v>
      </c>
      <c r="B163" s="48">
        <v>11</v>
      </c>
      <c r="C163" s="48">
        <v>162</v>
      </c>
      <c r="D163" s="48">
        <v>7</v>
      </c>
      <c r="E163" s="48" t="s">
        <v>10</v>
      </c>
      <c r="F163" s="48">
        <v>23</v>
      </c>
      <c r="G163" s="48">
        <v>6</v>
      </c>
      <c r="H163" s="48" t="s">
        <v>22</v>
      </c>
      <c r="I163" s="48">
        <v>2</v>
      </c>
      <c r="J163" s="49">
        <v>8</v>
      </c>
      <c r="K163" s="49">
        <v>74</v>
      </c>
      <c r="L163" s="49">
        <v>615</v>
      </c>
      <c r="M163" s="50">
        <v>0.54</v>
      </c>
      <c r="N163" s="49">
        <v>332</v>
      </c>
      <c r="O163" s="49">
        <v>283</v>
      </c>
      <c r="P163" s="50">
        <v>0.68</v>
      </c>
      <c r="Q163" s="50">
        <v>0.26</v>
      </c>
      <c r="R163" s="50">
        <v>0.77</v>
      </c>
      <c r="S163" s="50">
        <v>0.16</v>
      </c>
      <c r="T163" s="50">
        <v>0.02</v>
      </c>
      <c r="U163" s="49">
        <v>52</v>
      </c>
      <c r="V163" s="50">
        <v>0.1</v>
      </c>
      <c r="W163" s="50">
        <v>0.06</v>
      </c>
      <c r="X163" s="49">
        <f t="shared" si="6"/>
        <v>36.9</v>
      </c>
      <c r="Y163" s="49">
        <f t="shared" si="7"/>
        <v>98.4</v>
      </c>
      <c r="Z163" s="49">
        <f t="shared" si="8"/>
        <v>479.7</v>
      </c>
      <c r="AA163" s="23" t="s">
        <v>116</v>
      </c>
      <c r="AB163" s="23" t="s">
        <v>116</v>
      </c>
      <c r="AC163" s="23" t="s">
        <v>116</v>
      </c>
      <c r="AD163" s="23" t="s">
        <v>116</v>
      </c>
      <c r="AE163" s="23" t="s">
        <v>116</v>
      </c>
      <c r="AF163" s="23" t="s">
        <v>116</v>
      </c>
      <c r="AG163" s="23" t="s">
        <v>116</v>
      </c>
      <c r="AH163" s="23" t="s">
        <v>116</v>
      </c>
      <c r="AI163" s="52">
        <v>0</v>
      </c>
      <c r="AJ163" s="51">
        <v>283</v>
      </c>
    </row>
    <row r="164" spans="1:36" x14ac:dyDescent="0.2">
      <c r="A164" s="47">
        <v>44724</v>
      </c>
      <c r="B164" s="48">
        <v>12</v>
      </c>
      <c r="C164" s="48">
        <v>163</v>
      </c>
      <c r="D164" s="48">
        <v>1</v>
      </c>
      <c r="E164" s="48" t="s">
        <v>12</v>
      </c>
      <c r="F164" s="48">
        <v>24</v>
      </c>
      <c r="G164" s="48">
        <v>6</v>
      </c>
      <c r="H164" s="48" t="s">
        <v>22</v>
      </c>
      <c r="I164" s="48">
        <v>2</v>
      </c>
      <c r="J164" s="49">
        <v>6</v>
      </c>
      <c r="K164" s="49">
        <v>3</v>
      </c>
      <c r="L164" s="49">
        <v>15</v>
      </c>
      <c r="M164" s="50">
        <v>0.39</v>
      </c>
      <c r="N164" s="49">
        <v>6</v>
      </c>
      <c r="O164" s="49">
        <v>9</v>
      </c>
      <c r="P164" s="50">
        <v>10.65</v>
      </c>
      <c r="Q164" s="50">
        <v>0.42</v>
      </c>
      <c r="R164" s="50">
        <v>0.56000000000000005</v>
      </c>
      <c r="S164" s="50">
        <v>2.94</v>
      </c>
      <c r="T164" s="50">
        <v>1.86</v>
      </c>
      <c r="U164" s="49">
        <v>2</v>
      </c>
      <c r="V164" s="50">
        <v>2.12</v>
      </c>
      <c r="W164" s="50">
        <v>1.33</v>
      </c>
      <c r="X164" s="49">
        <f t="shared" si="6"/>
        <v>19.950000000000003</v>
      </c>
      <c r="Y164" s="49">
        <f t="shared" si="7"/>
        <v>44.1</v>
      </c>
      <c r="Z164" s="49">
        <f t="shared" si="8"/>
        <v>-49.050000000000011</v>
      </c>
      <c r="AA164" s="23" t="s">
        <v>116</v>
      </c>
      <c r="AB164" s="23">
        <v>1000</v>
      </c>
      <c r="AC164" s="23" t="s">
        <v>116</v>
      </c>
      <c r="AD164" s="23" t="s">
        <v>116</v>
      </c>
      <c r="AE164" s="23" t="s">
        <v>116</v>
      </c>
      <c r="AF164" s="23">
        <v>480</v>
      </c>
      <c r="AG164" s="23" t="s">
        <v>116</v>
      </c>
      <c r="AH164" s="23" t="s">
        <v>116</v>
      </c>
      <c r="AI164" s="52">
        <v>1480</v>
      </c>
      <c r="AJ164" s="51">
        <v>-1471</v>
      </c>
    </row>
    <row r="165" spans="1:36" x14ac:dyDescent="0.2">
      <c r="A165" s="47">
        <v>44725</v>
      </c>
      <c r="B165" s="48">
        <v>13</v>
      </c>
      <c r="C165" s="48">
        <v>164</v>
      </c>
      <c r="D165" s="48">
        <v>2</v>
      </c>
      <c r="E165" s="48" t="s">
        <v>13</v>
      </c>
      <c r="F165" s="48">
        <v>24</v>
      </c>
      <c r="G165" s="48">
        <v>6</v>
      </c>
      <c r="H165" s="48" t="s">
        <v>22</v>
      </c>
      <c r="I165" s="48">
        <v>2</v>
      </c>
      <c r="J165" s="49">
        <v>16</v>
      </c>
      <c r="K165" s="49">
        <v>110</v>
      </c>
      <c r="L165" s="49">
        <v>1808</v>
      </c>
      <c r="M165" s="50">
        <v>0.59</v>
      </c>
      <c r="N165" s="49">
        <v>1069</v>
      </c>
      <c r="O165" s="49">
        <v>740</v>
      </c>
      <c r="P165" s="50">
        <v>0.77</v>
      </c>
      <c r="Q165" s="50">
        <v>0.42</v>
      </c>
      <c r="R165" s="50">
        <v>0.84</v>
      </c>
      <c r="S165" s="50">
        <v>0.21</v>
      </c>
      <c r="T165" s="50">
        <v>0.01</v>
      </c>
      <c r="U165" s="49">
        <v>77</v>
      </c>
      <c r="V165" s="50">
        <v>0.11</v>
      </c>
      <c r="W165" s="50">
        <v>0.03</v>
      </c>
      <c r="X165" s="49">
        <f t="shared" si="6"/>
        <v>54.239999999999995</v>
      </c>
      <c r="Y165" s="49">
        <f t="shared" si="7"/>
        <v>379.68</v>
      </c>
      <c r="Z165" s="49">
        <f t="shared" si="8"/>
        <v>1374.08</v>
      </c>
      <c r="AA165" s="23" t="s">
        <v>116</v>
      </c>
      <c r="AB165" s="23" t="s">
        <v>116</v>
      </c>
      <c r="AC165" s="23" t="s">
        <v>116</v>
      </c>
      <c r="AD165" s="23" t="s">
        <v>116</v>
      </c>
      <c r="AE165" s="23" t="s">
        <v>116</v>
      </c>
      <c r="AF165" s="23" t="s">
        <v>116</v>
      </c>
      <c r="AG165" s="23" t="s">
        <v>116</v>
      </c>
      <c r="AH165" s="23" t="s">
        <v>116</v>
      </c>
      <c r="AI165" s="52">
        <v>0</v>
      </c>
      <c r="AJ165" s="51">
        <v>740</v>
      </c>
    </row>
    <row r="166" spans="1:36" x14ac:dyDescent="0.2">
      <c r="A166" s="47">
        <v>44726</v>
      </c>
      <c r="B166" s="48">
        <v>14</v>
      </c>
      <c r="C166" s="48">
        <v>165</v>
      </c>
      <c r="D166" s="48">
        <v>3</v>
      </c>
      <c r="E166" s="48" t="s">
        <v>14</v>
      </c>
      <c r="F166" s="48">
        <v>24</v>
      </c>
      <c r="G166" s="48">
        <v>6</v>
      </c>
      <c r="H166" s="48" t="s">
        <v>22</v>
      </c>
      <c r="I166" s="48">
        <v>2</v>
      </c>
      <c r="J166" s="49">
        <v>13</v>
      </c>
      <c r="K166" s="49">
        <v>69</v>
      </c>
      <c r="L166" s="49">
        <v>912</v>
      </c>
      <c r="M166" s="50">
        <v>0.72</v>
      </c>
      <c r="N166" s="49">
        <v>659</v>
      </c>
      <c r="O166" s="49">
        <v>253</v>
      </c>
      <c r="P166" s="50">
        <v>0.66</v>
      </c>
      <c r="Q166" s="50">
        <v>0.46</v>
      </c>
      <c r="R166" s="50">
        <v>1.03</v>
      </c>
      <c r="S166" s="50">
        <v>0.27</v>
      </c>
      <c r="T166" s="50">
        <v>0.01</v>
      </c>
      <c r="U166" s="49">
        <v>48</v>
      </c>
      <c r="V166" s="50">
        <v>0.25</v>
      </c>
      <c r="W166" s="50">
        <v>0.04</v>
      </c>
      <c r="X166" s="49">
        <f t="shared" si="6"/>
        <v>36.480000000000004</v>
      </c>
      <c r="Y166" s="49">
        <f t="shared" si="7"/>
        <v>246.24</v>
      </c>
      <c r="Z166" s="49">
        <f t="shared" si="8"/>
        <v>629.28</v>
      </c>
      <c r="AA166" s="23" t="s">
        <v>116</v>
      </c>
      <c r="AB166" s="23" t="s">
        <v>116</v>
      </c>
      <c r="AC166" s="23" t="s">
        <v>116</v>
      </c>
      <c r="AD166" s="23" t="s">
        <v>116</v>
      </c>
      <c r="AE166" s="23" t="s">
        <v>116</v>
      </c>
      <c r="AF166" s="23" t="s">
        <v>116</v>
      </c>
      <c r="AG166" s="23" t="s">
        <v>116</v>
      </c>
      <c r="AH166" s="23" t="s">
        <v>116</v>
      </c>
      <c r="AI166" s="52">
        <v>0</v>
      </c>
      <c r="AJ166" s="51">
        <v>253</v>
      </c>
    </row>
    <row r="167" spans="1:36" x14ac:dyDescent="0.2">
      <c r="A167" s="47">
        <v>44727</v>
      </c>
      <c r="B167" s="48">
        <v>15</v>
      </c>
      <c r="C167" s="48">
        <v>166</v>
      </c>
      <c r="D167" s="48">
        <v>4</v>
      </c>
      <c r="E167" s="48" t="s">
        <v>15</v>
      </c>
      <c r="F167" s="48">
        <v>24</v>
      </c>
      <c r="G167" s="48">
        <v>6</v>
      </c>
      <c r="H167" s="48" t="s">
        <v>22</v>
      </c>
      <c r="I167" s="48">
        <v>2</v>
      </c>
      <c r="J167" s="49">
        <v>19</v>
      </c>
      <c r="K167" s="49">
        <v>6</v>
      </c>
      <c r="L167" s="49">
        <v>115</v>
      </c>
      <c r="M167" s="50">
        <v>0.6</v>
      </c>
      <c r="N167" s="49">
        <v>69</v>
      </c>
      <c r="O167" s="49">
        <v>46</v>
      </c>
      <c r="P167" s="50">
        <v>8.2899999999999991</v>
      </c>
      <c r="Q167" s="50">
        <v>0.45</v>
      </c>
      <c r="R167" s="50">
        <v>0.86</v>
      </c>
      <c r="S167" s="50">
        <v>4.51</v>
      </c>
      <c r="T167" s="50">
        <v>0.11</v>
      </c>
      <c r="U167" s="49">
        <v>4</v>
      </c>
      <c r="V167" s="50">
        <v>2.21</v>
      </c>
      <c r="W167" s="50">
        <v>0.31</v>
      </c>
      <c r="X167" s="49">
        <f t="shared" si="6"/>
        <v>35.65</v>
      </c>
      <c r="Y167" s="49">
        <f t="shared" si="7"/>
        <v>518.65</v>
      </c>
      <c r="Z167" s="49">
        <f t="shared" si="8"/>
        <v>-439.29999999999995</v>
      </c>
      <c r="AA167" s="23" t="s">
        <v>116</v>
      </c>
      <c r="AB167" s="23" t="s">
        <v>116</v>
      </c>
      <c r="AC167" s="23">
        <v>300</v>
      </c>
      <c r="AD167" s="23" t="s">
        <v>116</v>
      </c>
      <c r="AE167" s="23" t="s">
        <v>116</v>
      </c>
      <c r="AF167" s="23" t="s">
        <v>116</v>
      </c>
      <c r="AG167" s="23" t="s">
        <v>116</v>
      </c>
      <c r="AH167" s="23" t="s">
        <v>116</v>
      </c>
      <c r="AI167" s="52">
        <v>300</v>
      </c>
      <c r="AJ167" s="51">
        <v>-254</v>
      </c>
    </row>
    <row r="168" spans="1:36" x14ac:dyDescent="0.2">
      <c r="A168" s="47">
        <v>44728</v>
      </c>
      <c r="B168" s="48">
        <v>16</v>
      </c>
      <c r="C168" s="48">
        <v>167</v>
      </c>
      <c r="D168" s="48">
        <v>5</v>
      </c>
      <c r="E168" s="48" t="s">
        <v>16</v>
      </c>
      <c r="F168" s="48">
        <v>24</v>
      </c>
      <c r="G168" s="48">
        <v>6</v>
      </c>
      <c r="H168" s="48" t="s">
        <v>22</v>
      </c>
      <c r="I168" s="48">
        <v>2</v>
      </c>
      <c r="J168" s="49">
        <v>2</v>
      </c>
      <c r="K168" s="49">
        <v>46</v>
      </c>
      <c r="L168" s="49">
        <v>77</v>
      </c>
      <c r="M168" s="50">
        <v>0.52</v>
      </c>
      <c r="N168" s="49">
        <v>40</v>
      </c>
      <c r="O168" s="49">
        <v>37</v>
      </c>
      <c r="P168" s="50">
        <v>1.7</v>
      </c>
      <c r="Q168" s="50">
        <v>0.05</v>
      </c>
      <c r="R168" s="50">
        <v>0.75</v>
      </c>
      <c r="S168" s="50">
        <v>0.05</v>
      </c>
      <c r="T168" s="50">
        <v>0.17</v>
      </c>
      <c r="U168" s="49">
        <v>32</v>
      </c>
      <c r="V168" s="50">
        <v>0.23</v>
      </c>
      <c r="W168" s="50">
        <v>0.7</v>
      </c>
      <c r="X168" s="49">
        <f t="shared" si="6"/>
        <v>53.9</v>
      </c>
      <c r="Y168" s="49">
        <f t="shared" si="7"/>
        <v>3.85</v>
      </c>
      <c r="Z168" s="49">
        <f t="shared" si="8"/>
        <v>19.25</v>
      </c>
      <c r="AA168" s="23" t="s">
        <v>116</v>
      </c>
      <c r="AB168" s="23" t="s">
        <v>116</v>
      </c>
      <c r="AC168" s="23" t="s">
        <v>116</v>
      </c>
      <c r="AD168" s="23" t="s">
        <v>116</v>
      </c>
      <c r="AE168" s="23" t="s">
        <v>116</v>
      </c>
      <c r="AF168" s="23" t="s">
        <v>116</v>
      </c>
      <c r="AG168" s="23" t="s">
        <v>116</v>
      </c>
      <c r="AH168" s="23" t="s">
        <v>116</v>
      </c>
      <c r="AI168" s="52">
        <v>0</v>
      </c>
      <c r="AJ168" s="51">
        <v>37</v>
      </c>
    </row>
    <row r="169" spans="1:36" x14ac:dyDescent="0.2">
      <c r="A169" s="47">
        <v>44729</v>
      </c>
      <c r="B169" s="48">
        <v>17</v>
      </c>
      <c r="C169" s="48">
        <v>168</v>
      </c>
      <c r="D169" s="48">
        <v>6</v>
      </c>
      <c r="E169" s="48" t="s">
        <v>17</v>
      </c>
      <c r="F169" s="48">
        <v>24</v>
      </c>
      <c r="G169" s="48">
        <v>6</v>
      </c>
      <c r="H169" s="48" t="s">
        <v>22</v>
      </c>
      <c r="I169" s="48">
        <v>2</v>
      </c>
      <c r="J169" s="49">
        <v>18</v>
      </c>
      <c r="K169" s="49">
        <v>65</v>
      </c>
      <c r="L169" s="49">
        <v>1199</v>
      </c>
      <c r="M169" s="50">
        <v>1</v>
      </c>
      <c r="N169" s="49">
        <v>1197</v>
      </c>
      <c r="O169" s="49">
        <v>3</v>
      </c>
      <c r="P169" s="50">
        <v>0.88</v>
      </c>
      <c r="Q169" s="50">
        <v>0.73</v>
      </c>
      <c r="R169" s="50">
        <v>1.43</v>
      </c>
      <c r="S169" s="50">
        <v>0.41</v>
      </c>
      <c r="T169" s="50">
        <v>0.01</v>
      </c>
      <c r="U169" s="49">
        <v>45</v>
      </c>
      <c r="V169" s="50">
        <v>0.09</v>
      </c>
      <c r="W169" s="50">
        <v>0.03</v>
      </c>
      <c r="X169" s="49">
        <f t="shared" si="6"/>
        <v>35.97</v>
      </c>
      <c r="Y169" s="49">
        <f t="shared" si="7"/>
        <v>491.59</v>
      </c>
      <c r="Z169" s="49">
        <f t="shared" si="8"/>
        <v>671.44</v>
      </c>
      <c r="AA169" s="23" t="s">
        <v>116</v>
      </c>
      <c r="AB169" s="23" t="s">
        <v>116</v>
      </c>
      <c r="AC169" s="23" t="s">
        <v>116</v>
      </c>
      <c r="AD169" s="23" t="s">
        <v>116</v>
      </c>
      <c r="AE169" s="23" t="s">
        <v>116</v>
      </c>
      <c r="AF169" s="23" t="s">
        <v>116</v>
      </c>
      <c r="AG169" s="23" t="s">
        <v>116</v>
      </c>
      <c r="AH169" s="23" t="s">
        <v>116</v>
      </c>
      <c r="AI169" s="52">
        <v>0</v>
      </c>
      <c r="AJ169" s="51">
        <v>3</v>
      </c>
    </row>
    <row r="170" spans="1:36" x14ac:dyDescent="0.2">
      <c r="A170" s="47">
        <v>44730</v>
      </c>
      <c r="B170" s="48">
        <v>18</v>
      </c>
      <c r="C170" s="48">
        <v>169</v>
      </c>
      <c r="D170" s="48">
        <v>7</v>
      </c>
      <c r="E170" s="48" t="s">
        <v>10</v>
      </c>
      <c r="F170" s="48">
        <v>24</v>
      </c>
      <c r="G170" s="48">
        <v>6</v>
      </c>
      <c r="H170" s="48" t="s">
        <v>22</v>
      </c>
      <c r="I170" s="48">
        <v>2</v>
      </c>
      <c r="J170" s="49">
        <v>11</v>
      </c>
      <c r="K170" s="49">
        <v>53</v>
      </c>
      <c r="L170" s="49">
        <v>596</v>
      </c>
      <c r="M170" s="50">
        <v>0.76</v>
      </c>
      <c r="N170" s="49">
        <v>452</v>
      </c>
      <c r="O170" s="49">
        <v>144</v>
      </c>
      <c r="P170" s="50">
        <v>0.68</v>
      </c>
      <c r="Q170" s="50">
        <v>0.41</v>
      </c>
      <c r="R170" s="50">
        <v>1.08</v>
      </c>
      <c r="S170" s="50">
        <v>0.3</v>
      </c>
      <c r="T170" s="50">
        <v>0.02</v>
      </c>
      <c r="U170" s="49">
        <v>37</v>
      </c>
      <c r="V170" s="50">
        <v>0.35</v>
      </c>
      <c r="W170" s="50">
        <v>0.04</v>
      </c>
      <c r="X170" s="49">
        <f t="shared" si="6"/>
        <v>23.84</v>
      </c>
      <c r="Y170" s="49">
        <f t="shared" si="7"/>
        <v>178.79999999999998</v>
      </c>
      <c r="Z170" s="49">
        <f t="shared" si="8"/>
        <v>393.36</v>
      </c>
      <c r="AA170" s="23" t="s">
        <v>116</v>
      </c>
      <c r="AB170" s="23" t="s">
        <v>116</v>
      </c>
      <c r="AC170" s="23" t="s">
        <v>116</v>
      </c>
      <c r="AD170" s="23" t="s">
        <v>116</v>
      </c>
      <c r="AE170" s="23" t="s">
        <v>116</v>
      </c>
      <c r="AF170" s="23" t="s">
        <v>116</v>
      </c>
      <c r="AG170" s="23" t="s">
        <v>116</v>
      </c>
      <c r="AH170" s="23" t="s">
        <v>116</v>
      </c>
      <c r="AI170" s="52">
        <v>0</v>
      </c>
      <c r="AJ170" s="51">
        <v>144</v>
      </c>
    </row>
    <row r="171" spans="1:36" x14ac:dyDescent="0.2">
      <c r="A171" s="47">
        <v>44731</v>
      </c>
      <c r="B171" s="48">
        <v>19</v>
      </c>
      <c r="C171" s="48">
        <v>170</v>
      </c>
      <c r="D171" s="48">
        <v>1</v>
      </c>
      <c r="E171" s="48" t="s">
        <v>12</v>
      </c>
      <c r="F171" s="48">
        <v>25</v>
      </c>
      <c r="G171" s="48">
        <v>6</v>
      </c>
      <c r="H171" s="48" t="s">
        <v>22</v>
      </c>
      <c r="I171" s="48">
        <v>2</v>
      </c>
      <c r="J171" s="49">
        <v>1</v>
      </c>
      <c r="K171" s="49">
        <v>32</v>
      </c>
      <c r="L171" s="49">
        <v>42</v>
      </c>
      <c r="M171" s="50">
        <v>0.32</v>
      </c>
      <c r="N171" s="49">
        <v>13</v>
      </c>
      <c r="O171" s="49">
        <v>28</v>
      </c>
      <c r="P171" s="50">
        <v>0.91</v>
      </c>
      <c r="Q171" s="50">
        <v>0.08</v>
      </c>
      <c r="R171" s="50">
        <v>0.46</v>
      </c>
      <c r="S171" s="50">
        <v>0.06</v>
      </c>
      <c r="T171" s="50">
        <v>0.69</v>
      </c>
      <c r="U171" s="49">
        <v>23</v>
      </c>
      <c r="V171" s="50">
        <v>0.19</v>
      </c>
      <c r="W171" s="50">
        <v>0.5</v>
      </c>
      <c r="X171" s="49">
        <f t="shared" si="6"/>
        <v>21</v>
      </c>
      <c r="Y171" s="49">
        <f t="shared" si="7"/>
        <v>2.52</v>
      </c>
      <c r="Z171" s="49">
        <f t="shared" si="8"/>
        <v>18.48</v>
      </c>
      <c r="AA171" s="23" t="s">
        <v>116</v>
      </c>
      <c r="AB171" s="23">
        <v>1000</v>
      </c>
      <c r="AC171" s="23" t="s">
        <v>116</v>
      </c>
      <c r="AD171" s="23" t="s">
        <v>116</v>
      </c>
      <c r="AE171" s="23" t="s">
        <v>116</v>
      </c>
      <c r="AF171" s="23" t="s">
        <v>116</v>
      </c>
      <c r="AG171" s="23" t="s">
        <v>116</v>
      </c>
      <c r="AH171" s="23" t="s">
        <v>116</v>
      </c>
      <c r="AI171" s="52">
        <v>1000</v>
      </c>
      <c r="AJ171" s="51">
        <v>-972</v>
      </c>
    </row>
    <row r="172" spans="1:36" x14ac:dyDescent="0.2">
      <c r="A172" s="47">
        <v>44732</v>
      </c>
      <c r="B172" s="48">
        <v>20</v>
      </c>
      <c r="C172" s="48">
        <v>171</v>
      </c>
      <c r="D172" s="48">
        <v>2</v>
      </c>
      <c r="E172" s="48" t="s">
        <v>13</v>
      </c>
      <c r="F172" s="48">
        <v>25</v>
      </c>
      <c r="G172" s="48">
        <v>6</v>
      </c>
      <c r="H172" s="48" t="s">
        <v>22</v>
      </c>
      <c r="I172" s="48">
        <v>2</v>
      </c>
      <c r="J172" s="49">
        <v>17</v>
      </c>
      <c r="K172" s="49">
        <v>68</v>
      </c>
      <c r="L172" s="49">
        <v>1171</v>
      </c>
      <c r="M172" s="50">
        <v>0.33</v>
      </c>
      <c r="N172" s="49">
        <v>392</v>
      </c>
      <c r="O172" s="49">
        <v>779</v>
      </c>
      <c r="P172" s="50">
        <v>0.69</v>
      </c>
      <c r="Q172" s="50">
        <v>0.62</v>
      </c>
      <c r="R172" s="50">
        <v>0.48</v>
      </c>
      <c r="S172" s="50">
        <v>0.36</v>
      </c>
      <c r="T172" s="50">
        <v>0.01</v>
      </c>
      <c r="U172" s="49">
        <v>48</v>
      </c>
      <c r="V172" s="50">
        <v>0.19</v>
      </c>
      <c r="W172" s="50">
        <v>0.03</v>
      </c>
      <c r="X172" s="49">
        <f t="shared" si="6"/>
        <v>35.129999999999995</v>
      </c>
      <c r="Y172" s="49">
        <f t="shared" si="7"/>
        <v>421.56</v>
      </c>
      <c r="Z172" s="49">
        <f t="shared" si="8"/>
        <v>714.31</v>
      </c>
      <c r="AA172" s="23" t="s">
        <v>116</v>
      </c>
      <c r="AB172" s="23" t="s">
        <v>116</v>
      </c>
      <c r="AC172" s="23" t="s">
        <v>116</v>
      </c>
      <c r="AD172" s="23" t="s">
        <v>116</v>
      </c>
      <c r="AE172" s="23">
        <v>100</v>
      </c>
      <c r="AF172" s="23" t="s">
        <v>116</v>
      </c>
      <c r="AG172" s="23" t="s">
        <v>116</v>
      </c>
      <c r="AH172" s="23" t="s">
        <v>116</v>
      </c>
      <c r="AI172" s="52">
        <v>100</v>
      </c>
      <c r="AJ172" s="51">
        <v>679</v>
      </c>
    </row>
    <row r="173" spans="1:36" x14ac:dyDescent="0.2">
      <c r="A173" s="47">
        <v>44733</v>
      </c>
      <c r="B173" s="48">
        <v>21</v>
      </c>
      <c r="C173" s="48">
        <v>172</v>
      </c>
      <c r="D173" s="48">
        <v>3</v>
      </c>
      <c r="E173" s="48" t="s">
        <v>14</v>
      </c>
      <c r="F173" s="48">
        <v>25</v>
      </c>
      <c r="G173" s="48">
        <v>6</v>
      </c>
      <c r="H173" s="48" t="s">
        <v>22</v>
      </c>
      <c r="I173" s="48">
        <v>2</v>
      </c>
      <c r="J173" s="49">
        <v>3</v>
      </c>
      <c r="K173" s="49">
        <v>46</v>
      </c>
      <c r="L173" s="49">
        <v>155</v>
      </c>
      <c r="M173" s="50">
        <v>0.54</v>
      </c>
      <c r="N173" s="49">
        <v>83</v>
      </c>
      <c r="O173" s="49">
        <v>72</v>
      </c>
      <c r="P173" s="50">
        <v>1.35</v>
      </c>
      <c r="Q173" s="50">
        <v>0.12</v>
      </c>
      <c r="R173" s="50">
        <v>0.76</v>
      </c>
      <c r="S173" s="50">
        <v>0.11</v>
      </c>
      <c r="T173" s="50">
        <v>0.08</v>
      </c>
      <c r="U173" s="49">
        <v>32</v>
      </c>
      <c r="V173" s="50">
        <v>0.31</v>
      </c>
      <c r="W173" s="50">
        <v>0.28000000000000003</v>
      </c>
      <c r="X173" s="49">
        <f t="shared" si="6"/>
        <v>43.400000000000006</v>
      </c>
      <c r="Y173" s="49">
        <f t="shared" si="7"/>
        <v>17.05</v>
      </c>
      <c r="Z173" s="49">
        <f t="shared" si="8"/>
        <v>94.55</v>
      </c>
      <c r="AA173" s="23" t="s">
        <v>116</v>
      </c>
      <c r="AB173" s="23" t="s">
        <v>116</v>
      </c>
      <c r="AC173" s="23" t="s">
        <v>116</v>
      </c>
      <c r="AD173" s="23" t="s">
        <v>116</v>
      </c>
      <c r="AE173" s="23" t="s">
        <v>116</v>
      </c>
      <c r="AF173" s="23" t="s">
        <v>116</v>
      </c>
      <c r="AG173" s="23" t="s">
        <v>116</v>
      </c>
      <c r="AH173" s="23" t="s">
        <v>116</v>
      </c>
      <c r="AI173" s="52">
        <v>0</v>
      </c>
      <c r="AJ173" s="51">
        <v>72</v>
      </c>
    </row>
    <row r="174" spans="1:36" x14ac:dyDescent="0.2">
      <c r="A174" s="47">
        <v>44734</v>
      </c>
      <c r="B174" s="48">
        <v>22</v>
      </c>
      <c r="C174" s="48">
        <v>173</v>
      </c>
      <c r="D174" s="48">
        <v>4</v>
      </c>
      <c r="E174" s="48" t="s">
        <v>15</v>
      </c>
      <c r="F174" s="48">
        <v>25</v>
      </c>
      <c r="G174" s="48">
        <v>6</v>
      </c>
      <c r="H174" s="48" t="s">
        <v>22</v>
      </c>
      <c r="I174" s="48">
        <v>2</v>
      </c>
      <c r="J174" s="49">
        <v>18</v>
      </c>
      <c r="K174" s="49">
        <v>111</v>
      </c>
      <c r="L174" s="49">
        <v>1946</v>
      </c>
      <c r="M174" s="50">
        <v>0.56000000000000005</v>
      </c>
      <c r="N174" s="49">
        <v>1099</v>
      </c>
      <c r="O174" s="49">
        <v>847</v>
      </c>
      <c r="P174" s="50">
        <v>0.63</v>
      </c>
      <c r="Q174" s="50">
        <v>0.56999999999999995</v>
      </c>
      <c r="R174" s="50">
        <v>0.81</v>
      </c>
      <c r="S174" s="50">
        <v>0.23</v>
      </c>
      <c r="T174" s="50">
        <v>0.01</v>
      </c>
      <c r="U174" s="49">
        <v>78</v>
      </c>
      <c r="V174" s="50">
        <v>0.14000000000000001</v>
      </c>
      <c r="W174" s="50">
        <v>0.03</v>
      </c>
      <c r="X174" s="49">
        <f t="shared" si="6"/>
        <v>58.379999999999995</v>
      </c>
      <c r="Y174" s="49">
        <f t="shared" si="7"/>
        <v>447.58000000000004</v>
      </c>
      <c r="Z174" s="49">
        <f t="shared" si="8"/>
        <v>1440.04</v>
      </c>
      <c r="AA174" s="23" t="s">
        <v>116</v>
      </c>
      <c r="AB174" s="23" t="s">
        <v>116</v>
      </c>
      <c r="AC174" s="23" t="s">
        <v>116</v>
      </c>
      <c r="AD174" s="23" t="s">
        <v>116</v>
      </c>
      <c r="AE174" s="23" t="s">
        <v>116</v>
      </c>
      <c r="AF174" s="23" t="s">
        <v>116</v>
      </c>
      <c r="AG174" s="23" t="s">
        <v>116</v>
      </c>
      <c r="AH174" s="23" t="s">
        <v>116</v>
      </c>
      <c r="AI174" s="52">
        <v>0</v>
      </c>
      <c r="AJ174" s="51">
        <v>847</v>
      </c>
    </row>
    <row r="175" spans="1:36" x14ac:dyDescent="0.2">
      <c r="A175" s="47">
        <v>44735</v>
      </c>
      <c r="B175" s="48">
        <v>23</v>
      </c>
      <c r="C175" s="48">
        <v>174</v>
      </c>
      <c r="D175" s="48">
        <v>5</v>
      </c>
      <c r="E175" s="48" t="s">
        <v>16</v>
      </c>
      <c r="F175" s="48">
        <v>25</v>
      </c>
      <c r="G175" s="48">
        <v>6</v>
      </c>
      <c r="H175" s="48" t="s">
        <v>22</v>
      </c>
      <c r="I175" s="48">
        <v>2</v>
      </c>
      <c r="J175" s="49">
        <v>19</v>
      </c>
      <c r="K175" s="49">
        <v>38</v>
      </c>
      <c r="L175" s="49">
        <v>748</v>
      </c>
      <c r="M175" s="50">
        <v>0.43</v>
      </c>
      <c r="N175" s="49">
        <v>320</v>
      </c>
      <c r="O175" s="49">
        <v>427</v>
      </c>
      <c r="P175" s="50">
        <v>1.55</v>
      </c>
      <c r="Q175" s="50">
        <v>0.52</v>
      </c>
      <c r="R175" s="50">
        <v>0.61</v>
      </c>
      <c r="S175" s="50">
        <v>0.72</v>
      </c>
      <c r="T175" s="50">
        <v>0.02</v>
      </c>
      <c r="U175" s="49">
        <v>27</v>
      </c>
      <c r="V175" s="50">
        <v>0.3</v>
      </c>
      <c r="W175" s="50">
        <v>0.06</v>
      </c>
      <c r="X175" s="49">
        <f t="shared" si="6"/>
        <v>44.879999999999995</v>
      </c>
      <c r="Y175" s="49">
        <f t="shared" si="7"/>
        <v>538.55999999999995</v>
      </c>
      <c r="Z175" s="49">
        <f t="shared" si="8"/>
        <v>164.56000000000006</v>
      </c>
      <c r="AA175" s="23" t="s">
        <v>116</v>
      </c>
      <c r="AB175" s="23" t="s">
        <v>116</v>
      </c>
      <c r="AC175" s="23" t="s">
        <v>116</v>
      </c>
      <c r="AD175" s="23" t="s">
        <v>116</v>
      </c>
      <c r="AE175" s="23" t="s">
        <v>116</v>
      </c>
      <c r="AF175" s="23" t="s">
        <v>116</v>
      </c>
      <c r="AG175" s="23" t="s">
        <v>116</v>
      </c>
      <c r="AH175" s="23" t="s">
        <v>116</v>
      </c>
      <c r="AI175" s="52">
        <v>0</v>
      </c>
      <c r="AJ175" s="51">
        <v>427</v>
      </c>
    </row>
    <row r="176" spans="1:36" x14ac:dyDescent="0.2">
      <c r="A176" s="47">
        <v>44736</v>
      </c>
      <c r="B176" s="48">
        <v>24</v>
      </c>
      <c r="C176" s="48">
        <v>175</v>
      </c>
      <c r="D176" s="48">
        <v>6</v>
      </c>
      <c r="E176" s="48" t="s">
        <v>17</v>
      </c>
      <c r="F176" s="48">
        <v>25</v>
      </c>
      <c r="G176" s="48">
        <v>6</v>
      </c>
      <c r="H176" s="48" t="s">
        <v>22</v>
      </c>
      <c r="I176" s="48">
        <v>2</v>
      </c>
      <c r="J176" s="49">
        <v>14</v>
      </c>
      <c r="K176" s="49">
        <v>78</v>
      </c>
      <c r="L176" s="49">
        <v>1107</v>
      </c>
      <c r="M176" s="50">
        <v>0.41</v>
      </c>
      <c r="N176" s="49">
        <v>454</v>
      </c>
      <c r="O176" s="49">
        <v>653</v>
      </c>
      <c r="P176" s="50">
        <v>0.82</v>
      </c>
      <c r="Q176" s="50">
        <v>0.42</v>
      </c>
      <c r="R176" s="50">
        <v>0.59</v>
      </c>
      <c r="S176" s="50">
        <v>0.26</v>
      </c>
      <c r="T176" s="50">
        <v>0.01</v>
      </c>
      <c r="U176" s="49">
        <v>54</v>
      </c>
      <c r="V176" s="50">
        <v>0.25</v>
      </c>
      <c r="W176" s="50">
        <v>0.04</v>
      </c>
      <c r="X176" s="49">
        <f t="shared" si="6"/>
        <v>44.28</v>
      </c>
      <c r="Y176" s="49">
        <f t="shared" si="7"/>
        <v>287.82</v>
      </c>
      <c r="Z176" s="49">
        <f t="shared" si="8"/>
        <v>774.9</v>
      </c>
      <c r="AA176" s="23" t="s">
        <v>116</v>
      </c>
      <c r="AB176" s="23" t="s">
        <v>116</v>
      </c>
      <c r="AC176" s="23" t="s">
        <v>116</v>
      </c>
      <c r="AD176" s="23" t="s">
        <v>116</v>
      </c>
      <c r="AE176" s="23" t="s">
        <v>116</v>
      </c>
      <c r="AF176" s="23" t="s">
        <v>116</v>
      </c>
      <c r="AG176" s="23" t="s">
        <v>116</v>
      </c>
      <c r="AH176" s="23" t="s">
        <v>116</v>
      </c>
      <c r="AI176" s="52">
        <v>0</v>
      </c>
      <c r="AJ176" s="51">
        <v>653</v>
      </c>
    </row>
    <row r="177" spans="1:36" x14ac:dyDescent="0.2">
      <c r="A177" s="47">
        <v>44737</v>
      </c>
      <c r="B177" s="48">
        <v>25</v>
      </c>
      <c r="C177" s="48">
        <v>176</v>
      </c>
      <c r="D177" s="48">
        <v>7</v>
      </c>
      <c r="E177" s="48" t="s">
        <v>10</v>
      </c>
      <c r="F177" s="48">
        <v>25</v>
      </c>
      <c r="G177" s="48">
        <v>6</v>
      </c>
      <c r="H177" s="48" t="s">
        <v>22</v>
      </c>
      <c r="I177" s="48">
        <v>2</v>
      </c>
      <c r="J177" s="49">
        <v>14</v>
      </c>
      <c r="K177" s="49">
        <v>103</v>
      </c>
      <c r="L177" s="49">
        <v>1431</v>
      </c>
      <c r="M177" s="50">
        <v>0.59</v>
      </c>
      <c r="N177" s="49">
        <v>843</v>
      </c>
      <c r="O177" s="49">
        <v>589</v>
      </c>
      <c r="P177" s="50">
        <v>0.52</v>
      </c>
      <c r="Q177" s="50">
        <v>0.4</v>
      </c>
      <c r="R177" s="50">
        <v>0.84</v>
      </c>
      <c r="S177" s="50">
        <v>0.19</v>
      </c>
      <c r="T177" s="50">
        <v>0.01</v>
      </c>
      <c r="U177" s="49">
        <v>72</v>
      </c>
      <c r="V177" s="50">
        <v>0.11</v>
      </c>
      <c r="W177" s="50">
        <v>0.03</v>
      </c>
      <c r="X177" s="49">
        <f t="shared" si="6"/>
        <v>42.93</v>
      </c>
      <c r="Y177" s="49">
        <f t="shared" si="7"/>
        <v>271.89</v>
      </c>
      <c r="Z177" s="49">
        <f t="shared" si="8"/>
        <v>1116.18</v>
      </c>
      <c r="AA177" s="23" t="s">
        <v>116</v>
      </c>
      <c r="AB177" s="23" t="s">
        <v>116</v>
      </c>
      <c r="AC177" s="23" t="s">
        <v>116</v>
      </c>
      <c r="AD177" s="23" t="s">
        <v>116</v>
      </c>
      <c r="AE177" s="23" t="s">
        <v>116</v>
      </c>
      <c r="AF177" s="23" t="s">
        <v>116</v>
      </c>
      <c r="AG177" s="23">
        <v>83</v>
      </c>
      <c r="AH177" s="23" t="s">
        <v>116</v>
      </c>
      <c r="AI177" s="52">
        <v>83</v>
      </c>
      <c r="AJ177" s="51">
        <v>506</v>
      </c>
    </row>
    <row r="178" spans="1:36" x14ac:dyDescent="0.2">
      <c r="A178" s="47">
        <v>44738</v>
      </c>
      <c r="B178" s="48">
        <v>26</v>
      </c>
      <c r="C178" s="48">
        <v>177</v>
      </c>
      <c r="D178" s="48">
        <v>1</v>
      </c>
      <c r="E178" s="48" t="s">
        <v>12</v>
      </c>
      <c r="F178" s="48">
        <v>26</v>
      </c>
      <c r="G178" s="48">
        <v>6</v>
      </c>
      <c r="H178" s="48" t="s">
        <v>22</v>
      </c>
      <c r="I178" s="48">
        <v>2</v>
      </c>
      <c r="J178" s="49">
        <v>9</v>
      </c>
      <c r="K178" s="49">
        <v>7</v>
      </c>
      <c r="L178" s="49">
        <v>64</v>
      </c>
      <c r="M178" s="50">
        <v>0.19</v>
      </c>
      <c r="N178" s="49">
        <v>12</v>
      </c>
      <c r="O178" s="49">
        <v>52</v>
      </c>
      <c r="P178" s="50">
        <v>2.17</v>
      </c>
      <c r="Q178" s="50">
        <v>0.61</v>
      </c>
      <c r="R178" s="50">
        <v>0.27</v>
      </c>
      <c r="S178" s="50">
        <v>1.69</v>
      </c>
      <c r="T178" s="50">
        <v>0.45</v>
      </c>
      <c r="U178" s="49">
        <v>5</v>
      </c>
      <c r="V178" s="50">
        <v>0.88</v>
      </c>
      <c r="W178" s="50">
        <v>0.17</v>
      </c>
      <c r="X178" s="49">
        <f t="shared" si="6"/>
        <v>10.88</v>
      </c>
      <c r="Y178" s="49">
        <f t="shared" si="7"/>
        <v>108.16</v>
      </c>
      <c r="Z178" s="49">
        <f t="shared" si="8"/>
        <v>-55.039999999999992</v>
      </c>
      <c r="AA178" s="23" t="s">
        <v>116</v>
      </c>
      <c r="AB178" s="23">
        <v>1000</v>
      </c>
      <c r="AC178" s="23" t="s">
        <v>116</v>
      </c>
      <c r="AD178" s="23" t="s">
        <v>116</v>
      </c>
      <c r="AE178" s="23" t="s">
        <v>116</v>
      </c>
      <c r="AF178" s="23" t="s">
        <v>116</v>
      </c>
      <c r="AG178" s="23" t="s">
        <v>116</v>
      </c>
      <c r="AH178" s="23" t="s">
        <v>116</v>
      </c>
      <c r="AI178" s="52">
        <v>1000</v>
      </c>
      <c r="AJ178" s="51">
        <v>-948</v>
      </c>
    </row>
    <row r="179" spans="1:36" x14ac:dyDescent="0.2">
      <c r="A179" s="47">
        <v>44739</v>
      </c>
      <c r="B179" s="48">
        <v>27</v>
      </c>
      <c r="C179" s="48">
        <v>178</v>
      </c>
      <c r="D179" s="48">
        <v>2</v>
      </c>
      <c r="E179" s="48" t="s">
        <v>13</v>
      </c>
      <c r="F179" s="48">
        <v>26</v>
      </c>
      <c r="G179" s="48">
        <v>6</v>
      </c>
      <c r="H179" s="48" t="s">
        <v>22</v>
      </c>
      <c r="I179" s="48">
        <v>2</v>
      </c>
      <c r="J179" s="49">
        <v>19</v>
      </c>
      <c r="K179" s="49">
        <v>82</v>
      </c>
      <c r="L179" s="49">
        <v>1529</v>
      </c>
      <c r="M179" s="50">
        <v>0.43</v>
      </c>
      <c r="N179" s="49">
        <v>665</v>
      </c>
      <c r="O179" s="49">
        <v>864</v>
      </c>
      <c r="P179" s="50">
        <v>0.78</v>
      </c>
      <c r="Q179" s="50">
        <v>0.62</v>
      </c>
      <c r="R179" s="50">
        <v>0.62</v>
      </c>
      <c r="S179" s="50">
        <v>0.32</v>
      </c>
      <c r="T179" s="50">
        <v>0.01</v>
      </c>
      <c r="U179" s="49">
        <v>58</v>
      </c>
      <c r="V179" s="50">
        <v>0.1</v>
      </c>
      <c r="W179" s="50">
        <v>0.03</v>
      </c>
      <c r="X179" s="49">
        <f t="shared" si="6"/>
        <v>45.87</v>
      </c>
      <c r="Y179" s="49">
        <f t="shared" si="7"/>
        <v>489.28000000000003</v>
      </c>
      <c r="Z179" s="49">
        <f t="shared" si="8"/>
        <v>993.85</v>
      </c>
      <c r="AA179" s="23" t="s">
        <v>116</v>
      </c>
      <c r="AB179" s="23" t="s">
        <v>116</v>
      </c>
      <c r="AC179" s="23" t="s">
        <v>116</v>
      </c>
      <c r="AD179" s="23" t="s">
        <v>116</v>
      </c>
      <c r="AE179" s="23" t="s">
        <v>116</v>
      </c>
      <c r="AF179" s="23" t="s">
        <v>116</v>
      </c>
      <c r="AG179" s="23" t="s">
        <v>116</v>
      </c>
      <c r="AH179" s="23" t="s">
        <v>116</v>
      </c>
      <c r="AI179" s="52">
        <v>0</v>
      </c>
      <c r="AJ179" s="51">
        <v>864</v>
      </c>
    </row>
    <row r="180" spans="1:36" x14ac:dyDescent="0.2">
      <c r="A180" s="47">
        <v>44740</v>
      </c>
      <c r="B180" s="48">
        <v>28</v>
      </c>
      <c r="C180" s="48">
        <v>179</v>
      </c>
      <c r="D180" s="48">
        <v>3</v>
      </c>
      <c r="E180" s="48" t="s">
        <v>14</v>
      </c>
      <c r="F180" s="48">
        <v>26</v>
      </c>
      <c r="G180" s="48">
        <v>6</v>
      </c>
      <c r="H180" s="48" t="s">
        <v>22</v>
      </c>
      <c r="I180" s="48">
        <v>2</v>
      </c>
      <c r="J180" s="49">
        <v>18</v>
      </c>
      <c r="K180" s="49">
        <v>72</v>
      </c>
      <c r="L180" s="49">
        <v>1298</v>
      </c>
      <c r="M180" s="50">
        <v>0.98</v>
      </c>
      <c r="N180" s="49">
        <v>1271</v>
      </c>
      <c r="O180" s="49">
        <v>27</v>
      </c>
      <c r="P180" s="50">
        <v>0.69</v>
      </c>
      <c r="Q180" s="50">
        <v>0.54</v>
      </c>
      <c r="R180" s="50">
        <v>1.4</v>
      </c>
      <c r="S180" s="50">
        <v>0.36</v>
      </c>
      <c r="T180" s="50">
        <v>0.01</v>
      </c>
      <c r="U180" s="49">
        <v>50</v>
      </c>
      <c r="V180" s="50">
        <v>0.09</v>
      </c>
      <c r="W180" s="50">
        <v>0.03</v>
      </c>
      <c r="X180" s="49">
        <f t="shared" si="6"/>
        <v>38.94</v>
      </c>
      <c r="Y180" s="49">
        <f t="shared" si="7"/>
        <v>467.28</v>
      </c>
      <c r="Z180" s="49">
        <f t="shared" si="8"/>
        <v>791.78</v>
      </c>
      <c r="AA180" s="23" t="s">
        <v>116</v>
      </c>
      <c r="AB180" s="23" t="s">
        <v>116</v>
      </c>
      <c r="AC180" s="23" t="s">
        <v>116</v>
      </c>
      <c r="AD180" s="23" t="s">
        <v>116</v>
      </c>
      <c r="AE180" s="23" t="s">
        <v>116</v>
      </c>
      <c r="AF180" s="23" t="s">
        <v>116</v>
      </c>
      <c r="AG180" s="23" t="s">
        <v>116</v>
      </c>
      <c r="AH180" s="23" t="s">
        <v>116</v>
      </c>
      <c r="AI180" s="52">
        <v>0</v>
      </c>
      <c r="AJ180" s="51">
        <v>27</v>
      </c>
    </row>
    <row r="181" spans="1:36" x14ac:dyDescent="0.2">
      <c r="A181" s="47">
        <v>44741</v>
      </c>
      <c r="B181" s="48">
        <v>29</v>
      </c>
      <c r="C181" s="48">
        <v>180</v>
      </c>
      <c r="D181" s="48">
        <v>4</v>
      </c>
      <c r="E181" s="48" t="s">
        <v>15</v>
      </c>
      <c r="F181" s="48">
        <v>26</v>
      </c>
      <c r="G181" s="48">
        <v>6</v>
      </c>
      <c r="H181" s="48" t="s">
        <v>22</v>
      </c>
      <c r="I181" s="48">
        <v>2</v>
      </c>
      <c r="J181" s="49">
        <v>14</v>
      </c>
      <c r="K181" s="49">
        <v>52</v>
      </c>
      <c r="L181" s="49">
        <v>720</v>
      </c>
      <c r="M181" s="50">
        <v>0.86</v>
      </c>
      <c r="N181" s="49">
        <v>619</v>
      </c>
      <c r="O181" s="49">
        <v>100</v>
      </c>
      <c r="P181" s="50">
        <v>0.93</v>
      </c>
      <c r="Q181" s="50">
        <v>0.4</v>
      </c>
      <c r="R181" s="50">
        <v>1.23</v>
      </c>
      <c r="S181" s="50">
        <v>0.38</v>
      </c>
      <c r="T181" s="50">
        <v>0.02</v>
      </c>
      <c r="U181" s="49">
        <v>36</v>
      </c>
      <c r="V181" s="50">
        <v>0.11</v>
      </c>
      <c r="W181" s="50">
        <v>0.05</v>
      </c>
      <c r="X181" s="49">
        <f t="shared" si="6"/>
        <v>36</v>
      </c>
      <c r="Y181" s="49">
        <f t="shared" si="7"/>
        <v>273.60000000000002</v>
      </c>
      <c r="Z181" s="49">
        <f t="shared" si="8"/>
        <v>410.4</v>
      </c>
      <c r="AA181" s="23" t="s">
        <v>116</v>
      </c>
      <c r="AB181" s="23" t="s">
        <v>116</v>
      </c>
      <c r="AC181" s="23" t="s">
        <v>116</v>
      </c>
      <c r="AD181" s="23" t="s">
        <v>116</v>
      </c>
      <c r="AE181" s="23" t="s">
        <v>116</v>
      </c>
      <c r="AF181" s="23" t="s">
        <v>116</v>
      </c>
      <c r="AG181" s="23" t="s">
        <v>116</v>
      </c>
      <c r="AH181" s="23" t="s">
        <v>116</v>
      </c>
      <c r="AI181" s="52">
        <v>0</v>
      </c>
      <c r="AJ181" s="51">
        <v>100</v>
      </c>
    </row>
    <row r="182" spans="1:36" x14ac:dyDescent="0.2">
      <c r="A182" s="47">
        <v>44742</v>
      </c>
      <c r="B182" s="48">
        <v>30</v>
      </c>
      <c r="C182" s="48">
        <v>181</v>
      </c>
      <c r="D182" s="48">
        <v>5</v>
      </c>
      <c r="E182" s="48" t="s">
        <v>16</v>
      </c>
      <c r="F182" s="48">
        <v>26</v>
      </c>
      <c r="G182" s="48">
        <v>6</v>
      </c>
      <c r="H182" s="48" t="s">
        <v>22</v>
      </c>
      <c r="I182" s="48">
        <v>2</v>
      </c>
      <c r="J182" s="49">
        <v>0</v>
      </c>
      <c r="K182" s="49">
        <v>66</v>
      </c>
      <c r="L182" s="49">
        <v>3</v>
      </c>
      <c r="M182" s="50">
        <v>0.61</v>
      </c>
      <c r="N182" s="49">
        <v>2</v>
      </c>
      <c r="O182" s="49">
        <v>1</v>
      </c>
      <c r="P182" s="50">
        <v>1.05</v>
      </c>
      <c r="Q182" s="50">
        <v>0</v>
      </c>
      <c r="R182" s="50">
        <v>0.87</v>
      </c>
      <c r="S182" s="50">
        <v>0</v>
      </c>
      <c r="T182" s="50">
        <v>4.42</v>
      </c>
      <c r="U182" s="49">
        <v>46</v>
      </c>
      <c r="V182" s="50">
        <v>0.17</v>
      </c>
      <c r="W182" s="50">
        <v>16.41</v>
      </c>
      <c r="X182" s="49">
        <f t="shared" si="6"/>
        <v>49.230000000000004</v>
      </c>
      <c r="Y182" s="49">
        <f t="shared" si="7"/>
        <v>0</v>
      </c>
      <c r="Z182" s="49">
        <f t="shared" si="8"/>
        <v>-46.230000000000004</v>
      </c>
      <c r="AA182" s="23" t="s">
        <v>116</v>
      </c>
      <c r="AB182" s="23" t="s">
        <v>116</v>
      </c>
      <c r="AC182" s="23" t="s">
        <v>116</v>
      </c>
      <c r="AD182" s="23" t="s">
        <v>116</v>
      </c>
      <c r="AE182" s="23" t="s">
        <v>116</v>
      </c>
      <c r="AF182" s="23" t="s">
        <v>116</v>
      </c>
      <c r="AG182" s="23" t="s">
        <v>116</v>
      </c>
      <c r="AH182" s="23" t="s">
        <v>116</v>
      </c>
      <c r="AI182" s="52">
        <v>0</v>
      </c>
      <c r="AJ182" s="51">
        <v>1</v>
      </c>
    </row>
    <row r="183" spans="1:36" x14ac:dyDescent="0.2">
      <c r="A183" s="47">
        <v>44743</v>
      </c>
      <c r="B183" s="48">
        <v>1</v>
      </c>
      <c r="C183" s="48">
        <v>182</v>
      </c>
      <c r="D183" s="48">
        <v>6</v>
      </c>
      <c r="E183" s="48" t="s">
        <v>17</v>
      </c>
      <c r="F183" s="48">
        <v>26</v>
      </c>
      <c r="G183" s="48">
        <v>7</v>
      </c>
      <c r="H183" s="48" t="s">
        <v>23</v>
      </c>
      <c r="I183" s="48">
        <v>3</v>
      </c>
      <c r="J183" s="49">
        <v>4</v>
      </c>
      <c r="K183" s="49">
        <v>106</v>
      </c>
      <c r="L183" s="49">
        <v>428</v>
      </c>
      <c r="M183" s="50">
        <v>0.8</v>
      </c>
      <c r="N183" s="49">
        <v>344</v>
      </c>
      <c r="O183" s="49">
        <v>85</v>
      </c>
      <c r="P183" s="50">
        <v>0.55000000000000004</v>
      </c>
      <c r="Q183" s="50">
        <v>0.12</v>
      </c>
      <c r="R183" s="50">
        <v>1.1499999999999999</v>
      </c>
      <c r="S183" s="50">
        <v>0.05</v>
      </c>
      <c r="T183" s="50">
        <v>0.03</v>
      </c>
      <c r="U183" s="49">
        <v>74</v>
      </c>
      <c r="V183" s="50">
        <v>0.09</v>
      </c>
      <c r="W183" s="50">
        <v>0.09</v>
      </c>
      <c r="X183" s="49">
        <f t="shared" si="6"/>
        <v>38.519999999999996</v>
      </c>
      <c r="Y183" s="49">
        <f t="shared" si="7"/>
        <v>21.400000000000002</v>
      </c>
      <c r="Z183" s="49">
        <f t="shared" si="8"/>
        <v>368.08</v>
      </c>
      <c r="AA183" s="23">
        <v>3000</v>
      </c>
      <c r="AB183" s="23" t="s">
        <v>116</v>
      </c>
      <c r="AC183" s="23" t="s">
        <v>116</v>
      </c>
      <c r="AD183" s="23" t="s">
        <v>116</v>
      </c>
      <c r="AE183" s="23" t="s">
        <v>116</v>
      </c>
      <c r="AF183" s="23" t="s">
        <v>116</v>
      </c>
      <c r="AG183" s="23" t="s">
        <v>116</v>
      </c>
      <c r="AH183" s="23" t="s">
        <v>116</v>
      </c>
      <c r="AI183" s="52">
        <v>3000</v>
      </c>
      <c r="AJ183" s="51">
        <v>-2915</v>
      </c>
    </row>
    <row r="184" spans="1:36" x14ac:dyDescent="0.2">
      <c r="A184" s="47">
        <v>44744</v>
      </c>
      <c r="B184" s="48">
        <v>2</v>
      </c>
      <c r="C184" s="48">
        <v>183</v>
      </c>
      <c r="D184" s="48">
        <v>7</v>
      </c>
      <c r="E184" s="48" t="s">
        <v>10</v>
      </c>
      <c r="F184" s="48">
        <v>26</v>
      </c>
      <c r="G184" s="48">
        <v>7</v>
      </c>
      <c r="H184" s="48" t="s">
        <v>23</v>
      </c>
      <c r="I184" s="48">
        <v>3</v>
      </c>
      <c r="J184" s="49">
        <v>19</v>
      </c>
      <c r="K184" s="49">
        <v>35</v>
      </c>
      <c r="L184" s="49">
        <v>672</v>
      </c>
      <c r="M184" s="50">
        <v>0.76</v>
      </c>
      <c r="N184" s="49">
        <v>512</v>
      </c>
      <c r="O184" s="49">
        <v>160</v>
      </c>
      <c r="P184" s="50">
        <v>1.04</v>
      </c>
      <c r="Q184" s="50">
        <v>0.55000000000000004</v>
      </c>
      <c r="R184" s="50">
        <v>1.0900000000000001</v>
      </c>
      <c r="S184" s="50">
        <v>0.77</v>
      </c>
      <c r="T184" s="50">
        <v>0.02</v>
      </c>
      <c r="U184" s="49">
        <v>25</v>
      </c>
      <c r="V184" s="50">
        <v>0.46</v>
      </c>
      <c r="W184" s="50">
        <v>0.04</v>
      </c>
      <c r="X184" s="49">
        <f t="shared" si="6"/>
        <v>26.88</v>
      </c>
      <c r="Y184" s="49">
        <f t="shared" si="7"/>
        <v>517.44000000000005</v>
      </c>
      <c r="Z184" s="49">
        <f t="shared" si="8"/>
        <v>127.67999999999995</v>
      </c>
      <c r="AA184" s="23" t="s">
        <v>116</v>
      </c>
      <c r="AB184" s="23" t="s">
        <v>116</v>
      </c>
      <c r="AC184" s="23" t="s">
        <v>116</v>
      </c>
      <c r="AD184" s="23" t="s">
        <v>116</v>
      </c>
      <c r="AE184" s="23" t="s">
        <v>116</v>
      </c>
      <c r="AF184" s="23" t="s">
        <v>116</v>
      </c>
      <c r="AG184" s="23" t="s">
        <v>116</v>
      </c>
      <c r="AH184" s="23" t="s">
        <v>116</v>
      </c>
      <c r="AI184" s="52">
        <v>0</v>
      </c>
      <c r="AJ184" s="51">
        <v>160</v>
      </c>
    </row>
    <row r="185" spans="1:36" x14ac:dyDescent="0.2">
      <c r="A185" s="47">
        <v>44745</v>
      </c>
      <c r="B185" s="48">
        <v>3</v>
      </c>
      <c r="C185" s="48">
        <v>184</v>
      </c>
      <c r="D185" s="48">
        <v>1</v>
      </c>
      <c r="E185" s="48" t="s">
        <v>12</v>
      </c>
      <c r="F185" s="48">
        <v>27</v>
      </c>
      <c r="G185" s="48">
        <v>7</v>
      </c>
      <c r="H185" s="48" t="s">
        <v>23</v>
      </c>
      <c r="I185" s="48">
        <v>3</v>
      </c>
      <c r="J185" s="49">
        <v>10</v>
      </c>
      <c r="K185" s="49">
        <v>17</v>
      </c>
      <c r="L185" s="49">
        <v>171</v>
      </c>
      <c r="M185" s="50">
        <v>0.23</v>
      </c>
      <c r="N185" s="49">
        <v>40</v>
      </c>
      <c r="O185" s="49">
        <v>131</v>
      </c>
      <c r="P185" s="50">
        <v>1.71</v>
      </c>
      <c r="Q185" s="50">
        <v>0.68</v>
      </c>
      <c r="R185" s="50">
        <v>0.33</v>
      </c>
      <c r="S185" s="50">
        <v>0.83</v>
      </c>
      <c r="T185" s="50">
        <v>0.17</v>
      </c>
      <c r="U185" s="49">
        <v>12</v>
      </c>
      <c r="V185" s="50">
        <v>0.28000000000000003</v>
      </c>
      <c r="W185" s="50">
        <v>0.12</v>
      </c>
      <c r="X185" s="49">
        <f t="shared" si="6"/>
        <v>20.52</v>
      </c>
      <c r="Y185" s="49">
        <f t="shared" si="7"/>
        <v>141.93</v>
      </c>
      <c r="Z185" s="49">
        <f t="shared" si="8"/>
        <v>8.5499999999999829</v>
      </c>
      <c r="AA185" s="23" t="s">
        <v>116</v>
      </c>
      <c r="AB185" s="23">
        <v>1000</v>
      </c>
      <c r="AC185" s="23" t="s">
        <v>116</v>
      </c>
      <c r="AD185" s="23" t="s">
        <v>116</v>
      </c>
      <c r="AE185" s="23" t="s">
        <v>116</v>
      </c>
      <c r="AF185" s="23" t="s">
        <v>116</v>
      </c>
      <c r="AG185" s="23" t="s">
        <v>116</v>
      </c>
      <c r="AH185" s="23" t="s">
        <v>116</v>
      </c>
      <c r="AI185" s="52">
        <v>1000</v>
      </c>
      <c r="AJ185" s="51">
        <v>-869</v>
      </c>
    </row>
    <row r="186" spans="1:36" x14ac:dyDescent="0.2">
      <c r="A186" s="47">
        <v>44746</v>
      </c>
      <c r="B186" s="48">
        <v>4</v>
      </c>
      <c r="C186" s="48">
        <v>185</v>
      </c>
      <c r="D186" s="48">
        <v>2</v>
      </c>
      <c r="E186" s="48" t="s">
        <v>13</v>
      </c>
      <c r="F186" s="48">
        <v>27</v>
      </c>
      <c r="G186" s="48">
        <v>7</v>
      </c>
      <c r="H186" s="48" t="s">
        <v>23</v>
      </c>
      <c r="I186" s="48">
        <v>3</v>
      </c>
      <c r="J186" s="49">
        <v>20</v>
      </c>
      <c r="K186" s="49">
        <v>22</v>
      </c>
      <c r="L186" s="49">
        <v>436</v>
      </c>
      <c r="M186" s="50">
        <v>0.48</v>
      </c>
      <c r="N186" s="49">
        <v>209</v>
      </c>
      <c r="O186" s="49">
        <v>226</v>
      </c>
      <c r="P186" s="50">
        <v>2.1</v>
      </c>
      <c r="Q186" s="50">
        <v>0.65</v>
      </c>
      <c r="R186" s="50">
        <v>0.69</v>
      </c>
      <c r="S186" s="50">
        <v>1.3</v>
      </c>
      <c r="T186" s="50">
        <v>0.03</v>
      </c>
      <c r="U186" s="49">
        <v>15</v>
      </c>
      <c r="V186" s="50">
        <v>0.79</v>
      </c>
      <c r="W186" s="50">
        <v>7.0000000000000007E-2</v>
      </c>
      <c r="X186" s="49">
        <f t="shared" si="6"/>
        <v>30.520000000000003</v>
      </c>
      <c r="Y186" s="49">
        <f t="shared" si="7"/>
        <v>566.80000000000007</v>
      </c>
      <c r="Z186" s="49">
        <f t="shared" si="8"/>
        <v>-161.32000000000005</v>
      </c>
      <c r="AA186" s="23" t="s">
        <v>116</v>
      </c>
      <c r="AB186" s="23" t="s">
        <v>116</v>
      </c>
      <c r="AC186" s="23" t="s">
        <v>116</v>
      </c>
      <c r="AD186" s="23" t="s">
        <v>116</v>
      </c>
      <c r="AE186" s="23" t="s">
        <v>116</v>
      </c>
      <c r="AF186" s="23" t="s">
        <v>116</v>
      </c>
      <c r="AG186" s="23" t="s">
        <v>116</v>
      </c>
      <c r="AH186" s="23" t="s">
        <v>116</v>
      </c>
      <c r="AI186" s="52">
        <v>0</v>
      </c>
      <c r="AJ186" s="51">
        <v>226</v>
      </c>
    </row>
    <row r="187" spans="1:36" x14ac:dyDescent="0.2">
      <c r="A187" s="47">
        <v>44747</v>
      </c>
      <c r="B187" s="48">
        <v>5</v>
      </c>
      <c r="C187" s="48">
        <v>186</v>
      </c>
      <c r="D187" s="48">
        <v>3</v>
      </c>
      <c r="E187" s="48" t="s">
        <v>14</v>
      </c>
      <c r="F187" s="48">
        <v>27</v>
      </c>
      <c r="G187" s="48">
        <v>7</v>
      </c>
      <c r="H187" s="48" t="s">
        <v>23</v>
      </c>
      <c r="I187" s="48">
        <v>3</v>
      </c>
      <c r="J187" s="49">
        <v>17</v>
      </c>
      <c r="K187" s="49">
        <v>21</v>
      </c>
      <c r="L187" s="49">
        <v>347</v>
      </c>
      <c r="M187" s="50">
        <v>0.59</v>
      </c>
      <c r="N187" s="49">
        <v>205</v>
      </c>
      <c r="O187" s="49">
        <v>143</v>
      </c>
      <c r="P187" s="50">
        <v>2.57</v>
      </c>
      <c r="Q187" s="50">
        <v>0.53</v>
      </c>
      <c r="R187" s="50">
        <v>0.84</v>
      </c>
      <c r="S187" s="50">
        <v>1.1599999999999999</v>
      </c>
      <c r="T187" s="50">
        <v>0.04</v>
      </c>
      <c r="U187" s="49">
        <v>14</v>
      </c>
      <c r="V187" s="50">
        <v>0.48</v>
      </c>
      <c r="W187" s="50">
        <v>0.11</v>
      </c>
      <c r="X187" s="49">
        <f t="shared" si="6"/>
        <v>38.17</v>
      </c>
      <c r="Y187" s="49">
        <f t="shared" si="7"/>
        <v>402.52</v>
      </c>
      <c r="Z187" s="49">
        <f t="shared" si="8"/>
        <v>-93.69</v>
      </c>
      <c r="AA187" s="23" t="s">
        <v>116</v>
      </c>
      <c r="AB187" s="23" t="s">
        <v>116</v>
      </c>
      <c r="AC187" s="23" t="s">
        <v>116</v>
      </c>
      <c r="AD187" s="23" t="s">
        <v>116</v>
      </c>
      <c r="AE187" s="23" t="s">
        <v>116</v>
      </c>
      <c r="AF187" s="23" t="s">
        <v>116</v>
      </c>
      <c r="AG187" s="23" t="s">
        <v>116</v>
      </c>
      <c r="AH187" s="23">
        <v>1000</v>
      </c>
      <c r="AI187" s="52">
        <v>1000</v>
      </c>
      <c r="AJ187" s="51">
        <v>-857</v>
      </c>
    </row>
    <row r="188" spans="1:36" x14ac:dyDescent="0.2">
      <c r="A188" s="47">
        <v>44748</v>
      </c>
      <c r="B188" s="48">
        <v>6</v>
      </c>
      <c r="C188" s="48">
        <v>187</v>
      </c>
      <c r="D188" s="48">
        <v>4</v>
      </c>
      <c r="E188" s="48" t="s">
        <v>15</v>
      </c>
      <c r="F188" s="48">
        <v>27</v>
      </c>
      <c r="G188" s="48">
        <v>7</v>
      </c>
      <c r="H188" s="48" t="s">
        <v>23</v>
      </c>
      <c r="I188" s="48">
        <v>3</v>
      </c>
      <c r="J188" s="49">
        <v>19</v>
      </c>
      <c r="K188" s="49">
        <v>44</v>
      </c>
      <c r="L188" s="49">
        <v>846</v>
      </c>
      <c r="M188" s="50">
        <v>0.42</v>
      </c>
      <c r="N188" s="49">
        <v>357</v>
      </c>
      <c r="O188" s="49">
        <v>489</v>
      </c>
      <c r="P188" s="50">
        <v>0.83</v>
      </c>
      <c r="Q188" s="50">
        <v>0.59</v>
      </c>
      <c r="R188" s="50">
        <v>0.6</v>
      </c>
      <c r="S188" s="50">
        <v>0.61</v>
      </c>
      <c r="T188" s="50">
        <v>0.02</v>
      </c>
      <c r="U188" s="49">
        <v>31</v>
      </c>
      <c r="V188" s="50">
        <v>0.37</v>
      </c>
      <c r="W188" s="50">
        <v>0.03</v>
      </c>
      <c r="X188" s="49">
        <f t="shared" si="6"/>
        <v>25.38</v>
      </c>
      <c r="Y188" s="49">
        <f t="shared" si="7"/>
        <v>516.05999999999995</v>
      </c>
      <c r="Z188" s="49">
        <f t="shared" si="8"/>
        <v>304.56000000000006</v>
      </c>
      <c r="AA188" s="23" t="s">
        <v>116</v>
      </c>
      <c r="AB188" s="23" t="s">
        <v>116</v>
      </c>
      <c r="AC188" s="23" t="s">
        <v>116</v>
      </c>
      <c r="AD188" s="23" t="s">
        <v>116</v>
      </c>
      <c r="AE188" s="23" t="s">
        <v>116</v>
      </c>
      <c r="AF188" s="23" t="s">
        <v>116</v>
      </c>
      <c r="AG188" s="23" t="s">
        <v>116</v>
      </c>
      <c r="AH188" s="23" t="s">
        <v>116</v>
      </c>
      <c r="AI188" s="52">
        <v>0</v>
      </c>
      <c r="AJ188" s="51">
        <v>489</v>
      </c>
    </row>
    <row r="189" spans="1:36" x14ac:dyDescent="0.2">
      <c r="A189" s="47">
        <v>44749</v>
      </c>
      <c r="B189" s="48">
        <v>7</v>
      </c>
      <c r="C189" s="48">
        <v>188</v>
      </c>
      <c r="D189" s="48">
        <v>5</v>
      </c>
      <c r="E189" s="48" t="s">
        <v>16</v>
      </c>
      <c r="F189" s="48">
        <v>27</v>
      </c>
      <c r="G189" s="48">
        <v>7</v>
      </c>
      <c r="H189" s="48" t="s">
        <v>23</v>
      </c>
      <c r="I189" s="48">
        <v>3</v>
      </c>
      <c r="J189" s="49">
        <v>12</v>
      </c>
      <c r="K189" s="49">
        <v>93</v>
      </c>
      <c r="L189" s="49">
        <v>1161</v>
      </c>
      <c r="M189" s="50">
        <v>0.42</v>
      </c>
      <c r="N189" s="49">
        <v>488</v>
      </c>
      <c r="O189" s="49">
        <v>673</v>
      </c>
      <c r="P189" s="50">
        <v>0.33</v>
      </c>
      <c r="Q189" s="50">
        <v>0.41</v>
      </c>
      <c r="R189" s="50">
        <v>0.6</v>
      </c>
      <c r="S189" s="50">
        <v>0.19</v>
      </c>
      <c r="T189" s="50">
        <v>0.01</v>
      </c>
      <c r="U189" s="49">
        <v>65</v>
      </c>
      <c r="V189" s="50">
        <v>0.1</v>
      </c>
      <c r="W189" s="50">
        <v>0.02</v>
      </c>
      <c r="X189" s="49">
        <f t="shared" si="6"/>
        <v>23.22</v>
      </c>
      <c r="Y189" s="49">
        <f t="shared" si="7"/>
        <v>220.59</v>
      </c>
      <c r="Z189" s="49">
        <f t="shared" si="8"/>
        <v>917.19</v>
      </c>
      <c r="AA189" s="23" t="s">
        <v>116</v>
      </c>
      <c r="AB189" s="23" t="s">
        <v>116</v>
      </c>
      <c r="AC189" s="23" t="s">
        <v>116</v>
      </c>
      <c r="AD189" s="23" t="s">
        <v>116</v>
      </c>
      <c r="AE189" s="23" t="s">
        <v>116</v>
      </c>
      <c r="AF189" s="23" t="s">
        <v>116</v>
      </c>
      <c r="AG189" s="23" t="s">
        <v>116</v>
      </c>
      <c r="AH189" s="23" t="s">
        <v>116</v>
      </c>
      <c r="AI189" s="52">
        <v>0</v>
      </c>
      <c r="AJ189" s="51">
        <v>673</v>
      </c>
    </row>
    <row r="190" spans="1:36" x14ac:dyDescent="0.2">
      <c r="A190" s="47">
        <v>44750</v>
      </c>
      <c r="B190" s="48">
        <v>8</v>
      </c>
      <c r="C190" s="48">
        <v>189</v>
      </c>
      <c r="D190" s="48">
        <v>6</v>
      </c>
      <c r="E190" s="48" t="s">
        <v>17</v>
      </c>
      <c r="F190" s="48">
        <v>27</v>
      </c>
      <c r="G190" s="48">
        <v>7</v>
      </c>
      <c r="H190" s="48" t="s">
        <v>23</v>
      </c>
      <c r="I190" s="48">
        <v>3</v>
      </c>
      <c r="J190" s="49">
        <v>17</v>
      </c>
      <c r="K190" s="49">
        <v>41</v>
      </c>
      <c r="L190" s="49">
        <v>685</v>
      </c>
      <c r="M190" s="50">
        <v>0.48</v>
      </c>
      <c r="N190" s="49">
        <v>327</v>
      </c>
      <c r="O190" s="49">
        <v>358</v>
      </c>
      <c r="P190" s="50">
        <v>1.32</v>
      </c>
      <c r="Q190" s="50">
        <v>0.53</v>
      </c>
      <c r="R190" s="50">
        <v>0.68</v>
      </c>
      <c r="S190" s="50">
        <v>0.56999999999999995</v>
      </c>
      <c r="T190" s="50">
        <v>0.02</v>
      </c>
      <c r="U190" s="49">
        <v>29</v>
      </c>
      <c r="V190" s="50">
        <v>0.19</v>
      </c>
      <c r="W190" s="50">
        <v>0.06</v>
      </c>
      <c r="X190" s="49">
        <f t="shared" si="6"/>
        <v>41.1</v>
      </c>
      <c r="Y190" s="49">
        <f t="shared" si="7"/>
        <v>390.45</v>
      </c>
      <c r="Z190" s="49">
        <f t="shared" si="8"/>
        <v>253.45</v>
      </c>
      <c r="AA190" s="23" t="s">
        <v>116</v>
      </c>
      <c r="AB190" s="23" t="s">
        <v>116</v>
      </c>
      <c r="AC190" s="23" t="s">
        <v>116</v>
      </c>
      <c r="AD190" s="23" t="s">
        <v>116</v>
      </c>
      <c r="AE190" s="23" t="s">
        <v>116</v>
      </c>
      <c r="AF190" s="23" t="s">
        <v>116</v>
      </c>
      <c r="AG190" s="23" t="s">
        <v>116</v>
      </c>
      <c r="AH190" s="23" t="s">
        <v>116</v>
      </c>
      <c r="AI190" s="52">
        <v>0</v>
      </c>
      <c r="AJ190" s="51">
        <v>358</v>
      </c>
    </row>
    <row r="191" spans="1:36" x14ac:dyDescent="0.2">
      <c r="A191" s="47">
        <v>44751</v>
      </c>
      <c r="B191" s="48">
        <v>9</v>
      </c>
      <c r="C191" s="48">
        <v>190</v>
      </c>
      <c r="D191" s="48">
        <v>7</v>
      </c>
      <c r="E191" s="48" t="s">
        <v>10</v>
      </c>
      <c r="F191" s="48">
        <v>27</v>
      </c>
      <c r="G191" s="48">
        <v>7</v>
      </c>
      <c r="H191" s="48" t="s">
        <v>23</v>
      </c>
      <c r="I191" s="48">
        <v>3</v>
      </c>
      <c r="J191" s="49">
        <v>22</v>
      </c>
      <c r="K191" s="49">
        <v>72</v>
      </c>
      <c r="L191" s="49">
        <v>1567</v>
      </c>
      <c r="M191" s="50">
        <v>0.46</v>
      </c>
      <c r="N191" s="49">
        <v>728</v>
      </c>
      <c r="O191" s="49">
        <v>839</v>
      </c>
      <c r="P191" s="50">
        <v>0.68</v>
      </c>
      <c r="Q191" s="50">
        <v>0.61</v>
      </c>
      <c r="R191" s="50">
        <v>0.66</v>
      </c>
      <c r="S191" s="50">
        <v>0.43</v>
      </c>
      <c r="T191" s="50">
        <v>0.01</v>
      </c>
      <c r="U191" s="49">
        <v>50</v>
      </c>
      <c r="V191" s="50">
        <v>0.19</v>
      </c>
      <c r="W191" s="50">
        <v>0.02</v>
      </c>
      <c r="X191" s="49">
        <f t="shared" si="6"/>
        <v>31.34</v>
      </c>
      <c r="Y191" s="49">
        <f t="shared" si="7"/>
        <v>673.81</v>
      </c>
      <c r="Z191" s="49">
        <f t="shared" si="8"/>
        <v>861.85</v>
      </c>
      <c r="AA191" s="23" t="s">
        <v>116</v>
      </c>
      <c r="AB191" s="23" t="s">
        <v>116</v>
      </c>
      <c r="AC191" s="23" t="s">
        <v>116</v>
      </c>
      <c r="AD191" s="23" t="s">
        <v>116</v>
      </c>
      <c r="AE191" s="23" t="s">
        <v>116</v>
      </c>
      <c r="AF191" s="23" t="s">
        <v>116</v>
      </c>
      <c r="AG191" s="23" t="s">
        <v>116</v>
      </c>
      <c r="AH191" s="23" t="s">
        <v>116</v>
      </c>
      <c r="AI191" s="52">
        <v>0</v>
      </c>
      <c r="AJ191" s="51">
        <v>839</v>
      </c>
    </row>
    <row r="192" spans="1:36" x14ac:dyDescent="0.2">
      <c r="A192" s="47">
        <v>44752</v>
      </c>
      <c r="B192" s="48">
        <v>10</v>
      </c>
      <c r="C192" s="48">
        <v>191</v>
      </c>
      <c r="D192" s="48">
        <v>1</v>
      </c>
      <c r="E192" s="48" t="s">
        <v>12</v>
      </c>
      <c r="F192" s="48">
        <v>28</v>
      </c>
      <c r="G192" s="48">
        <v>7</v>
      </c>
      <c r="H192" s="48" t="s">
        <v>23</v>
      </c>
      <c r="I192" s="48">
        <v>3</v>
      </c>
      <c r="J192" s="49">
        <v>5</v>
      </c>
      <c r="K192" s="49">
        <v>33</v>
      </c>
      <c r="L192" s="49">
        <v>169</v>
      </c>
      <c r="M192" s="50">
        <v>0.21</v>
      </c>
      <c r="N192" s="49">
        <v>35</v>
      </c>
      <c r="O192" s="49">
        <v>134</v>
      </c>
      <c r="P192" s="50">
        <v>0.48</v>
      </c>
      <c r="Q192" s="50">
        <v>0.35</v>
      </c>
      <c r="R192" s="50">
        <v>0.28999999999999998</v>
      </c>
      <c r="S192" s="50">
        <v>0.22</v>
      </c>
      <c r="T192" s="50">
        <v>0.17</v>
      </c>
      <c r="U192" s="49">
        <v>23</v>
      </c>
      <c r="V192" s="50">
        <v>0.21</v>
      </c>
      <c r="W192" s="50">
        <v>7.0000000000000007E-2</v>
      </c>
      <c r="X192" s="49">
        <f t="shared" si="6"/>
        <v>11.830000000000002</v>
      </c>
      <c r="Y192" s="49">
        <f t="shared" si="7"/>
        <v>37.18</v>
      </c>
      <c r="Z192" s="49">
        <f t="shared" si="8"/>
        <v>119.99</v>
      </c>
      <c r="AA192" s="23" t="s">
        <v>116</v>
      </c>
      <c r="AB192" s="23">
        <v>1000</v>
      </c>
      <c r="AC192" s="23" t="s">
        <v>116</v>
      </c>
      <c r="AD192" s="23">
        <v>300</v>
      </c>
      <c r="AE192" s="23" t="s">
        <v>116</v>
      </c>
      <c r="AF192" s="23" t="s">
        <v>116</v>
      </c>
      <c r="AG192" s="23" t="s">
        <v>116</v>
      </c>
      <c r="AH192" s="23" t="s">
        <v>116</v>
      </c>
      <c r="AI192" s="52">
        <v>1300</v>
      </c>
      <c r="AJ192" s="51">
        <v>-1166</v>
      </c>
    </row>
    <row r="193" spans="1:36" x14ac:dyDescent="0.2">
      <c r="A193" s="47">
        <v>44753</v>
      </c>
      <c r="B193" s="48">
        <v>11</v>
      </c>
      <c r="C193" s="48">
        <v>192</v>
      </c>
      <c r="D193" s="48">
        <v>2</v>
      </c>
      <c r="E193" s="48" t="s">
        <v>13</v>
      </c>
      <c r="F193" s="48">
        <v>28</v>
      </c>
      <c r="G193" s="48">
        <v>7</v>
      </c>
      <c r="H193" s="48" t="s">
        <v>23</v>
      </c>
      <c r="I193" s="48">
        <v>3</v>
      </c>
      <c r="J193" s="49">
        <v>9</v>
      </c>
      <c r="K193" s="49">
        <v>56</v>
      </c>
      <c r="L193" s="49">
        <v>486</v>
      </c>
      <c r="M193" s="50">
        <v>0.33</v>
      </c>
      <c r="N193" s="49">
        <v>158</v>
      </c>
      <c r="O193" s="49">
        <v>328</v>
      </c>
      <c r="P193" s="50">
        <v>0.7</v>
      </c>
      <c r="Q193" s="50">
        <v>0.26</v>
      </c>
      <c r="R193" s="50">
        <v>0.47</v>
      </c>
      <c r="S193" s="50">
        <v>0.22</v>
      </c>
      <c r="T193" s="50">
        <v>0.03</v>
      </c>
      <c r="U193" s="49">
        <v>39</v>
      </c>
      <c r="V193" s="50">
        <v>0.18</v>
      </c>
      <c r="W193" s="50">
        <v>0.06</v>
      </c>
      <c r="X193" s="49">
        <f t="shared" si="6"/>
        <v>29.16</v>
      </c>
      <c r="Y193" s="49">
        <f t="shared" si="7"/>
        <v>106.92</v>
      </c>
      <c r="Z193" s="49">
        <f t="shared" si="8"/>
        <v>349.91999999999996</v>
      </c>
      <c r="AA193" s="23" t="s">
        <v>116</v>
      </c>
      <c r="AB193" s="23" t="s">
        <v>116</v>
      </c>
      <c r="AC193" s="23" t="s">
        <v>116</v>
      </c>
      <c r="AD193" s="23" t="s">
        <v>116</v>
      </c>
      <c r="AE193" s="23" t="s">
        <v>116</v>
      </c>
      <c r="AF193" s="23" t="s">
        <v>116</v>
      </c>
      <c r="AG193" s="23" t="s">
        <v>116</v>
      </c>
      <c r="AH193" s="23" t="s">
        <v>116</v>
      </c>
      <c r="AI193" s="52">
        <v>0</v>
      </c>
      <c r="AJ193" s="51">
        <v>328</v>
      </c>
    </row>
    <row r="194" spans="1:36" x14ac:dyDescent="0.2">
      <c r="A194" s="47">
        <v>44754</v>
      </c>
      <c r="B194" s="48">
        <v>12</v>
      </c>
      <c r="C194" s="48">
        <v>193</v>
      </c>
      <c r="D194" s="48">
        <v>3</v>
      </c>
      <c r="E194" s="48" t="s">
        <v>14</v>
      </c>
      <c r="F194" s="48">
        <v>28</v>
      </c>
      <c r="G194" s="48">
        <v>7</v>
      </c>
      <c r="H194" s="48" t="s">
        <v>23</v>
      </c>
      <c r="I194" s="48">
        <v>3</v>
      </c>
      <c r="J194" s="49">
        <v>11</v>
      </c>
      <c r="K194" s="49">
        <v>46</v>
      </c>
      <c r="L194" s="49">
        <v>489</v>
      </c>
      <c r="M194" s="50">
        <v>0.28999999999999998</v>
      </c>
      <c r="N194" s="49">
        <v>142</v>
      </c>
      <c r="O194" s="49">
        <v>346</v>
      </c>
      <c r="P194" s="50">
        <v>0.98</v>
      </c>
      <c r="Q194" s="50">
        <v>0.34</v>
      </c>
      <c r="R194" s="50">
        <v>0.42</v>
      </c>
      <c r="S194" s="50">
        <v>0.33</v>
      </c>
      <c r="T194" s="50">
        <v>0.03</v>
      </c>
      <c r="U194" s="49">
        <v>32</v>
      </c>
      <c r="V194" s="50">
        <v>0.28999999999999998</v>
      </c>
      <c r="W194" s="50">
        <v>0.06</v>
      </c>
      <c r="X194" s="49">
        <f t="shared" si="6"/>
        <v>29.34</v>
      </c>
      <c r="Y194" s="49">
        <f t="shared" si="7"/>
        <v>161.37</v>
      </c>
      <c r="Z194" s="49">
        <f t="shared" si="8"/>
        <v>298.28999999999996</v>
      </c>
      <c r="AA194" s="23" t="s">
        <v>116</v>
      </c>
      <c r="AB194" s="23" t="s">
        <v>116</v>
      </c>
      <c r="AC194" s="23" t="s">
        <v>116</v>
      </c>
      <c r="AD194" s="23" t="s">
        <v>116</v>
      </c>
      <c r="AE194" s="23" t="s">
        <v>116</v>
      </c>
      <c r="AF194" s="23">
        <v>480</v>
      </c>
      <c r="AG194" s="23" t="s">
        <v>116</v>
      </c>
      <c r="AH194" s="23" t="s">
        <v>116</v>
      </c>
      <c r="AI194" s="52">
        <v>480</v>
      </c>
      <c r="AJ194" s="51">
        <v>-134</v>
      </c>
    </row>
    <row r="195" spans="1:36" x14ac:dyDescent="0.2">
      <c r="A195" s="47">
        <v>44755</v>
      </c>
      <c r="B195" s="48">
        <v>13</v>
      </c>
      <c r="C195" s="48">
        <v>194</v>
      </c>
      <c r="D195" s="48">
        <v>4</v>
      </c>
      <c r="E195" s="48" t="s">
        <v>15</v>
      </c>
      <c r="F195" s="48">
        <v>28</v>
      </c>
      <c r="G195" s="48">
        <v>7</v>
      </c>
      <c r="H195" s="48" t="s">
        <v>23</v>
      </c>
      <c r="I195" s="48">
        <v>3</v>
      </c>
      <c r="J195" s="49">
        <v>8</v>
      </c>
      <c r="K195" s="49">
        <v>50</v>
      </c>
      <c r="L195" s="49">
        <v>410</v>
      </c>
      <c r="M195" s="50">
        <v>0.56999999999999995</v>
      </c>
      <c r="N195" s="49">
        <v>232</v>
      </c>
      <c r="O195" s="49">
        <v>178</v>
      </c>
      <c r="P195" s="50">
        <v>0.96</v>
      </c>
      <c r="Q195" s="50">
        <v>0.25</v>
      </c>
      <c r="R195" s="50">
        <v>0.81</v>
      </c>
      <c r="S195" s="50">
        <v>0.23</v>
      </c>
      <c r="T195" s="50">
        <v>0.03</v>
      </c>
      <c r="U195" s="49">
        <v>35</v>
      </c>
      <c r="V195" s="50">
        <v>0.31</v>
      </c>
      <c r="W195" s="50">
        <v>0.08</v>
      </c>
      <c r="X195" s="49">
        <f t="shared" ref="X195:X258" si="9">L195*W195</f>
        <v>32.799999999999997</v>
      </c>
      <c r="Y195" s="49">
        <f t="shared" ref="Y195:Y258" si="10">S195*L195</f>
        <v>94.3</v>
      </c>
      <c r="Z195" s="49">
        <f t="shared" ref="Z195:Z258" si="11">L195-(X195+Y195)</f>
        <v>282.89999999999998</v>
      </c>
      <c r="AA195" s="23" t="s">
        <v>116</v>
      </c>
      <c r="AB195" s="23" t="s">
        <v>116</v>
      </c>
      <c r="AC195" s="23" t="s">
        <v>116</v>
      </c>
      <c r="AD195" s="23" t="s">
        <v>116</v>
      </c>
      <c r="AE195" s="23" t="s">
        <v>116</v>
      </c>
      <c r="AF195" s="23" t="s">
        <v>116</v>
      </c>
      <c r="AG195" s="23" t="s">
        <v>116</v>
      </c>
      <c r="AH195" s="23" t="s">
        <v>116</v>
      </c>
      <c r="AI195" s="52">
        <v>0</v>
      </c>
      <c r="AJ195" s="51">
        <v>178</v>
      </c>
    </row>
    <row r="196" spans="1:36" x14ac:dyDescent="0.2">
      <c r="A196" s="47">
        <v>44756</v>
      </c>
      <c r="B196" s="48">
        <v>14</v>
      </c>
      <c r="C196" s="48">
        <v>195</v>
      </c>
      <c r="D196" s="48">
        <v>5</v>
      </c>
      <c r="E196" s="48" t="s">
        <v>16</v>
      </c>
      <c r="F196" s="48">
        <v>28</v>
      </c>
      <c r="G196" s="48">
        <v>7</v>
      </c>
      <c r="H196" s="48" t="s">
        <v>23</v>
      </c>
      <c r="I196" s="48">
        <v>3</v>
      </c>
      <c r="J196" s="49">
        <v>24</v>
      </c>
      <c r="K196" s="49">
        <v>61</v>
      </c>
      <c r="L196" s="49">
        <v>1429</v>
      </c>
      <c r="M196" s="50">
        <v>0.41</v>
      </c>
      <c r="N196" s="49">
        <v>591</v>
      </c>
      <c r="O196" s="49">
        <v>838</v>
      </c>
      <c r="P196" s="50">
        <v>0.71</v>
      </c>
      <c r="Q196" s="50">
        <v>0.71</v>
      </c>
      <c r="R196" s="50">
        <v>0.59</v>
      </c>
      <c r="S196" s="50">
        <v>0.56000000000000005</v>
      </c>
      <c r="T196" s="50">
        <v>0.01</v>
      </c>
      <c r="U196" s="49">
        <v>42</v>
      </c>
      <c r="V196" s="50">
        <v>0.2</v>
      </c>
      <c r="W196" s="50">
        <v>0.02</v>
      </c>
      <c r="X196" s="49">
        <f t="shared" si="9"/>
        <v>28.580000000000002</v>
      </c>
      <c r="Y196" s="49">
        <f t="shared" si="10"/>
        <v>800.24000000000012</v>
      </c>
      <c r="Z196" s="49">
        <f t="shared" si="11"/>
        <v>600.17999999999984</v>
      </c>
      <c r="AA196" s="23" t="s">
        <v>116</v>
      </c>
      <c r="AB196" s="23" t="s">
        <v>116</v>
      </c>
      <c r="AC196" s="23" t="s">
        <v>116</v>
      </c>
      <c r="AD196" s="23" t="s">
        <v>116</v>
      </c>
      <c r="AE196" s="23" t="s">
        <v>116</v>
      </c>
      <c r="AF196" s="23" t="s">
        <v>116</v>
      </c>
      <c r="AG196" s="23" t="s">
        <v>116</v>
      </c>
      <c r="AH196" s="23" t="s">
        <v>116</v>
      </c>
      <c r="AI196" s="52">
        <v>0</v>
      </c>
      <c r="AJ196" s="51">
        <v>838</v>
      </c>
    </row>
    <row r="197" spans="1:36" x14ac:dyDescent="0.2">
      <c r="A197" s="47">
        <v>44757</v>
      </c>
      <c r="B197" s="48">
        <v>15</v>
      </c>
      <c r="C197" s="48">
        <v>196</v>
      </c>
      <c r="D197" s="48">
        <v>6</v>
      </c>
      <c r="E197" s="48" t="s">
        <v>17</v>
      </c>
      <c r="F197" s="48">
        <v>28</v>
      </c>
      <c r="G197" s="48">
        <v>7</v>
      </c>
      <c r="H197" s="48" t="s">
        <v>23</v>
      </c>
      <c r="I197" s="48">
        <v>3</v>
      </c>
      <c r="J197" s="49">
        <v>24</v>
      </c>
      <c r="K197" s="49">
        <v>58</v>
      </c>
      <c r="L197" s="49">
        <v>1382</v>
      </c>
      <c r="M197" s="50">
        <v>0.76</v>
      </c>
      <c r="N197" s="49">
        <v>1051</v>
      </c>
      <c r="O197" s="49">
        <v>331</v>
      </c>
      <c r="P197" s="50">
        <v>1.32</v>
      </c>
      <c r="Q197" s="50">
        <v>0.69</v>
      </c>
      <c r="R197" s="50">
        <v>1.0900000000000001</v>
      </c>
      <c r="S197" s="50">
        <v>0.57999999999999996</v>
      </c>
      <c r="T197" s="50">
        <v>0.01</v>
      </c>
      <c r="U197" s="49">
        <v>41</v>
      </c>
      <c r="V197" s="50">
        <v>0.25</v>
      </c>
      <c r="W197" s="50">
        <v>0.04</v>
      </c>
      <c r="X197" s="49">
        <f t="shared" si="9"/>
        <v>55.28</v>
      </c>
      <c r="Y197" s="49">
        <f t="shared" si="10"/>
        <v>801.56</v>
      </c>
      <c r="Z197" s="49">
        <f t="shared" si="11"/>
        <v>525.16000000000008</v>
      </c>
      <c r="AA197" s="23" t="s">
        <v>116</v>
      </c>
      <c r="AB197" s="23" t="s">
        <v>116</v>
      </c>
      <c r="AC197" s="23">
        <v>300</v>
      </c>
      <c r="AD197" s="23" t="s">
        <v>116</v>
      </c>
      <c r="AE197" s="23" t="s">
        <v>116</v>
      </c>
      <c r="AF197" s="23" t="s">
        <v>116</v>
      </c>
      <c r="AG197" s="23" t="s">
        <v>116</v>
      </c>
      <c r="AH197" s="23" t="s">
        <v>116</v>
      </c>
      <c r="AI197" s="52">
        <v>300</v>
      </c>
      <c r="AJ197" s="51">
        <v>31</v>
      </c>
    </row>
    <row r="198" spans="1:36" x14ac:dyDescent="0.2">
      <c r="A198" s="47">
        <v>44758</v>
      </c>
      <c r="B198" s="48">
        <v>16</v>
      </c>
      <c r="C198" s="48">
        <v>197</v>
      </c>
      <c r="D198" s="48">
        <v>7</v>
      </c>
      <c r="E198" s="48" t="s">
        <v>10</v>
      </c>
      <c r="F198" s="48">
        <v>28</v>
      </c>
      <c r="G198" s="48">
        <v>7</v>
      </c>
      <c r="H198" s="48" t="s">
        <v>23</v>
      </c>
      <c r="I198" s="48">
        <v>3</v>
      </c>
      <c r="J198" s="49">
        <v>6</v>
      </c>
      <c r="K198" s="49">
        <v>67</v>
      </c>
      <c r="L198" s="49">
        <v>424</v>
      </c>
      <c r="M198" s="50">
        <v>0.68</v>
      </c>
      <c r="N198" s="49">
        <v>290</v>
      </c>
      <c r="O198" s="49">
        <v>134</v>
      </c>
      <c r="P198" s="50">
        <v>0.79</v>
      </c>
      <c r="Q198" s="50">
        <v>0.16</v>
      </c>
      <c r="R198" s="50">
        <v>0.98</v>
      </c>
      <c r="S198" s="50">
        <v>0.13</v>
      </c>
      <c r="T198" s="50">
        <v>0.03</v>
      </c>
      <c r="U198" s="49">
        <v>47</v>
      </c>
      <c r="V198" s="50">
        <v>0.19</v>
      </c>
      <c r="W198" s="50">
        <v>0.09</v>
      </c>
      <c r="X198" s="49">
        <f t="shared" si="9"/>
        <v>38.159999999999997</v>
      </c>
      <c r="Y198" s="49">
        <f t="shared" si="10"/>
        <v>55.120000000000005</v>
      </c>
      <c r="Z198" s="49">
        <f t="shared" si="11"/>
        <v>330.72</v>
      </c>
      <c r="AA198" s="23" t="s">
        <v>116</v>
      </c>
      <c r="AB198" s="23" t="s">
        <v>116</v>
      </c>
      <c r="AC198" s="23" t="s">
        <v>116</v>
      </c>
      <c r="AD198" s="23" t="s">
        <v>116</v>
      </c>
      <c r="AE198" s="23" t="s">
        <v>116</v>
      </c>
      <c r="AF198" s="23" t="s">
        <v>116</v>
      </c>
      <c r="AG198" s="23" t="s">
        <v>116</v>
      </c>
      <c r="AH198" s="23" t="s">
        <v>116</v>
      </c>
      <c r="AI198" s="52">
        <v>0</v>
      </c>
      <c r="AJ198" s="51">
        <v>134</v>
      </c>
    </row>
    <row r="199" spans="1:36" x14ac:dyDescent="0.2">
      <c r="A199" s="47">
        <v>44759</v>
      </c>
      <c r="B199" s="48">
        <v>17</v>
      </c>
      <c r="C199" s="48">
        <v>198</v>
      </c>
      <c r="D199" s="48">
        <v>1</v>
      </c>
      <c r="E199" s="48" t="s">
        <v>12</v>
      </c>
      <c r="F199" s="48">
        <v>29</v>
      </c>
      <c r="G199" s="48">
        <v>7</v>
      </c>
      <c r="H199" s="48" t="s">
        <v>23</v>
      </c>
      <c r="I199" s="48">
        <v>3</v>
      </c>
      <c r="J199" s="49">
        <v>8</v>
      </c>
      <c r="K199" s="49">
        <v>35</v>
      </c>
      <c r="L199" s="49">
        <v>294</v>
      </c>
      <c r="M199" s="50">
        <v>0.2</v>
      </c>
      <c r="N199" s="49">
        <v>60</v>
      </c>
      <c r="O199" s="49">
        <v>234</v>
      </c>
      <c r="P199" s="50">
        <v>0.85</v>
      </c>
      <c r="Q199" s="50">
        <v>0.5</v>
      </c>
      <c r="R199" s="50">
        <v>0.28999999999999998</v>
      </c>
      <c r="S199" s="50">
        <v>0.35</v>
      </c>
      <c r="T199" s="50">
        <v>0.1</v>
      </c>
      <c r="U199" s="49">
        <v>24</v>
      </c>
      <c r="V199" s="50">
        <v>0.14000000000000001</v>
      </c>
      <c r="W199" s="50">
        <v>7.0000000000000007E-2</v>
      </c>
      <c r="X199" s="49">
        <f t="shared" si="9"/>
        <v>20.580000000000002</v>
      </c>
      <c r="Y199" s="49">
        <f t="shared" si="10"/>
        <v>102.89999999999999</v>
      </c>
      <c r="Z199" s="49">
        <f t="shared" si="11"/>
        <v>170.52</v>
      </c>
      <c r="AA199" s="23" t="s">
        <v>116</v>
      </c>
      <c r="AB199" s="23">
        <v>1000</v>
      </c>
      <c r="AC199" s="23" t="s">
        <v>116</v>
      </c>
      <c r="AD199" s="23" t="s">
        <v>116</v>
      </c>
      <c r="AE199" s="23" t="s">
        <v>116</v>
      </c>
      <c r="AF199" s="23" t="s">
        <v>116</v>
      </c>
      <c r="AG199" s="23" t="s">
        <v>116</v>
      </c>
      <c r="AH199" s="23" t="s">
        <v>116</v>
      </c>
      <c r="AI199" s="52">
        <v>1000</v>
      </c>
      <c r="AJ199" s="51">
        <v>-766</v>
      </c>
    </row>
    <row r="200" spans="1:36" x14ac:dyDescent="0.2">
      <c r="A200" s="47">
        <v>44760</v>
      </c>
      <c r="B200" s="48">
        <v>18</v>
      </c>
      <c r="C200" s="48">
        <v>199</v>
      </c>
      <c r="D200" s="48">
        <v>2</v>
      </c>
      <c r="E200" s="48" t="s">
        <v>13</v>
      </c>
      <c r="F200" s="48">
        <v>29</v>
      </c>
      <c r="G200" s="48">
        <v>7</v>
      </c>
      <c r="H200" s="48" t="s">
        <v>23</v>
      </c>
      <c r="I200" s="48">
        <v>3</v>
      </c>
      <c r="J200" s="49">
        <v>16</v>
      </c>
      <c r="K200" s="49">
        <v>87</v>
      </c>
      <c r="L200" s="49">
        <v>1349</v>
      </c>
      <c r="M200" s="50">
        <v>0.45</v>
      </c>
      <c r="N200" s="49">
        <v>612</v>
      </c>
      <c r="O200" s="49">
        <v>736</v>
      </c>
      <c r="P200" s="50">
        <v>0.72</v>
      </c>
      <c r="Q200" s="50">
        <v>0.44</v>
      </c>
      <c r="R200" s="50">
        <v>0.65</v>
      </c>
      <c r="S200" s="50">
        <v>0.26</v>
      </c>
      <c r="T200" s="50">
        <v>0.01</v>
      </c>
      <c r="U200" s="49">
        <v>61</v>
      </c>
      <c r="V200" s="50">
        <v>0.1</v>
      </c>
      <c r="W200" s="50">
        <v>0.03</v>
      </c>
      <c r="X200" s="49">
        <f t="shared" si="9"/>
        <v>40.47</v>
      </c>
      <c r="Y200" s="49">
        <f t="shared" si="10"/>
        <v>350.74</v>
      </c>
      <c r="Z200" s="49">
        <f t="shared" si="11"/>
        <v>957.79</v>
      </c>
      <c r="AA200" s="23" t="s">
        <v>116</v>
      </c>
      <c r="AB200" s="23" t="s">
        <v>116</v>
      </c>
      <c r="AC200" s="23" t="s">
        <v>116</v>
      </c>
      <c r="AD200" s="23" t="s">
        <v>116</v>
      </c>
      <c r="AE200" s="23" t="s">
        <v>116</v>
      </c>
      <c r="AF200" s="23" t="s">
        <v>116</v>
      </c>
      <c r="AG200" s="23" t="s">
        <v>116</v>
      </c>
      <c r="AH200" s="23" t="s">
        <v>116</v>
      </c>
      <c r="AI200" s="52">
        <v>0</v>
      </c>
      <c r="AJ200" s="51">
        <v>736</v>
      </c>
    </row>
    <row r="201" spans="1:36" x14ac:dyDescent="0.2">
      <c r="A201" s="47">
        <v>44761</v>
      </c>
      <c r="B201" s="48">
        <v>19</v>
      </c>
      <c r="C201" s="48">
        <v>200</v>
      </c>
      <c r="D201" s="48">
        <v>3</v>
      </c>
      <c r="E201" s="48" t="s">
        <v>14</v>
      </c>
      <c r="F201" s="48">
        <v>29</v>
      </c>
      <c r="G201" s="48">
        <v>7</v>
      </c>
      <c r="H201" s="48" t="s">
        <v>23</v>
      </c>
      <c r="I201" s="48">
        <v>3</v>
      </c>
      <c r="J201" s="49">
        <v>11</v>
      </c>
      <c r="K201" s="49">
        <v>57</v>
      </c>
      <c r="L201" s="49">
        <v>603</v>
      </c>
      <c r="M201" s="50">
        <v>0.59</v>
      </c>
      <c r="N201" s="49">
        <v>358</v>
      </c>
      <c r="O201" s="49">
        <v>245</v>
      </c>
      <c r="P201" s="50">
        <v>1.1000000000000001</v>
      </c>
      <c r="Q201" s="50">
        <v>0.3</v>
      </c>
      <c r="R201" s="50">
        <v>0.85</v>
      </c>
      <c r="S201" s="50">
        <v>0.26</v>
      </c>
      <c r="T201" s="50">
        <v>0.02</v>
      </c>
      <c r="U201" s="49">
        <v>40</v>
      </c>
      <c r="V201" s="50">
        <v>0.13</v>
      </c>
      <c r="W201" s="50">
        <v>7.0000000000000007E-2</v>
      </c>
      <c r="X201" s="49">
        <f t="shared" si="9"/>
        <v>42.21</v>
      </c>
      <c r="Y201" s="49">
        <f t="shared" si="10"/>
        <v>156.78</v>
      </c>
      <c r="Z201" s="49">
        <f t="shared" si="11"/>
        <v>404.01</v>
      </c>
      <c r="AA201" s="23" t="s">
        <v>116</v>
      </c>
      <c r="AB201" s="23" t="s">
        <v>116</v>
      </c>
      <c r="AC201" s="23" t="s">
        <v>116</v>
      </c>
      <c r="AD201" s="23" t="s">
        <v>116</v>
      </c>
      <c r="AE201" s="23" t="s">
        <v>116</v>
      </c>
      <c r="AF201" s="23" t="s">
        <v>116</v>
      </c>
      <c r="AG201" s="23" t="s">
        <v>116</v>
      </c>
      <c r="AH201" s="23" t="s">
        <v>116</v>
      </c>
      <c r="AI201" s="52">
        <v>0</v>
      </c>
      <c r="AJ201" s="51">
        <v>245</v>
      </c>
    </row>
    <row r="202" spans="1:36" x14ac:dyDescent="0.2">
      <c r="A202" s="47">
        <v>44762</v>
      </c>
      <c r="B202" s="48">
        <v>20</v>
      </c>
      <c r="C202" s="48">
        <v>201</v>
      </c>
      <c r="D202" s="48">
        <v>4</v>
      </c>
      <c r="E202" s="48" t="s">
        <v>15</v>
      </c>
      <c r="F202" s="48">
        <v>29</v>
      </c>
      <c r="G202" s="48">
        <v>7</v>
      </c>
      <c r="H202" s="48" t="s">
        <v>23</v>
      </c>
      <c r="I202" s="48">
        <v>3</v>
      </c>
      <c r="J202" s="49">
        <v>5</v>
      </c>
      <c r="K202" s="49">
        <v>39</v>
      </c>
      <c r="L202" s="49">
        <v>210</v>
      </c>
      <c r="M202" s="50">
        <v>0.54</v>
      </c>
      <c r="N202" s="49">
        <v>113</v>
      </c>
      <c r="O202" s="49">
        <v>96</v>
      </c>
      <c r="P202" s="50">
        <v>1.77</v>
      </c>
      <c r="Q202" s="50">
        <v>0.18</v>
      </c>
      <c r="R202" s="50">
        <v>0.77</v>
      </c>
      <c r="S202" s="50">
        <v>0.2</v>
      </c>
      <c r="T202" s="50">
        <v>0.06</v>
      </c>
      <c r="U202" s="49">
        <v>27</v>
      </c>
      <c r="V202" s="50">
        <v>0.36</v>
      </c>
      <c r="W202" s="50">
        <v>0.23</v>
      </c>
      <c r="X202" s="49">
        <f t="shared" si="9"/>
        <v>48.300000000000004</v>
      </c>
      <c r="Y202" s="49">
        <f t="shared" si="10"/>
        <v>42</v>
      </c>
      <c r="Z202" s="49">
        <f t="shared" si="11"/>
        <v>119.69999999999999</v>
      </c>
      <c r="AA202" s="23" t="s">
        <v>116</v>
      </c>
      <c r="AB202" s="23" t="s">
        <v>116</v>
      </c>
      <c r="AC202" s="23" t="s">
        <v>116</v>
      </c>
      <c r="AD202" s="23" t="s">
        <v>116</v>
      </c>
      <c r="AE202" s="23">
        <v>100</v>
      </c>
      <c r="AF202" s="23" t="s">
        <v>116</v>
      </c>
      <c r="AG202" s="23" t="s">
        <v>116</v>
      </c>
      <c r="AH202" s="23" t="s">
        <v>116</v>
      </c>
      <c r="AI202" s="52">
        <v>100</v>
      </c>
      <c r="AJ202" s="51">
        <v>-4</v>
      </c>
    </row>
    <row r="203" spans="1:36" x14ac:dyDescent="0.2">
      <c r="A203" s="47">
        <v>44763</v>
      </c>
      <c r="B203" s="48">
        <v>21</v>
      </c>
      <c r="C203" s="48">
        <v>202</v>
      </c>
      <c r="D203" s="48">
        <v>5</v>
      </c>
      <c r="E203" s="48" t="s">
        <v>16</v>
      </c>
      <c r="F203" s="48">
        <v>29</v>
      </c>
      <c r="G203" s="48">
        <v>7</v>
      </c>
      <c r="H203" s="48" t="s">
        <v>23</v>
      </c>
      <c r="I203" s="48">
        <v>3</v>
      </c>
      <c r="J203" s="49">
        <v>6</v>
      </c>
      <c r="K203" s="49">
        <v>17</v>
      </c>
      <c r="L203" s="49">
        <v>100</v>
      </c>
      <c r="M203" s="50">
        <v>0.38</v>
      </c>
      <c r="N203" s="49">
        <v>38</v>
      </c>
      <c r="O203" s="49">
        <v>62</v>
      </c>
      <c r="P203" s="50">
        <v>2</v>
      </c>
      <c r="Q203" s="50">
        <v>0.16</v>
      </c>
      <c r="R203" s="50">
        <v>0.55000000000000004</v>
      </c>
      <c r="S203" s="50">
        <v>0.49</v>
      </c>
      <c r="T203" s="50">
        <v>0.13</v>
      </c>
      <c r="U203" s="49">
        <v>12</v>
      </c>
      <c r="V203" s="50">
        <v>0.38</v>
      </c>
      <c r="W203" s="50">
        <v>0.24</v>
      </c>
      <c r="X203" s="49">
        <f t="shared" si="9"/>
        <v>24</v>
      </c>
      <c r="Y203" s="49">
        <f t="shared" si="10"/>
        <v>49</v>
      </c>
      <c r="Z203" s="49">
        <f t="shared" si="11"/>
        <v>27</v>
      </c>
      <c r="AA203" s="23" t="s">
        <v>116</v>
      </c>
      <c r="AB203" s="23" t="s">
        <v>116</v>
      </c>
      <c r="AC203" s="23" t="s">
        <v>116</v>
      </c>
      <c r="AD203" s="23" t="s">
        <v>116</v>
      </c>
      <c r="AE203" s="23" t="s">
        <v>116</v>
      </c>
      <c r="AF203" s="23" t="s">
        <v>116</v>
      </c>
      <c r="AG203" s="23" t="s">
        <v>116</v>
      </c>
      <c r="AH203" s="23" t="s">
        <v>116</v>
      </c>
      <c r="AI203" s="52">
        <v>0</v>
      </c>
      <c r="AJ203" s="51">
        <v>62</v>
      </c>
    </row>
    <row r="204" spans="1:36" x14ac:dyDescent="0.2">
      <c r="A204" s="47">
        <v>44764</v>
      </c>
      <c r="B204" s="48">
        <v>22</v>
      </c>
      <c r="C204" s="48">
        <v>203</v>
      </c>
      <c r="D204" s="48">
        <v>6</v>
      </c>
      <c r="E204" s="48" t="s">
        <v>17</v>
      </c>
      <c r="F204" s="48">
        <v>29</v>
      </c>
      <c r="G204" s="48">
        <v>7</v>
      </c>
      <c r="H204" s="48" t="s">
        <v>23</v>
      </c>
      <c r="I204" s="48">
        <v>3</v>
      </c>
      <c r="J204" s="49">
        <v>10</v>
      </c>
      <c r="K204" s="49">
        <v>88</v>
      </c>
      <c r="L204" s="49">
        <v>923</v>
      </c>
      <c r="M204" s="50">
        <v>0.59</v>
      </c>
      <c r="N204" s="49">
        <v>547</v>
      </c>
      <c r="O204" s="49">
        <v>376</v>
      </c>
      <c r="P204" s="50">
        <v>0.53</v>
      </c>
      <c r="Q204" s="50">
        <v>0.27</v>
      </c>
      <c r="R204" s="50">
        <v>0.85</v>
      </c>
      <c r="S204" s="50">
        <v>0.17</v>
      </c>
      <c r="T204" s="50">
        <v>0.01</v>
      </c>
      <c r="U204" s="49">
        <v>62</v>
      </c>
      <c r="V204" s="50">
        <v>0.13</v>
      </c>
      <c r="W204" s="50">
        <v>0.04</v>
      </c>
      <c r="X204" s="49">
        <f t="shared" si="9"/>
        <v>36.92</v>
      </c>
      <c r="Y204" s="49">
        <f t="shared" si="10"/>
        <v>156.91000000000003</v>
      </c>
      <c r="Z204" s="49">
        <f t="shared" si="11"/>
        <v>729.17</v>
      </c>
      <c r="AA204" s="23" t="s">
        <v>116</v>
      </c>
      <c r="AB204" s="23" t="s">
        <v>116</v>
      </c>
      <c r="AC204" s="23" t="s">
        <v>116</v>
      </c>
      <c r="AD204" s="23" t="s">
        <v>116</v>
      </c>
      <c r="AE204" s="23" t="s">
        <v>116</v>
      </c>
      <c r="AF204" s="23" t="s">
        <v>116</v>
      </c>
      <c r="AG204" s="23" t="s">
        <v>116</v>
      </c>
      <c r="AH204" s="23" t="s">
        <v>116</v>
      </c>
      <c r="AI204" s="52">
        <v>0</v>
      </c>
      <c r="AJ204" s="51">
        <v>376</v>
      </c>
    </row>
    <row r="205" spans="1:36" x14ac:dyDescent="0.2">
      <c r="A205" s="47">
        <v>44765</v>
      </c>
      <c r="B205" s="48">
        <v>23</v>
      </c>
      <c r="C205" s="48">
        <v>204</v>
      </c>
      <c r="D205" s="48">
        <v>7</v>
      </c>
      <c r="E205" s="48" t="s">
        <v>10</v>
      </c>
      <c r="F205" s="48">
        <v>29</v>
      </c>
      <c r="G205" s="48">
        <v>7</v>
      </c>
      <c r="H205" s="48" t="s">
        <v>23</v>
      </c>
      <c r="I205" s="48">
        <v>3</v>
      </c>
      <c r="J205" s="49">
        <v>11</v>
      </c>
      <c r="K205" s="49">
        <v>60</v>
      </c>
      <c r="L205" s="49">
        <v>664</v>
      </c>
      <c r="M205" s="50">
        <v>0.27</v>
      </c>
      <c r="N205" s="49">
        <v>176</v>
      </c>
      <c r="O205" s="49">
        <v>488</v>
      </c>
      <c r="P205" s="50">
        <v>1.07</v>
      </c>
      <c r="Q205" s="50">
        <v>0.28999999999999998</v>
      </c>
      <c r="R205" s="50">
        <v>0.38</v>
      </c>
      <c r="S205" s="50">
        <v>0.26</v>
      </c>
      <c r="T205" s="50">
        <v>0.02</v>
      </c>
      <c r="U205" s="49">
        <v>42</v>
      </c>
      <c r="V205" s="50">
        <v>0.28999999999999998</v>
      </c>
      <c r="W205" s="50">
        <v>7.0000000000000007E-2</v>
      </c>
      <c r="X205" s="49">
        <f t="shared" si="9"/>
        <v>46.480000000000004</v>
      </c>
      <c r="Y205" s="49">
        <f t="shared" si="10"/>
        <v>172.64000000000001</v>
      </c>
      <c r="Z205" s="49">
        <f t="shared" si="11"/>
        <v>444.88</v>
      </c>
      <c r="AA205" s="23" t="s">
        <v>116</v>
      </c>
      <c r="AB205" s="23" t="s">
        <v>116</v>
      </c>
      <c r="AC205" s="23" t="s">
        <v>116</v>
      </c>
      <c r="AD205" s="23" t="s">
        <v>116</v>
      </c>
      <c r="AE205" s="23" t="s">
        <v>116</v>
      </c>
      <c r="AF205" s="23" t="s">
        <v>116</v>
      </c>
      <c r="AG205" s="23" t="s">
        <v>116</v>
      </c>
      <c r="AH205" s="23" t="s">
        <v>116</v>
      </c>
      <c r="AI205" s="52">
        <v>0</v>
      </c>
      <c r="AJ205" s="51">
        <v>488</v>
      </c>
    </row>
    <row r="206" spans="1:36" x14ac:dyDescent="0.2">
      <c r="A206" s="47">
        <v>44766</v>
      </c>
      <c r="B206" s="48">
        <v>24</v>
      </c>
      <c r="C206" s="48">
        <v>205</v>
      </c>
      <c r="D206" s="48">
        <v>1</v>
      </c>
      <c r="E206" s="48" t="s">
        <v>12</v>
      </c>
      <c r="F206" s="48">
        <v>30</v>
      </c>
      <c r="G206" s="48">
        <v>7</v>
      </c>
      <c r="H206" s="48" t="s">
        <v>23</v>
      </c>
      <c r="I206" s="48">
        <v>3</v>
      </c>
      <c r="J206" s="49">
        <v>4</v>
      </c>
      <c r="K206" s="49">
        <v>8</v>
      </c>
      <c r="L206" s="49">
        <v>30</v>
      </c>
      <c r="M206" s="50">
        <v>0.13</v>
      </c>
      <c r="N206" s="49">
        <v>4</v>
      </c>
      <c r="O206" s="49">
        <v>26</v>
      </c>
      <c r="P206" s="50">
        <v>4.57</v>
      </c>
      <c r="Q206" s="50">
        <v>0.27</v>
      </c>
      <c r="R206" s="50">
        <v>0.18</v>
      </c>
      <c r="S206" s="50">
        <v>0.69</v>
      </c>
      <c r="T206" s="50">
        <v>0.94</v>
      </c>
      <c r="U206" s="49">
        <v>6</v>
      </c>
      <c r="V206" s="50">
        <v>0.68</v>
      </c>
      <c r="W206" s="50">
        <v>0.83</v>
      </c>
      <c r="X206" s="49">
        <f t="shared" si="9"/>
        <v>24.9</v>
      </c>
      <c r="Y206" s="49">
        <f t="shared" si="10"/>
        <v>20.7</v>
      </c>
      <c r="Z206" s="49">
        <f t="shared" si="11"/>
        <v>-15.599999999999994</v>
      </c>
      <c r="AA206" s="23" t="s">
        <v>116</v>
      </c>
      <c r="AB206" s="23">
        <v>1000</v>
      </c>
      <c r="AC206" s="23" t="s">
        <v>116</v>
      </c>
      <c r="AD206" s="23" t="s">
        <v>116</v>
      </c>
      <c r="AE206" s="23" t="s">
        <v>116</v>
      </c>
      <c r="AF206" s="23" t="s">
        <v>116</v>
      </c>
      <c r="AG206" s="23" t="s">
        <v>116</v>
      </c>
      <c r="AH206" s="23" t="s">
        <v>116</v>
      </c>
      <c r="AI206" s="52">
        <v>1000</v>
      </c>
      <c r="AJ206" s="51">
        <v>-974</v>
      </c>
    </row>
    <row r="207" spans="1:36" x14ac:dyDescent="0.2">
      <c r="A207" s="47">
        <v>44767</v>
      </c>
      <c r="B207" s="48">
        <v>25</v>
      </c>
      <c r="C207" s="48">
        <v>206</v>
      </c>
      <c r="D207" s="48">
        <v>2</v>
      </c>
      <c r="E207" s="48" t="s">
        <v>13</v>
      </c>
      <c r="F207" s="48">
        <v>30</v>
      </c>
      <c r="G207" s="48">
        <v>7</v>
      </c>
      <c r="H207" s="48" t="s">
        <v>23</v>
      </c>
      <c r="I207" s="48">
        <v>3</v>
      </c>
      <c r="J207" s="49">
        <v>17</v>
      </c>
      <c r="K207" s="49">
        <v>33</v>
      </c>
      <c r="L207" s="49">
        <v>578</v>
      </c>
      <c r="M207" s="50">
        <v>0.45</v>
      </c>
      <c r="N207" s="49">
        <v>258</v>
      </c>
      <c r="O207" s="49">
        <v>320</v>
      </c>
      <c r="P207" s="50">
        <v>1.4</v>
      </c>
      <c r="Q207" s="50">
        <v>0.47</v>
      </c>
      <c r="R207" s="50">
        <v>0.64</v>
      </c>
      <c r="S207" s="50">
        <v>0.76</v>
      </c>
      <c r="T207" s="50">
        <v>0.02</v>
      </c>
      <c r="U207" s="49">
        <v>23</v>
      </c>
      <c r="V207" s="50">
        <v>0.48</v>
      </c>
      <c r="W207" s="50">
        <v>0.06</v>
      </c>
      <c r="X207" s="49">
        <f t="shared" si="9"/>
        <v>34.68</v>
      </c>
      <c r="Y207" s="49">
        <f t="shared" si="10"/>
        <v>439.28000000000003</v>
      </c>
      <c r="Z207" s="49">
        <f t="shared" si="11"/>
        <v>104.03999999999996</v>
      </c>
      <c r="AA207" s="23" t="s">
        <v>116</v>
      </c>
      <c r="AB207" s="23" t="s">
        <v>116</v>
      </c>
      <c r="AC207" s="23" t="s">
        <v>116</v>
      </c>
      <c r="AD207" s="23" t="s">
        <v>116</v>
      </c>
      <c r="AE207" s="23" t="s">
        <v>116</v>
      </c>
      <c r="AF207" s="23" t="s">
        <v>116</v>
      </c>
      <c r="AG207" s="23">
        <v>83</v>
      </c>
      <c r="AH207" s="23" t="s">
        <v>116</v>
      </c>
      <c r="AI207" s="52">
        <v>83</v>
      </c>
      <c r="AJ207" s="51">
        <v>237</v>
      </c>
    </row>
    <row r="208" spans="1:36" x14ac:dyDescent="0.2">
      <c r="A208" s="47">
        <v>44768</v>
      </c>
      <c r="B208" s="48">
        <v>26</v>
      </c>
      <c r="C208" s="48">
        <v>207</v>
      </c>
      <c r="D208" s="48">
        <v>3</v>
      </c>
      <c r="E208" s="48" t="s">
        <v>14</v>
      </c>
      <c r="F208" s="48">
        <v>30</v>
      </c>
      <c r="G208" s="48">
        <v>7</v>
      </c>
      <c r="H208" s="48" t="s">
        <v>23</v>
      </c>
      <c r="I208" s="48">
        <v>3</v>
      </c>
      <c r="J208" s="49">
        <v>8</v>
      </c>
      <c r="K208" s="49">
        <v>34</v>
      </c>
      <c r="L208" s="49">
        <v>287</v>
      </c>
      <c r="M208" s="50">
        <v>0.42</v>
      </c>
      <c r="N208" s="49">
        <v>119</v>
      </c>
      <c r="O208" s="49">
        <v>168</v>
      </c>
      <c r="P208" s="50">
        <v>1.93</v>
      </c>
      <c r="Q208" s="50">
        <v>0.25</v>
      </c>
      <c r="R208" s="50">
        <v>0.59</v>
      </c>
      <c r="S208" s="50">
        <v>0.35</v>
      </c>
      <c r="T208" s="50">
        <v>0.05</v>
      </c>
      <c r="U208" s="49">
        <v>24</v>
      </c>
      <c r="V208" s="50">
        <v>0.38</v>
      </c>
      <c r="W208" s="50">
        <v>0.16</v>
      </c>
      <c r="X208" s="49">
        <f t="shared" si="9"/>
        <v>45.92</v>
      </c>
      <c r="Y208" s="49">
        <f t="shared" si="10"/>
        <v>100.44999999999999</v>
      </c>
      <c r="Z208" s="49">
        <f t="shared" si="11"/>
        <v>140.63</v>
      </c>
      <c r="AA208" s="23" t="s">
        <v>116</v>
      </c>
      <c r="AB208" s="23" t="s">
        <v>116</v>
      </c>
      <c r="AC208" s="23" t="s">
        <v>116</v>
      </c>
      <c r="AD208" s="23" t="s">
        <v>116</v>
      </c>
      <c r="AE208" s="23" t="s">
        <v>116</v>
      </c>
      <c r="AF208" s="23" t="s">
        <v>116</v>
      </c>
      <c r="AG208" s="23" t="s">
        <v>116</v>
      </c>
      <c r="AH208" s="23" t="s">
        <v>116</v>
      </c>
      <c r="AI208" s="52">
        <v>0</v>
      </c>
      <c r="AJ208" s="51">
        <v>168</v>
      </c>
    </row>
    <row r="209" spans="1:36" x14ac:dyDescent="0.2">
      <c r="A209" s="47">
        <v>44769</v>
      </c>
      <c r="B209" s="48">
        <v>27</v>
      </c>
      <c r="C209" s="48">
        <v>208</v>
      </c>
      <c r="D209" s="48">
        <v>4</v>
      </c>
      <c r="E209" s="48" t="s">
        <v>15</v>
      </c>
      <c r="F209" s="48">
        <v>30</v>
      </c>
      <c r="G209" s="48">
        <v>7</v>
      </c>
      <c r="H209" s="48" t="s">
        <v>23</v>
      </c>
      <c r="I209" s="48">
        <v>3</v>
      </c>
      <c r="J209" s="49">
        <v>16</v>
      </c>
      <c r="K209" s="49">
        <v>43</v>
      </c>
      <c r="L209" s="49">
        <v>689</v>
      </c>
      <c r="M209" s="50">
        <v>0.65</v>
      </c>
      <c r="N209" s="49">
        <v>445</v>
      </c>
      <c r="O209" s="49">
        <v>243</v>
      </c>
      <c r="P209" s="50">
        <v>1.59</v>
      </c>
      <c r="Q209" s="50">
        <v>0.54</v>
      </c>
      <c r="R209" s="50">
        <v>0.92</v>
      </c>
      <c r="S209" s="50">
        <v>0.52</v>
      </c>
      <c r="T209" s="50">
        <v>0.02</v>
      </c>
      <c r="U209" s="49">
        <v>30</v>
      </c>
      <c r="V209" s="50">
        <v>0.31</v>
      </c>
      <c r="W209" s="50">
        <v>7.0000000000000007E-2</v>
      </c>
      <c r="X209" s="49">
        <f t="shared" si="9"/>
        <v>48.230000000000004</v>
      </c>
      <c r="Y209" s="49">
        <f t="shared" si="10"/>
        <v>358.28000000000003</v>
      </c>
      <c r="Z209" s="49">
        <f t="shared" si="11"/>
        <v>282.48999999999995</v>
      </c>
      <c r="AA209" s="23" t="s">
        <v>116</v>
      </c>
      <c r="AB209" s="23" t="s">
        <v>116</v>
      </c>
      <c r="AC209" s="23" t="s">
        <v>116</v>
      </c>
      <c r="AD209" s="23" t="s">
        <v>116</v>
      </c>
      <c r="AE209" s="23" t="s">
        <v>116</v>
      </c>
      <c r="AF209" s="23" t="s">
        <v>116</v>
      </c>
      <c r="AG209" s="23" t="s">
        <v>116</v>
      </c>
      <c r="AH209" s="23" t="s">
        <v>116</v>
      </c>
      <c r="AI209" s="52">
        <v>0</v>
      </c>
      <c r="AJ209" s="51">
        <v>243</v>
      </c>
    </row>
    <row r="210" spans="1:36" x14ac:dyDescent="0.2">
      <c r="A210" s="47">
        <v>44770</v>
      </c>
      <c r="B210" s="48">
        <v>28</v>
      </c>
      <c r="C210" s="48">
        <v>209</v>
      </c>
      <c r="D210" s="48">
        <v>5</v>
      </c>
      <c r="E210" s="48" t="s">
        <v>16</v>
      </c>
      <c r="F210" s="48">
        <v>30</v>
      </c>
      <c r="G210" s="48">
        <v>7</v>
      </c>
      <c r="H210" s="48" t="s">
        <v>23</v>
      </c>
      <c r="I210" s="48">
        <v>3</v>
      </c>
      <c r="J210" s="49">
        <v>15</v>
      </c>
      <c r="K210" s="49">
        <v>9</v>
      </c>
      <c r="L210" s="49">
        <v>146</v>
      </c>
      <c r="M210" s="50">
        <v>0.32</v>
      </c>
      <c r="N210" s="49">
        <v>47</v>
      </c>
      <c r="O210" s="49">
        <v>98</v>
      </c>
      <c r="P210" s="50">
        <v>4.08</v>
      </c>
      <c r="Q210" s="50">
        <v>0.43</v>
      </c>
      <c r="R210" s="50">
        <v>0.46</v>
      </c>
      <c r="S210" s="50">
        <v>2.34</v>
      </c>
      <c r="T210" s="50">
        <v>0.09</v>
      </c>
      <c r="U210" s="49">
        <v>7</v>
      </c>
      <c r="V210" s="50">
        <v>1.35</v>
      </c>
      <c r="W210" s="50">
        <v>0.18</v>
      </c>
      <c r="X210" s="49">
        <f t="shared" si="9"/>
        <v>26.279999999999998</v>
      </c>
      <c r="Y210" s="49">
        <f t="shared" si="10"/>
        <v>341.64</v>
      </c>
      <c r="Z210" s="49">
        <f t="shared" si="11"/>
        <v>-221.91999999999996</v>
      </c>
      <c r="AA210" s="23" t="s">
        <v>116</v>
      </c>
      <c r="AB210" s="23" t="s">
        <v>116</v>
      </c>
      <c r="AC210" s="23" t="s">
        <v>116</v>
      </c>
      <c r="AD210" s="23" t="s">
        <v>116</v>
      </c>
      <c r="AE210" s="23" t="s">
        <v>116</v>
      </c>
      <c r="AF210" s="23" t="s">
        <v>116</v>
      </c>
      <c r="AG210" s="23" t="s">
        <v>116</v>
      </c>
      <c r="AH210" s="23" t="s">
        <v>116</v>
      </c>
      <c r="AI210" s="52">
        <v>0</v>
      </c>
      <c r="AJ210" s="51">
        <v>98</v>
      </c>
    </row>
    <row r="211" spans="1:36" x14ac:dyDescent="0.2">
      <c r="A211" s="47">
        <v>44771</v>
      </c>
      <c r="B211" s="48">
        <v>29</v>
      </c>
      <c r="C211" s="48">
        <v>210</v>
      </c>
      <c r="D211" s="48">
        <v>6</v>
      </c>
      <c r="E211" s="48" t="s">
        <v>17</v>
      </c>
      <c r="F211" s="48">
        <v>30</v>
      </c>
      <c r="G211" s="48">
        <v>7</v>
      </c>
      <c r="H211" s="48" t="s">
        <v>23</v>
      </c>
      <c r="I211" s="48">
        <v>3</v>
      </c>
      <c r="J211" s="49">
        <v>24</v>
      </c>
      <c r="K211" s="49">
        <v>76</v>
      </c>
      <c r="L211" s="49">
        <v>1834</v>
      </c>
      <c r="M211" s="50">
        <v>0.54</v>
      </c>
      <c r="N211" s="49">
        <v>996</v>
      </c>
      <c r="O211" s="49">
        <v>837</v>
      </c>
      <c r="P211" s="50">
        <v>0.69</v>
      </c>
      <c r="Q211" s="50">
        <v>0.96</v>
      </c>
      <c r="R211" s="50">
        <v>0.78</v>
      </c>
      <c r="S211" s="50">
        <v>0.45</v>
      </c>
      <c r="T211" s="50">
        <v>0.01</v>
      </c>
      <c r="U211" s="49">
        <v>54</v>
      </c>
      <c r="V211" s="50">
        <v>0.14000000000000001</v>
      </c>
      <c r="W211" s="50">
        <v>0.02</v>
      </c>
      <c r="X211" s="49">
        <f t="shared" si="9"/>
        <v>36.68</v>
      </c>
      <c r="Y211" s="49">
        <f t="shared" si="10"/>
        <v>825.30000000000007</v>
      </c>
      <c r="Z211" s="49">
        <f t="shared" si="11"/>
        <v>972.02</v>
      </c>
      <c r="AA211" s="23" t="s">
        <v>116</v>
      </c>
      <c r="AB211" s="23" t="s">
        <v>116</v>
      </c>
      <c r="AC211" s="23" t="s">
        <v>116</v>
      </c>
      <c r="AD211" s="23" t="s">
        <v>116</v>
      </c>
      <c r="AE211" s="23" t="s">
        <v>116</v>
      </c>
      <c r="AF211" s="23" t="s">
        <v>116</v>
      </c>
      <c r="AG211" s="23" t="s">
        <v>116</v>
      </c>
      <c r="AH211" s="23" t="s">
        <v>116</v>
      </c>
      <c r="AI211" s="52">
        <v>0</v>
      </c>
      <c r="AJ211" s="51">
        <v>837</v>
      </c>
    </row>
    <row r="212" spans="1:36" x14ac:dyDescent="0.2">
      <c r="A212" s="47">
        <v>44772</v>
      </c>
      <c r="B212" s="48">
        <v>30</v>
      </c>
      <c r="C212" s="48">
        <v>211</v>
      </c>
      <c r="D212" s="48">
        <v>7</v>
      </c>
      <c r="E212" s="48" t="s">
        <v>10</v>
      </c>
      <c r="F212" s="48">
        <v>30</v>
      </c>
      <c r="G212" s="48">
        <v>7</v>
      </c>
      <c r="H212" s="48" t="s">
        <v>23</v>
      </c>
      <c r="I212" s="48">
        <v>3</v>
      </c>
      <c r="J212" s="49">
        <v>12</v>
      </c>
      <c r="K212" s="49">
        <v>72</v>
      </c>
      <c r="L212" s="49">
        <v>877</v>
      </c>
      <c r="M212" s="50">
        <v>0.54</v>
      </c>
      <c r="N212" s="49">
        <v>475</v>
      </c>
      <c r="O212" s="49">
        <v>402</v>
      </c>
      <c r="P212" s="50">
        <v>0.85</v>
      </c>
      <c r="Q212" s="50">
        <v>0.32</v>
      </c>
      <c r="R212" s="50">
        <v>0.77</v>
      </c>
      <c r="S212" s="50">
        <v>0.24</v>
      </c>
      <c r="T212" s="50">
        <v>0.01</v>
      </c>
      <c r="U212" s="49">
        <v>51</v>
      </c>
      <c r="V212" s="50">
        <v>0.22</v>
      </c>
      <c r="W212" s="50">
        <v>0.05</v>
      </c>
      <c r="X212" s="49">
        <f t="shared" si="9"/>
        <v>43.85</v>
      </c>
      <c r="Y212" s="49">
        <f t="shared" si="10"/>
        <v>210.48</v>
      </c>
      <c r="Z212" s="49">
        <f t="shared" si="11"/>
        <v>622.67000000000007</v>
      </c>
      <c r="AA212" s="23" t="s">
        <v>116</v>
      </c>
      <c r="AB212" s="23" t="s">
        <v>116</v>
      </c>
      <c r="AC212" s="23" t="s">
        <v>116</v>
      </c>
      <c r="AD212" s="23" t="s">
        <v>116</v>
      </c>
      <c r="AE212" s="23" t="s">
        <v>116</v>
      </c>
      <c r="AF212" s="23" t="s">
        <v>116</v>
      </c>
      <c r="AG212" s="23" t="s">
        <v>116</v>
      </c>
      <c r="AH212" s="23" t="s">
        <v>116</v>
      </c>
      <c r="AI212" s="52">
        <v>0</v>
      </c>
      <c r="AJ212" s="51">
        <v>402</v>
      </c>
    </row>
    <row r="213" spans="1:36" x14ac:dyDescent="0.2">
      <c r="A213" s="47">
        <v>44773</v>
      </c>
      <c r="B213" s="48">
        <v>31</v>
      </c>
      <c r="C213" s="48">
        <v>212</v>
      </c>
      <c r="D213" s="48">
        <v>1</v>
      </c>
      <c r="E213" s="48" t="s">
        <v>12</v>
      </c>
      <c r="F213" s="48">
        <v>31</v>
      </c>
      <c r="G213" s="48">
        <v>7</v>
      </c>
      <c r="H213" s="48" t="s">
        <v>23</v>
      </c>
      <c r="I213" s="48">
        <v>3</v>
      </c>
      <c r="J213" s="49">
        <v>10</v>
      </c>
      <c r="K213" s="49">
        <v>33</v>
      </c>
      <c r="L213" s="49">
        <v>345</v>
      </c>
      <c r="M213" s="50">
        <v>0.25</v>
      </c>
      <c r="N213" s="49">
        <v>87</v>
      </c>
      <c r="O213" s="49">
        <v>258</v>
      </c>
      <c r="P213" s="50">
        <v>0.89</v>
      </c>
      <c r="Q213" s="50">
        <v>0.56000000000000005</v>
      </c>
      <c r="R213" s="50">
        <v>0.36</v>
      </c>
      <c r="S213" s="50">
        <v>0.45</v>
      </c>
      <c r="T213" s="50">
        <v>0.08</v>
      </c>
      <c r="U213" s="49">
        <v>23</v>
      </c>
      <c r="V213" s="50">
        <v>0.23</v>
      </c>
      <c r="W213" s="50">
        <v>0.06</v>
      </c>
      <c r="X213" s="49">
        <f t="shared" si="9"/>
        <v>20.7</v>
      </c>
      <c r="Y213" s="49">
        <f t="shared" si="10"/>
        <v>155.25</v>
      </c>
      <c r="Z213" s="49">
        <f t="shared" si="11"/>
        <v>169.05</v>
      </c>
      <c r="AA213" s="23" t="s">
        <v>116</v>
      </c>
      <c r="AB213" s="23">
        <v>1000</v>
      </c>
      <c r="AC213" s="23" t="s">
        <v>116</v>
      </c>
      <c r="AD213" s="23" t="s">
        <v>116</v>
      </c>
      <c r="AE213" s="23" t="s">
        <v>116</v>
      </c>
      <c r="AF213" s="23" t="s">
        <v>116</v>
      </c>
      <c r="AG213" s="23" t="s">
        <v>116</v>
      </c>
      <c r="AH213" s="23" t="s">
        <v>116</v>
      </c>
      <c r="AI213" s="52">
        <v>1000</v>
      </c>
      <c r="AJ213" s="51">
        <v>-742</v>
      </c>
    </row>
    <row r="214" spans="1:36" x14ac:dyDescent="0.2">
      <c r="A214" s="47">
        <v>44774</v>
      </c>
      <c r="B214" s="48">
        <v>1</v>
      </c>
      <c r="C214" s="48">
        <v>213</v>
      </c>
      <c r="D214" s="48">
        <v>2</v>
      </c>
      <c r="E214" s="48" t="s">
        <v>13</v>
      </c>
      <c r="F214" s="48">
        <v>31</v>
      </c>
      <c r="G214" s="48">
        <v>8</v>
      </c>
      <c r="H214" s="48" t="s">
        <v>24</v>
      </c>
      <c r="I214" s="48">
        <v>3</v>
      </c>
      <c r="J214" s="49">
        <v>18</v>
      </c>
      <c r="K214" s="49">
        <v>51</v>
      </c>
      <c r="L214" s="49">
        <v>941</v>
      </c>
      <c r="M214" s="50">
        <v>0.31</v>
      </c>
      <c r="N214" s="49">
        <v>292</v>
      </c>
      <c r="O214" s="49">
        <v>649</v>
      </c>
      <c r="P214" s="50">
        <v>0.88</v>
      </c>
      <c r="Q214" s="50">
        <v>0.48</v>
      </c>
      <c r="R214" s="50">
        <v>0.44</v>
      </c>
      <c r="S214" s="50">
        <v>0.51</v>
      </c>
      <c r="T214" s="50">
        <v>0.01</v>
      </c>
      <c r="U214" s="49">
        <v>36</v>
      </c>
      <c r="V214" s="50">
        <v>0.19</v>
      </c>
      <c r="W214" s="50">
        <v>0.03</v>
      </c>
      <c r="X214" s="49">
        <f t="shared" si="9"/>
        <v>28.23</v>
      </c>
      <c r="Y214" s="49">
        <f t="shared" si="10"/>
        <v>479.91</v>
      </c>
      <c r="Z214" s="49">
        <f t="shared" si="11"/>
        <v>432.85999999999996</v>
      </c>
      <c r="AA214" s="23">
        <v>3000</v>
      </c>
      <c r="AB214" s="23" t="s">
        <v>116</v>
      </c>
      <c r="AC214" s="23" t="s">
        <v>116</v>
      </c>
      <c r="AD214" s="23" t="s">
        <v>116</v>
      </c>
      <c r="AE214" s="23" t="s">
        <v>116</v>
      </c>
      <c r="AF214" s="23" t="s">
        <v>116</v>
      </c>
      <c r="AG214" s="23" t="s">
        <v>116</v>
      </c>
      <c r="AH214" s="23" t="s">
        <v>116</v>
      </c>
      <c r="AI214" s="52">
        <v>3000</v>
      </c>
      <c r="AJ214" s="51">
        <v>-2351</v>
      </c>
    </row>
    <row r="215" spans="1:36" x14ac:dyDescent="0.2">
      <c r="A215" s="47">
        <v>44775</v>
      </c>
      <c r="B215" s="48">
        <v>2</v>
      </c>
      <c r="C215" s="48">
        <v>214</v>
      </c>
      <c r="D215" s="48">
        <v>3</v>
      </c>
      <c r="E215" s="48" t="s">
        <v>14</v>
      </c>
      <c r="F215" s="48">
        <v>31</v>
      </c>
      <c r="G215" s="48">
        <v>8</v>
      </c>
      <c r="H215" s="48" t="s">
        <v>24</v>
      </c>
      <c r="I215" s="48">
        <v>3</v>
      </c>
      <c r="J215" s="49">
        <v>22</v>
      </c>
      <c r="K215" s="49">
        <v>47</v>
      </c>
      <c r="L215" s="49">
        <v>1030</v>
      </c>
      <c r="M215" s="50">
        <v>0.68</v>
      </c>
      <c r="N215" s="49">
        <v>698</v>
      </c>
      <c r="O215" s="49">
        <v>332</v>
      </c>
      <c r="P215" s="50">
        <v>1.41</v>
      </c>
      <c r="Q215" s="50">
        <v>0.71</v>
      </c>
      <c r="R215" s="50">
        <v>0.97</v>
      </c>
      <c r="S215" s="50">
        <v>0.68</v>
      </c>
      <c r="T215" s="50">
        <v>0.01</v>
      </c>
      <c r="U215" s="49">
        <v>33</v>
      </c>
      <c r="V215" s="50">
        <v>0.32</v>
      </c>
      <c r="W215" s="50">
        <v>0.04</v>
      </c>
      <c r="X215" s="49">
        <f t="shared" si="9"/>
        <v>41.2</v>
      </c>
      <c r="Y215" s="49">
        <f t="shared" si="10"/>
        <v>700.40000000000009</v>
      </c>
      <c r="Z215" s="49">
        <f t="shared" si="11"/>
        <v>288.39999999999986</v>
      </c>
      <c r="AA215" s="23" t="s">
        <v>116</v>
      </c>
      <c r="AB215" s="23" t="s">
        <v>116</v>
      </c>
      <c r="AC215" s="23" t="s">
        <v>116</v>
      </c>
      <c r="AD215" s="23" t="s">
        <v>116</v>
      </c>
      <c r="AE215" s="23" t="s">
        <v>116</v>
      </c>
      <c r="AF215" s="23" t="s">
        <v>116</v>
      </c>
      <c r="AG215" s="23" t="s">
        <v>116</v>
      </c>
      <c r="AH215" s="23" t="s">
        <v>116</v>
      </c>
      <c r="AI215" s="52">
        <v>0</v>
      </c>
      <c r="AJ215" s="51">
        <v>332</v>
      </c>
    </row>
    <row r="216" spans="1:36" x14ac:dyDescent="0.2">
      <c r="A216" s="47">
        <v>44776</v>
      </c>
      <c r="B216" s="48">
        <v>3</v>
      </c>
      <c r="C216" s="48">
        <v>215</v>
      </c>
      <c r="D216" s="48">
        <v>4</v>
      </c>
      <c r="E216" s="48" t="s">
        <v>15</v>
      </c>
      <c r="F216" s="48">
        <v>31</v>
      </c>
      <c r="G216" s="48">
        <v>8</v>
      </c>
      <c r="H216" s="48" t="s">
        <v>24</v>
      </c>
      <c r="I216" s="48">
        <v>3</v>
      </c>
      <c r="J216" s="49">
        <v>10</v>
      </c>
      <c r="K216" s="49">
        <v>29</v>
      </c>
      <c r="L216" s="49">
        <v>283</v>
      </c>
      <c r="M216" s="50">
        <v>0.59</v>
      </c>
      <c r="N216" s="49">
        <v>166</v>
      </c>
      <c r="O216" s="49">
        <v>117</v>
      </c>
      <c r="P216" s="50">
        <v>1.85</v>
      </c>
      <c r="Q216" s="50">
        <v>0.27</v>
      </c>
      <c r="R216" s="50">
        <v>0.84</v>
      </c>
      <c r="S216" s="50">
        <v>0.49</v>
      </c>
      <c r="T216" s="50">
        <v>0.05</v>
      </c>
      <c r="U216" s="49">
        <v>20</v>
      </c>
      <c r="V216" s="50">
        <v>0.45</v>
      </c>
      <c r="W216" s="50">
        <v>0.13</v>
      </c>
      <c r="X216" s="49">
        <f t="shared" si="9"/>
        <v>36.79</v>
      </c>
      <c r="Y216" s="49">
        <f t="shared" si="10"/>
        <v>138.66999999999999</v>
      </c>
      <c r="Z216" s="49">
        <f t="shared" si="11"/>
        <v>107.54000000000002</v>
      </c>
      <c r="AA216" s="23" t="s">
        <v>116</v>
      </c>
      <c r="AB216" s="23" t="s">
        <v>116</v>
      </c>
      <c r="AC216" s="23" t="s">
        <v>116</v>
      </c>
      <c r="AD216" s="23" t="s">
        <v>116</v>
      </c>
      <c r="AE216" s="23" t="s">
        <v>116</v>
      </c>
      <c r="AF216" s="23" t="s">
        <v>116</v>
      </c>
      <c r="AG216" s="23" t="s">
        <v>116</v>
      </c>
      <c r="AH216" s="23" t="s">
        <v>116</v>
      </c>
      <c r="AI216" s="52">
        <v>0</v>
      </c>
      <c r="AJ216" s="51">
        <v>117</v>
      </c>
    </row>
    <row r="217" spans="1:36" x14ac:dyDescent="0.2">
      <c r="A217" s="47">
        <v>44777</v>
      </c>
      <c r="B217" s="48">
        <v>4</v>
      </c>
      <c r="C217" s="48">
        <v>216</v>
      </c>
      <c r="D217" s="48">
        <v>5</v>
      </c>
      <c r="E217" s="48" t="s">
        <v>16</v>
      </c>
      <c r="F217" s="48">
        <v>31</v>
      </c>
      <c r="G217" s="48">
        <v>8</v>
      </c>
      <c r="H217" s="48" t="s">
        <v>24</v>
      </c>
      <c r="I217" s="48">
        <v>3</v>
      </c>
      <c r="J217" s="49">
        <v>12</v>
      </c>
      <c r="K217" s="49">
        <v>52</v>
      </c>
      <c r="L217" s="49">
        <v>611</v>
      </c>
      <c r="M217" s="50">
        <v>0.47</v>
      </c>
      <c r="N217" s="49">
        <v>287</v>
      </c>
      <c r="O217" s="49">
        <v>324</v>
      </c>
      <c r="P217" s="50">
        <v>0.82</v>
      </c>
      <c r="Q217" s="50">
        <v>0.33</v>
      </c>
      <c r="R217" s="50">
        <v>0.67</v>
      </c>
      <c r="S217" s="50">
        <v>0.32</v>
      </c>
      <c r="T217" s="50">
        <v>0.02</v>
      </c>
      <c r="U217" s="49">
        <v>37</v>
      </c>
      <c r="V217" s="50">
        <v>0.2</v>
      </c>
      <c r="W217" s="50">
        <v>0.05</v>
      </c>
      <c r="X217" s="49">
        <f t="shared" si="9"/>
        <v>30.55</v>
      </c>
      <c r="Y217" s="49">
        <f t="shared" si="10"/>
        <v>195.52</v>
      </c>
      <c r="Z217" s="49">
        <f t="shared" si="11"/>
        <v>384.92999999999995</v>
      </c>
      <c r="AA217" s="23" t="s">
        <v>116</v>
      </c>
      <c r="AB217" s="23" t="s">
        <v>116</v>
      </c>
      <c r="AC217" s="23" t="s">
        <v>116</v>
      </c>
      <c r="AD217" s="23" t="s">
        <v>116</v>
      </c>
      <c r="AE217" s="23" t="s">
        <v>116</v>
      </c>
      <c r="AF217" s="23" t="s">
        <v>116</v>
      </c>
      <c r="AG217" s="23" t="s">
        <v>116</v>
      </c>
      <c r="AH217" s="23" t="s">
        <v>116</v>
      </c>
      <c r="AI217" s="52">
        <v>0</v>
      </c>
      <c r="AJ217" s="51">
        <v>324</v>
      </c>
    </row>
    <row r="218" spans="1:36" x14ac:dyDescent="0.2">
      <c r="A218" s="47">
        <v>44778</v>
      </c>
      <c r="B218" s="48">
        <v>5</v>
      </c>
      <c r="C218" s="48">
        <v>217</v>
      </c>
      <c r="D218" s="48">
        <v>6</v>
      </c>
      <c r="E218" s="48" t="s">
        <v>17</v>
      </c>
      <c r="F218" s="48">
        <v>31</v>
      </c>
      <c r="G218" s="48">
        <v>8</v>
      </c>
      <c r="H218" s="48" t="s">
        <v>24</v>
      </c>
      <c r="I218" s="48">
        <v>3</v>
      </c>
      <c r="J218" s="49">
        <v>13</v>
      </c>
      <c r="K218" s="49">
        <v>56</v>
      </c>
      <c r="L218" s="49">
        <v>760</v>
      </c>
      <c r="M218" s="50">
        <v>0.56000000000000005</v>
      </c>
      <c r="N218" s="49">
        <v>423</v>
      </c>
      <c r="O218" s="49">
        <v>337</v>
      </c>
      <c r="P218" s="50">
        <v>0.84</v>
      </c>
      <c r="Q218" s="50">
        <v>0.35</v>
      </c>
      <c r="R218" s="50">
        <v>0.79</v>
      </c>
      <c r="S218" s="50">
        <v>0.34</v>
      </c>
      <c r="T218" s="50">
        <v>0.02</v>
      </c>
      <c r="U218" s="49">
        <v>39</v>
      </c>
      <c r="V218" s="50">
        <v>0.31</v>
      </c>
      <c r="W218" s="50">
        <v>0.04</v>
      </c>
      <c r="X218" s="49">
        <f t="shared" si="9"/>
        <v>30.400000000000002</v>
      </c>
      <c r="Y218" s="49">
        <f t="shared" si="10"/>
        <v>258.40000000000003</v>
      </c>
      <c r="Z218" s="49">
        <f t="shared" si="11"/>
        <v>471.2</v>
      </c>
      <c r="AA218" s="23" t="s">
        <v>116</v>
      </c>
      <c r="AB218" s="23" t="s">
        <v>116</v>
      </c>
      <c r="AC218" s="23" t="s">
        <v>116</v>
      </c>
      <c r="AD218" s="23" t="s">
        <v>116</v>
      </c>
      <c r="AE218" s="23" t="s">
        <v>116</v>
      </c>
      <c r="AF218" s="23" t="s">
        <v>116</v>
      </c>
      <c r="AG218" s="23" t="s">
        <v>116</v>
      </c>
      <c r="AH218" s="23">
        <v>1000</v>
      </c>
      <c r="AI218" s="52">
        <v>1000</v>
      </c>
      <c r="AJ218" s="51">
        <v>-663</v>
      </c>
    </row>
    <row r="219" spans="1:36" x14ac:dyDescent="0.2">
      <c r="A219" s="47">
        <v>44779</v>
      </c>
      <c r="B219" s="48">
        <v>6</v>
      </c>
      <c r="C219" s="48">
        <v>218</v>
      </c>
      <c r="D219" s="48">
        <v>7</v>
      </c>
      <c r="E219" s="48" t="s">
        <v>10</v>
      </c>
      <c r="F219" s="48">
        <v>31</v>
      </c>
      <c r="G219" s="48">
        <v>8</v>
      </c>
      <c r="H219" s="48" t="s">
        <v>24</v>
      </c>
      <c r="I219" s="48">
        <v>3</v>
      </c>
      <c r="J219" s="49">
        <v>17</v>
      </c>
      <c r="K219" s="49">
        <v>29</v>
      </c>
      <c r="L219" s="49">
        <v>492</v>
      </c>
      <c r="M219" s="50">
        <v>0.57999999999999996</v>
      </c>
      <c r="N219" s="49">
        <v>285</v>
      </c>
      <c r="O219" s="49">
        <v>208</v>
      </c>
      <c r="P219" s="50">
        <v>2</v>
      </c>
      <c r="Q219" s="50">
        <v>0.65</v>
      </c>
      <c r="R219" s="50">
        <v>0.83</v>
      </c>
      <c r="S219" s="50">
        <v>0.85</v>
      </c>
      <c r="T219" s="50">
        <v>0.03</v>
      </c>
      <c r="U219" s="49">
        <v>20</v>
      </c>
      <c r="V219" s="50">
        <v>0.52</v>
      </c>
      <c r="W219" s="50">
        <v>0.08</v>
      </c>
      <c r="X219" s="49">
        <f t="shared" si="9"/>
        <v>39.36</v>
      </c>
      <c r="Y219" s="49">
        <f t="shared" si="10"/>
        <v>418.2</v>
      </c>
      <c r="Z219" s="49">
        <f t="shared" si="11"/>
        <v>34.44</v>
      </c>
      <c r="AA219" s="23" t="s">
        <v>116</v>
      </c>
      <c r="AB219" s="23" t="s">
        <v>116</v>
      </c>
      <c r="AC219" s="23" t="s">
        <v>116</v>
      </c>
      <c r="AD219" s="23" t="s">
        <v>116</v>
      </c>
      <c r="AE219" s="23" t="s">
        <v>116</v>
      </c>
      <c r="AF219" s="23" t="s">
        <v>116</v>
      </c>
      <c r="AG219" s="23" t="s">
        <v>116</v>
      </c>
      <c r="AH219" s="23" t="s">
        <v>116</v>
      </c>
      <c r="AI219" s="52">
        <v>0</v>
      </c>
      <c r="AJ219" s="51">
        <v>208</v>
      </c>
    </row>
    <row r="220" spans="1:36" x14ac:dyDescent="0.2">
      <c r="A220" s="47">
        <v>44780</v>
      </c>
      <c r="B220" s="48">
        <v>7</v>
      </c>
      <c r="C220" s="48">
        <v>219</v>
      </c>
      <c r="D220" s="48">
        <v>1</v>
      </c>
      <c r="E220" s="48" t="s">
        <v>12</v>
      </c>
      <c r="F220" s="48">
        <v>32</v>
      </c>
      <c r="G220" s="48">
        <v>8</v>
      </c>
      <c r="H220" s="48" t="s">
        <v>24</v>
      </c>
      <c r="I220" s="48">
        <v>3</v>
      </c>
      <c r="J220" s="49">
        <v>8</v>
      </c>
      <c r="K220" s="49">
        <v>14</v>
      </c>
      <c r="L220" s="49">
        <v>116</v>
      </c>
      <c r="M220" s="50">
        <v>0.28999999999999998</v>
      </c>
      <c r="N220" s="49">
        <v>34</v>
      </c>
      <c r="O220" s="49">
        <v>82</v>
      </c>
      <c r="P220" s="50">
        <v>2.19</v>
      </c>
      <c r="Q220" s="50">
        <v>0.54</v>
      </c>
      <c r="R220" s="50">
        <v>0.42</v>
      </c>
      <c r="S220" s="50">
        <v>0.87</v>
      </c>
      <c r="T220" s="50">
        <v>0.25</v>
      </c>
      <c r="U220" s="49">
        <v>10</v>
      </c>
      <c r="V220" s="50">
        <v>0.54</v>
      </c>
      <c r="W220" s="50">
        <v>0.18</v>
      </c>
      <c r="X220" s="49">
        <f t="shared" si="9"/>
        <v>20.88</v>
      </c>
      <c r="Y220" s="49">
        <f t="shared" si="10"/>
        <v>100.92</v>
      </c>
      <c r="Z220" s="49">
        <f t="shared" si="11"/>
        <v>-5.7999999999999972</v>
      </c>
      <c r="AA220" s="23" t="s">
        <v>116</v>
      </c>
      <c r="AB220" s="23">
        <v>1000</v>
      </c>
      <c r="AC220" s="23" t="s">
        <v>116</v>
      </c>
      <c r="AD220" s="23" t="s">
        <v>116</v>
      </c>
      <c r="AE220" s="23" t="s">
        <v>116</v>
      </c>
      <c r="AF220" s="23" t="s">
        <v>116</v>
      </c>
      <c r="AG220" s="23" t="s">
        <v>116</v>
      </c>
      <c r="AH220" s="23" t="s">
        <v>116</v>
      </c>
      <c r="AI220" s="52">
        <v>1000</v>
      </c>
      <c r="AJ220" s="51">
        <v>-918</v>
      </c>
    </row>
    <row r="221" spans="1:36" x14ac:dyDescent="0.2">
      <c r="A221" s="47">
        <v>44781</v>
      </c>
      <c r="B221" s="48">
        <v>8</v>
      </c>
      <c r="C221" s="48">
        <v>220</v>
      </c>
      <c r="D221" s="48">
        <v>2</v>
      </c>
      <c r="E221" s="48" t="s">
        <v>13</v>
      </c>
      <c r="F221" s="48">
        <v>32</v>
      </c>
      <c r="G221" s="48">
        <v>8</v>
      </c>
      <c r="H221" s="48" t="s">
        <v>24</v>
      </c>
      <c r="I221" s="48">
        <v>3</v>
      </c>
      <c r="J221" s="49">
        <v>20</v>
      </c>
      <c r="K221" s="49">
        <v>97</v>
      </c>
      <c r="L221" s="49">
        <v>1921</v>
      </c>
      <c r="M221" s="50">
        <v>0.48</v>
      </c>
      <c r="N221" s="49">
        <v>918</v>
      </c>
      <c r="O221" s="49">
        <v>1003</v>
      </c>
      <c r="P221" s="50">
        <v>0.53</v>
      </c>
      <c r="Q221" s="50">
        <v>0.61</v>
      </c>
      <c r="R221" s="50">
        <v>0.68</v>
      </c>
      <c r="S221" s="50">
        <v>0.28999999999999998</v>
      </c>
      <c r="T221" s="50">
        <v>0.01</v>
      </c>
      <c r="U221" s="49">
        <v>68</v>
      </c>
      <c r="V221" s="50">
        <v>0.16</v>
      </c>
      <c r="W221" s="50">
        <v>0.02</v>
      </c>
      <c r="X221" s="49">
        <f t="shared" si="9"/>
        <v>38.42</v>
      </c>
      <c r="Y221" s="49">
        <f t="shared" si="10"/>
        <v>557.08999999999992</v>
      </c>
      <c r="Z221" s="49">
        <f t="shared" si="11"/>
        <v>1325.4900000000002</v>
      </c>
      <c r="AA221" s="23" t="s">
        <v>116</v>
      </c>
      <c r="AB221" s="23" t="s">
        <v>116</v>
      </c>
      <c r="AC221" s="23" t="s">
        <v>116</v>
      </c>
      <c r="AD221" s="23" t="s">
        <v>116</v>
      </c>
      <c r="AE221" s="23" t="s">
        <v>116</v>
      </c>
      <c r="AF221" s="23" t="s">
        <v>116</v>
      </c>
      <c r="AG221" s="23" t="s">
        <v>116</v>
      </c>
      <c r="AH221" s="23" t="s">
        <v>116</v>
      </c>
      <c r="AI221" s="52">
        <v>0</v>
      </c>
      <c r="AJ221" s="51">
        <v>1003</v>
      </c>
    </row>
    <row r="222" spans="1:36" x14ac:dyDescent="0.2">
      <c r="A222" s="47">
        <v>44782</v>
      </c>
      <c r="B222" s="48">
        <v>9</v>
      </c>
      <c r="C222" s="48">
        <v>221</v>
      </c>
      <c r="D222" s="48">
        <v>3</v>
      </c>
      <c r="E222" s="48" t="s">
        <v>14</v>
      </c>
      <c r="F222" s="48">
        <v>32</v>
      </c>
      <c r="G222" s="48">
        <v>8</v>
      </c>
      <c r="H222" s="48" t="s">
        <v>24</v>
      </c>
      <c r="I222" s="48">
        <v>3</v>
      </c>
      <c r="J222" s="49">
        <v>12</v>
      </c>
      <c r="K222" s="49">
        <v>80</v>
      </c>
      <c r="L222" s="49">
        <v>925</v>
      </c>
      <c r="M222" s="50">
        <v>0.85</v>
      </c>
      <c r="N222" s="49">
        <v>789</v>
      </c>
      <c r="O222" s="49">
        <v>135</v>
      </c>
      <c r="P222" s="50">
        <v>0.51</v>
      </c>
      <c r="Q222" s="50">
        <v>0.34</v>
      </c>
      <c r="R222" s="50">
        <v>1.22</v>
      </c>
      <c r="S222" s="50">
        <v>0.21</v>
      </c>
      <c r="T222" s="50">
        <v>0.01</v>
      </c>
      <c r="U222" s="49">
        <v>56</v>
      </c>
      <c r="V222" s="50">
        <v>0.15</v>
      </c>
      <c r="W222" s="50">
        <v>0.03</v>
      </c>
      <c r="X222" s="49">
        <f t="shared" si="9"/>
        <v>27.75</v>
      </c>
      <c r="Y222" s="49">
        <f t="shared" si="10"/>
        <v>194.25</v>
      </c>
      <c r="Z222" s="49">
        <f t="shared" si="11"/>
        <v>703</v>
      </c>
      <c r="AA222" s="23" t="s">
        <v>116</v>
      </c>
      <c r="AB222" s="23" t="s">
        <v>116</v>
      </c>
      <c r="AC222" s="23" t="s">
        <v>116</v>
      </c>
      <c r="AD222" s="23" t="s">
        <v>116</v>
      </c>
      <c r="AE222" s="23" t="s">
        <v>116</v>
      </c>
      <c r="AF222" s="23" t="s">
        <v>116</v>
      </c>
      <c r="AG222" s="23" t="s">
        <v>116</v>
      </c>
      <c r="AH222" s="23" t="s">
        <v>116</v>
      </c>
      <c r="AI222" s="52">
        <v>0</v>
      </c>
      <c r="AJ222" s="51">
        <v>135</v>
      </c>
    </row>
    <row r="223" spans="1:36" x14ac:dyDescent="0.2">
      <c r="A223" s="47">
        <v>44783</v>
      </c>
      <c r="B223" s="48">
        <v>10</v>
      </c>
      <c r="C223" s="48">
        <v>222</v>
      </c>
      <c r="D223" s="48">
        <v>4</v>
      </c>
      <c r="E223" s="48" t="s">
        <v>15</v>
      </c>
      <c r="F223" s="48">
        <v>32</v>
      </c>
      <c r="G223" s="48">
        <v>8</v>
      </c>
      <c r="H223" s="48" t="s">
        <v>24</v>
      </c>
      <c r="I223" s="48">
        <v>3</v>
      </c>
      <c r="J223" s="49">
        <v>23</v>
      </c>
      <c r="K223" s="49">
        <v>21</v>
      </c>
      <c r="L223" s="49">
        <v>467</v>
      </c>
      <c r="M223" s="50">
        <v>0.47</v>
      </c>
      <c r="N223" s="49">
        <v>220</v>
      </c>
      <c r="O223" s="49">
        <v>247</v>
      </c>
      <c r="P223" s="50">
        <v>2.77</v>
      </c>
      <c r="Q223" s="50">
        <v>0.74</v>
      </c>
      <c r="R223" s="50">
        <v>0.67</v>
      </c>
      <c r="S223" s="50">
        <v>1.58</v>
      </c>
      <c r="T223" s="50">
        <v>0.03</v>
      </c>
      <c r="U223" s="49">
        <v>14</v>
      </c>
      <c r="V223" s="50">
        <v>0.53</v>
      </c>
      <c r="W223" s="50">
        <v>0.09</v>
      </c>
      <c r="X223" s="49">
        <f t="shared" si="9"/>
        <v>42.03</v>
      </c>
      <c r="Y223" s="49">
        <f t="shared" si="10"/>
        <v>737.86</v>
      </c>
      <c r="Z223" s="49">
        <f t="shared" si="11"/>
        <v>-312.89</v>
      </c>
      <c r="AA223" s="23" t="s">
        <v>116</v>
      </c>
      <c r="AB223" s="23" t="s">
        <v>116</v>
      </c>
      <c r="AC223" s="23" t="s">
        <v>116</v>
      </c>
      <c r="AD223" s="23">
        <v>300</v>
      </c>
      <c r="AE223" s="23" t="s">
        <v>116</v>
      </c>
      <c r="AF223" s="23" t="s">
        <v>116</v>
      </c>
      <c r="AG223" s="23" t="s">
        <v>116</v>
      </c>
      <c r="AH223" s="23" t="s">
        <v>116</v>
      </c>
      <c r="AI223" s="52">
        <v>300</v>
      </c>
      <c r="AJ223" s="51">
        <v>-53</v>
      </c>
    </row>
    <row r="224" spans="1:36" x14ac:dyDescent="0.2">
      <c r="A224" s="47">
        <v>44784</v>
      </c>
      <c r="B224" s="48">
        <v>11</v>
      </c>
      <c r="C224" s="48">
        <v>223</v>
      </c>
      <c r="D224" s="48">
        <v>5</v>
      </c>
      <c r="E224" s="48" t="s">
        <v>16</v>
      </c>
      <c r="F224" s="48">
        <v>32</v>
      </c>
      <c r="G224" s="48">
        <v>8</v>
      </c>
      <c r="H224" s="48" t="s">
        <v>24</v>
      </c>
      <c r="I224" s="48">
        <v>3</v>
      </c>
      <c r="J224" s="49">
        <v>23</v>
      </c>
      <c r="K224" s="49">
        <v>81</v>
      </c>
      <c r="L224" s="49">
        <v>1872</v>
      </c>
      <c r="M224" s="50">
        <v>0.65</v>
      </c>
      <c r="N224" s="49">
        <v>1217</v>
      </c>
      <c r="O224" s="49">
        <v>656</v>
      </c>
      <c r="P224" s="50">
        <v>0.63</v>
      </c>
      <c r="Q224" s="50">
        <v>0.69</v>
      </c>
      <c r="R224" s="50">
        <v>0.93</v>
      </c>
      <c r="S224" s="50">
        <v>0.41</v>
      </c>
      <c r="T224" s="50">
        <v>0.01</v>
      </c>
      <c r="U224" s="49">
        <v>57</v>
      </c>
      <c r="V224" s="50">
        <v>0.16</v>
      </c>
      <c r="W224" s="50">
        <v>0.02</v>
      </c>
      <c r="X224" s="49">
        <f t="shared" si="9"/>
        <v>37.44</v>
      </c>
      <c r="Y224" s="49">
        <f t="shared" si="10"/>
        <v>767.52</v>
      </c>
      <c r="Z224" s="49">
        <f t="shared" si="11"/>
        <v>1067.04</v>
      </c>
      <c r="AA224" s="23" t="s">
        <v>116</v>
      </c>
      <c r="AB224" s="23" t="s">
        <v>116</v>
      </c>
      <c r="AC224" s="23" t="s">
        <v>116</v>
      </c>
      <c r="AD224" s="23" t="s">
        <v>116</v>
      </c>
      <c r="AE224" s="23" t="s">
        <v>116</v>
      </c>
      <c r="AF224" s="23" t="s">
        <v>116</v>
      </c>
      <c r="AG224" s="23" t="s">
        <v>116</v>
      </c>
      <c r="AH224" s="23" t="s">
        <v>116</v>
      </c>
      <c r="AI224" s="52">
        <v>0</v>
      </c>
      <c r="AJ224" s="51">
        <v>656</v>
      </c>
    </row>
    <row r="225" spans="1:36" x14ac:dyDescent="0.2">
      <c r="A225" s="47">
        <v>44785</v>
      </c>
      <c r="B225" s="48">
        <v>12</v>
      </c>
      <c r="C225" s="48">
        <v>224</v>
      </c>
      <c r="D225" s="48">
        <v>6</v>
      </c>
      <c r="E225" s="48" t="s">
        <v>17</v>
      </c>
      <c r="F225" s="48">
        <v>32</v>
      </c>
      <c r="G225" s="48">
        <v>8</v>
      </c>
      <c r="H225" s="48" t="s">
        <v>24</v>
      </c>
      <c r="I225" s="48">
        <v>3</v>
      </c>
      <c r="J225" s="49">
        <v>27</v>
      </c>
      <c r="K225" s="49">
        <v>45</v>
      </c>
      <c r="L225" s="49">
        <v>1212</v>
      </c>
      <c r="M225" s="50">
        <v>0.67</v>
      </c>
      <c r="N225" s="49">
        <v>818</v>
      </c>
      <c r="O225" s="49">
        <v>394</v>
      </c>
      <c r="P225" s="50">
        <v>0.8</v>
      </c>
      <c r="Q225" s="50">
        <v>0.75</v>
      </c>
      <c r="R225" s="50">
        <v>0.96</v>
      </c>
      <c r="S225" s="50">
        <v>0.87</v>
      </c>
      <c r="T225" s="50">
        <v>0.01</v>
      </c>
      <c r="U225" s="49">
        <v>31</v>
      </c>
      <c r="V225" s="50">
        <v>0.34</v>
      </c>
      <c r="W225" s="50">
        <v>0.02</v>
      </c>
      <c r="X225" s="49">
        <f t="shared" si="9"/>
        <v>24.240000000000002</v>
      </c>
      <c r="Y225" s="49">
        <f t="shared" si="10"/>
        <v>1054.44</v>
      </c>
      <c r="Z225" s="49">
        <f t="shared" si="11"/>
        <v>133.31999999999994</v>
      </c>
      <c r="AA225" s="23" t="s">
        <v>116</v>
      </c>
      <c r="AB225" s="23" t="s">
        <v>116</v>
      </c>
      <c r="AC225" s="23" t="s">
        <v>116</v>
      </c>
      <c r="AD225" s="23" t="s">
        <v>116</v>
      </c>
      <c r="AE225" s="23" t="s">
        <v>116</v>
      </c>
      <c r="AF225" s="23">
        <v>480</v>
      </c>
      <c r="AG225" s="23" t="s">
        <v>116</v>
      </c>
      <c r="AH225" s="23" t="s">
        <v>116</v>
      </c>
      <c r="AI225" s="52">
        <v>480</v>
      </c>
      <c r="AJ225" s="51">
        <v>-86</v>
      </c>
    </row>
    <row r="226" spans="1:36" x14ac:dyDescent="0.2">
      <c r="A226" s="47">
        <v>44786</v>
      </c>
      <c r="B226" s="48">
        <v>13</v>
      </c>
      <c r="C226" s="48">
        <v>225</v>
      </c>
      <c r="D226" s="48">
        <v>7</v>
      </c>
      <c r="E226" s="48" t="s">
        <v>10</v>
      </c>
      <c r="F226" s="48">
        <v>32</v>
      </c>
      <c r="G226" s="48">
        <v>8</v>
      </c>
      <c r="H226" s="48" t="s">
        <v>24</v>
      </c>
      <c r="I226" s="48">
        <v>3</v>
      </c>
      <c r="J226" s="49">
        <v>25</v>
      </c>
      <c r="K226" s="49">
        <v>29</v>
      </c>
      <c r="L226" s="49">
        <v>723</v>
      </c>
      <c r="M226" s="50">
        <v>0.72</v>
      </c>
      <c r="N226" s="49">
        <v>519</v>
      </c>
      <c r="O226" s="49">
        <v>204</v>
      </c>
      <c r="P226" s="50">
        <v>1.63</v>
      </c>
      <c r="Q226" s="50">
        <v>0.7</v>
      </c>
      <c r="R226" s="50">
        <v>1.03</v>
      </c>
      <c r="S226" s="50">
        <v>1.23</v>
      </c>
      <c r="T226" s="50">
        <v>0.02</v>
      </c>
      <c r="U226" s="49">
        <v>20</v>
      </c>
      <c r="V226" s="50">
        <v>0.4</v>
      </c>
      <c r="W226" s="50">
        <v>0.05</v>
      </c>
      <c r="X226" s="49">
        <f t="shared" si="9"/>
        <v>36.15</v>
      </c>
      <c r="Y226" s="49">
        <f t="shared" si="10"/>
        <v>889.29</v>
      </c>
      <c r="Z226" s="49">
        <f t="shared" si="11"/>
        <v>-202.43999999999994</v>
      </c>
      <c r="AA226" s="23" t="s">
        <v>116</v>
      </c>
      <c r="AB226" s="23" t="s">
        <v>116</v>
      </c>
      <c r="AC226" s="23" t="s">
        <v>116</v>
      </c>
      <c r="AD226" s="23" t="s">
        <v>116</v>
      </c>
      <c r="AE226" s="23" t="s">
        <v>116</v>
      </c>
      <c r="AF226" s="23" t="s">
        <v>116</v>
      </c>
      <c r="AG226" s="23" t="s">
        <v>116</v>
      </c>
      <c r="AH226" s="23" t="s">
        <v>116</v>
      </c>
      <c r="AI226" s="52">
        <v>0</v>
      </c>
      <c r="AJ226" s="51">
        <v>204</v>
      </c>
    </row>
    <row r="227" spans="1:36" x14ac:dyDescent="0.2">
      <c r="A227" s="47">
        <v>44787</v>
      </c>
      <c r="B227" s="48">
        <v>14</v>
      </c>
      <c r="C227" s="48">
        <v>226</v>
      </c>
      <c r="D227" s="48">
        <v>1</v>
      </c>
      <c r="E227" s="48" t="s">
        <v>12</v>
      </c>
      <c r="F227" s="48">
        <v>33</v>
      </c>
      <c r="G227" s="48">
        <v>8</v>
      </c>
      <c r="H227" s="48" t="s">
        <v>24</v>
      </c>
      <c r="I227" s="48">
        <v>3</v>
      </c>
      <c r="J227" s="49">
        <v>11</v>
      </c>
      <c r="K227" s="49">
        <v>23</v>
      </c>
      <c r="L227" s="49">
        <v>258</v>
      </c>
      <c r="M227" s="50">
        <v>0.3</v>
      </c>
      <c r="N227" s="49">
        <v>79</v>
      </c>
      <c r="O227" s="49">
        <v>180</v>
      </c>
      <c r="P227" s="50">
        <v>1.45</v>
      </c>
      <c r="Q227" s="50">
        <v>0.78</v>
      </c>
      <c r="R227" s="50">
        <v>0.43</v>
      </c>
      <c r="S227" s="50">
        <v>0.73</v>
      </c>
      <c r="T227" s="50">
        <v>0.11</v>
      </c>
      <c r="U227" s="49">
        <v>16</v>
      </c>
      <c r="V227" s="50">
        <v>0.22</v>
      </c>
      <c r="W227" s="50">
        <v>0.09</v>
      </c>
      <c r="X227" s="49">
        <f t="shared" si="9"/>
        <v>23.22</v>
      </c>
      <c r="Y227" s="49">
        <f t="shared" si="10"/>
        <v>188.34</v>
      </c>
      <c r="Z227" s="49">
        <f t="shared" si="11"/>
        <v>46.44</v>
      </c>
      <c r="AA227" s="23" t="s">
        <v>116</v>
      </c>
      <c r="AB227" s="23">
        <v>1000</v>
      </c>
      <c r="AC227" s="23" t="s">
        <v>116</v>
      </c>
      <c r="AD227" s="23" t="s">
        <v>116</v>
      </c>
      <c r="AE227" s="23" t="s">
        <v>116</v>
      </c>
      <c r="AF227" s="23" t="s">
        <v>116</v>
      </c>
      <c r="AG227" s="23" t="s">
        <v>116</v>
      </c>
      <c r="AH227" s="23" t="s">
        <v>116</v>
      </c>
      <c r="AI227" s="52">
        <v>1000</v>
      </c>
      <c r="AJ227" s="51">
        <v>-820</v>
      </c>
    </row>
    <row r="228" spans="1:36" x14ac:dyDescent="0.2">
      <c r="A228" s="47">
        <v>44788</v>
      </c>
      <c r="B228" s="48">
        <v>15</v>
      </c>
      <c r="C228" s="48">
        <v>227</v>
      </c>
      <c r="D228" s="48">
        <v>2</v>
      </c>
      <c r="E228" s="48" t="s">
        <v>13</v>
      </c>
      <c r="F228" s="48">
        <v>33</v>
      </c>
      <c r="G228" s="48">
        <v>8</v>
      </c>
      <c r="H228" s="48" t="s">
        <v>24</v>
      </c>
      <c r="I228" s="48">
        <v>3</v>
      </c>
      <c r="J228" s="49">
        <v>9</v>
      </c>
      <c r="K228" s="49">
        <v>77</v>
      </c>
      <c r="L228" s="49">
        <v>715</v>
      </c>
      <c r="M228" s="50">
        <v>0.71</v>
      </c>
      <c r="N228" s="49">
        <v>506</v>
      </c>
      <c r="O228" s="49">
        <v>210</v>
      </c>
      <c r="P228" s="50">
        <v>0.82</v>
      </c>
      <c r="Q228" s="50">
        <v>0.25</v>
      </c>
      <c r="R228" s="50">
        <v>1.01</v>
      </c>
      <c r="S228" s="50">
        <v>0.17</v>
      </c>
      <c r="T228" s="50">
        <v>0.02</v>
      </c>
      <c r="U228" s="49">
        <v>54</v>
      </c>
      <c r="V228" s="50">
        <v>0.2</v>
      </c>
      <c r="W228" s="50">
        <v>0.06</v>
      </c>
      <c r="X228" s="49">
        <f t="shared" si="9"/>
        <v>42.9</v>
      </c>
      <c r="Y228" s="49">
        <f t="shared" si="10"/>
        <v>121.55000000000001</v>
      </c>
      <c r="Z228" s="49">
        <f t="shared" si="11"/>
        <v>550.54999999999995</v>
      </c>
      <c r="AA228" s="23" t="s">
        <v>116</v>
      </c>
      <c r="AB228" s="23" t="s">
        <v>116</v>
      </c>
      <c r="AC228" s="23">
        <v>300</v>
      </c>
      <c r="AD228" s="23" t="s">
        <v>116</v>
      </c>
      <c r="AE228" s="23" t="s">
        <v>116</v>
      </c>
      <c r="AF228" s="23" t="s">
        <v>116</v>
      </c>
      <c r="AG228" s="23" t="s">
        <v>116</v>
      </c>
      <c r="AH228" s="23" t="s">
        <v>116</v>
      </c>
      <c r="AI228" s="52">
        <v>300</v>
      </c>
      <c r="AJ228" s="51">
        <v>-90</v>
      </c>
    </row>
    <row r="229" spans="1:36" x14ac:dyDescent="0.2">
      <c r="A229" s="47">
        <v>44789</v>
      </c>
      <c r="B229" s="48">
        <v>16</v>
      </c>
      <c r="C229" s="48">
        <v>228</v>
      </c>
      <c r="D229" s="48">
        <v>3</v>
      </c>
      <c r="E229" s="48" t="s">
        <v>14</v>
      </c>
      <c r="F229" s="48">
        <v>33</v>
      </c>
      <c r="G229" s="48">
        <v>8</v>
      </c>
      <c r="H229" s="48" t="s">
        <v>24</v>
      </c>
      <c r="I229" s="48">
        <v>3</v>
      </c>
      <c r="J229" s="49">
        <v>20</v>
      </c>
      <c r="K229" s="49">
        <v>93</v>
      </c>
      <c r="L229" s="49">
        <v>1812</v>
      </c>
      <c r="M229" s="50">
        <v>0.45</v>
      </c>
      <c r="N229" s="49">
        <v>824</v>
      </c>
      <c r="O229" s="49">
        <v>988</v>
      </c>
      <c r="P229" s="50">
        <v>0.46</v>
      </c>
      <c r="Q229" s="50">
        <v>0.55000000000000004</v>
      </c>
      <c r="R229" s="50">
        <v>0.65</v>
      </c>
      <c r="S229" s="50">
        <v>0.3</v>
      </c>
      <c r="T229" s="50">
        <v>0.01</v>
      </c>
      <c r="U229" s="49">
        <v>65</v>
      </c>
      <c r="V229" s="50">
        <v>0.13</v>
      </c>
      <c r="W229" s="50">
        <v>0.02</v>
      </c>
      <c r="X229" s="49">
        <f t="shared" si="9"/>
        <v>36.24</v>
      </c>
      <c r="Y229" s="49">
        <f t="shared" si="10"/>
        <v>543.6</v>
      </c>
      <c r="Z229" s="49">
        <f t="shared" si="11"/>
        <v>1232.1599999999999</v>
      </c>
      <c r="AA229" s="23" t="s">
        <v>116</v>
      </c>
      <c r="AB229" s="23" t="s">
        <v>116</v>
      </c>
      <c r="AC229" s="23" t="s">
        <v>116</v>
      </c>
      <c r="AD229" s="23" t="s">
        <v>116</v>
      </c>
      <c r="AE229" s="23" t="s">
        <v>116</v>
      </c>
      <c r="AF229" s="23" t="s">
        <v>116</v>
      </c>
      <c r="AG229" s="23" t="s">
        <v>116</v>
      </c>
      <c r="AH229" s="23" t="s">
        <v>116</v>
      </c>
      <c r="AI229" s="52">
        <v>0</v>
      </c>
      <c r="AJ229" s="51">
        <v>988</v>
      </c>
    </row>
    <row r="230" spans="1:36" x14ac:dyDescent="0.2">
      <c r="A230" s="47">
        <v>44790</v>
      </c>
      <c r="B230" s="48">
        <v>17</v>
      </c>
      <c r="C230" s="48">
        <v>229</v>
      </c>
      <c r="D230" s="48">
        <v>4</v>
      </c>
      <c r="E230" s="48" t="s">
        <v>15</v>
      </c>
      <c r="F230" s="48">
        <v>33</v>
      </c>
      <c r="G230" s="48">
        <v>8</v>
      </c>
      <c r="H230" s="48" t="s">
        <v>24</v>
      </c>
      <c r="I230" s="48">
        <v>3</v>
      </c>
      <c r="J230" s="49">
        <v>16</v>
      </c>
      <c r="K230" s="49">
        <v>100</v>
      </c>
      <c r="L230" s="49">
        <v>1586</v>
      </c>
      <c r="M230" s="50">
        <v>0.39</v>
      </c>
      <c r="N230" s="49">
        <v>613</v>
      </c>
      <c r="O230" s="49">
        <v>973</v>
      </c>
      <c r="P230" s="50">
        <v>0.56000000000000005</v>
      </c>
      <c r="Q230" s="50">
        <v>0.55000000000000004</v>
      </c>
      <c r="R230" s="50">
        <v>0.55000000000000004</v>
      </c>
      <c r="S230" s="50">
        <v>0.23</v>
      </c>
      <c r="T230" s="50">
        <v>0.01</v>
      </c>
      <c r="U230" s="49">
        <v>70</v>
      </c>
      <c r="V230" s="50">
        <v>0.08</v>
      </c>
      <c r="W230" s="50">
        <v>0.02</v>
      </c>
      <c r="X230" s="49">
        <f t="shared" si="9"/>
        <v>31.720000000000002</v>
      </c>
      <c r="Y230" s="49">
        <f t="shared" si="10"/>
        <v>364.78000000000003</v>
      </c>
      <c r="Z230" s="49">
        <f t="shared" si="11"/>
        <v>1189.5</v>
      </c>
      <c r="AA230" s="23" t="s">
        <v>116</v>
      </c>
      <c r="AB230" s="23" t="s">
        <v>116</v>
      </c>
      <c r="AC230" s="23" t="s">
        <v>116</v>
      </c>
      <c r="AD230" s="23" t="s">
        <v>116</v>
      </c>
      <c r="AE230" s="23" t="s">
        <v>116</v>
      </c>
      <c r="AF230" s="23" t="s">
        <v>116</v>
      </c>
      <c r="AG230" s="23" t="s">
        <v>116</v>
      </c>
      <c r="AH230" s="23" t="s">
        <v>116</v>
      </c>
      <c r="AI230" s="52">
        <v>0</v>
      </c>
      <c r="AJ230" s="51">
        <v>973</v>
      </c>
    </row>
    <row r="231" spans="1:36" x14ac:dyDescent="0.2">
      <c r="A231" s="47">
        <v>44791</v>
      </c>
      <c r="B231" s="48">
        <v>18</v>
      </c>
      <c r="C231" s="48">
        <v>230</v>
      </c>
      <c r="D231" s="48">
        <v>5</v>
      </c>
      <c r="E231" s="48" t="s">
        <v>16</v>
      </c>
      <c r="F231" s="48">
        <v>33</v>
      </c>
      <c r="G231" s="48">
        <v>8</v>
      </c>
      <c r="H231" s="48" t="s">
        <v>24</v>
      </c>
      <c r="I231" s="48">
        <v>3</v>
      </c>
      <c r="J231" s="49">
        <v>20</v>
      </c>
      <c r="K231" s="49">
        <v>62</v>
      </c>
      <c r="L231" s="49">
        <v>1246</v>
      </c>
      <c r="M231" s="50">
        <v>0.81</v>
      </c>
      <c r="N231" s="49">
        <v>1009</v>
      </c>
      <c r="O231" s="49">
        <v>237</v>
      </c>
      <c r="P231" s="50">
        <v>0.61</v>
      </c>
      <c r="Q231" s="50">
        <v>0.6</v>
      </c>
      <c r="R231" s="50">
        <v>1.1599999999999999</v>
      </c>
      <c r="S231" s="50">
        <v>0.47</v>
      </c>
      <c r="T231" s="50">
        <v>0.01</v>
      </c>
      <c r="U231" s="49">
        <v>43</v>
      </c>
      <c r="V231" s="50">
        <v>0.21</v>
      </c>
      <c r="W231" s="50">
        <v>0.02</v>
      </c>
      <c r="X231" s="49">
        <f t="shared" si="9"/>
        <v>24.92</v>
      </c>
      <c r="Y231" s="49">
        <f t="shared" si="10"/>
        <v>585.62</v>
      </c>
      <c r="Z231" s="49">
        <f t="shared" si="11"/>
        <v>635.46</v>
      </c>
      <c r="AA231" s="23" t="s">
        <v>116</v>
      </c>
      <c r="AB231" s="23" t="s">
        <v>116</v>
      </c>
      <c r="AC231" s="23" t="s">
        <v>116</v>
      </c>
      <c r="AD231" s="23" t="s">
        <v>116</v>
      </c>
      <c r="AE231" s="23" t="s">
        <v>116</v>
      </c>
      <c r="AF231" s="23" t="s">
        <v>116</v>
      </c>
      <c r="AG231" s="23" t="s">
        <v>116</v>
      </c>
      <c r="AH231" s="23" t="s">
        <v>116</v>
      </c>
      <c r="AI231" s="52">
        <v>0</v>
      </c>
      <c r="AJ231" s="51">
        <v>237</v>
      </c>
    </row>
    <row r="232" spans="1:36" x14ac:dyDescent="0.2">
      <c r="A232" s="47">
        <v>44792</v>
      </c>
      <c r="B232" s="48">
        <v>19</v>
      </c>
      <c r="C232" s="48">
        <v>231</v>
      </c>
      <c r="D232" s="48">
        <v>6</v>
      </c>
      <c r="E232" s="48" t="s">
        <v>17</v>
      </c>
      <c r="F232" s="48">
        <v>33</v>
      </c>
      <c r="G232" s="48">
        <v>8</v>
      </c>
      <c r="H232" s="48" t="s">
        <v>24</v>
      </c>
      <c r="I232" s="48">
        <v>3</v>
      </c>
      <c r="J232" s="49">
        <v>13</v>
      </c>
      <c r="K232" s="49">
        <v>1</v>
      </c>
      <c r="L232" s="49">
        <v>15</v>
      </c>
      <c r="M232" s="50">
        <v>0.24</v>
      </c>
      <c r="N232" s="49">
        <v>4</v>
      </c>
      <c r="O232" s="49">
        <v>11</v>
      </c>
      <c r="P232" s="50">
        <v>24.43</v>
      </c>
      <c r="Q232" s="50">
        <v>0.39</v>
      </c>
      <c r="R232" s="50">
        <v>0.34</v>
      </c>
      <c r="S232" s="50">
        <v>15.83</v>
      </c>
      <c r="T232" s="50">
        <v>0.88</v>
      </c>
      <c r="U232" s="49">
        <v>1</v>
      </c>
      <c r="V232" s="50">
        <v>18.84</v>
      </c>
      <c r="W232" s="50">
        <v>1.34</v>
      </c>
      <c r="X232" s="49">
        <f t="shared" si="9"/>
        <v>20.100000000000001</v>
      </c>
      <c r="Y232" s="49">
        <f t="shared" si="10"/>
        <v>237.45</v>
      </c>
      <c r="Z232" s="49">
        <f t="shared" si="11"/>
        <v>-242.55</v>
      </c>
      <c r="AA232" s="23" t="s">
        <v>116</v>
      </c>
      <c r="AB232" s="23" t="s">
        <v>116</v>
      </c>
      <c r="AC232" s="23" t="s">
        <v>116</v>
      </c>
      <c r="AD232" s="23" t="s">
        <v>116</v>
      </c>
      <c r="AE232" s="23" t="s">
        <v>116</v>
      </c>
      <c r="AF232" s="23" t="s">
        <v>116</v>
      </c>
      <c r="AG232" s="23" t="s">
        <v>116</v>
      </c>
      <c r="AH232" s="23" t="s">
        <v>116</v>
      </c>
      <c r="AI232" s="52">
        <v>0</v>
      </c>
      <c r="AJ232" s="51">
        <v>11</v>
      </c>
    </row>
    <row r="233" spans="1:36" x14ac:dyDescent="0.2">
      <c r="A233" s="47">
        <v>44793</v>
      </c>
      <c r="B233" s="48">
        <v>20</v>
      </c>
      <c r="C233" s="48">
        <v>232</v>
      </c>
      <c r="D233" s="48">
        <v>7</v>
      </c>
      <c r="E233" s="48" t="s">
        <v>10</v>
      </c>
      <c r="F233" s="48">
        <v>33</v>
      </c>
      <c r="G233" s="48">
        <v>8</v>
      </c>
      <c r="H233" s="48" t="s">
        <v>24</v>
      </c>
      <c r="I233" s="48">
        <v>3</v>
      </c>
      <c r="J233" s="49">
        <v>20</v>
      </c>
      <c r="K233" s="49">
        <v>104</v>
      </c>
      <c r="L233" s="49">
        <v>2111</v>
      </c>
      <c r="M233" s="50">
        <v>0.4</v>
      </c>
      <c r="N233" s="49">
        <v>839</v>
      </c>
      <c r="O233" s="49">
        <v>1272</v>
      </c>
      <c r="P233" s="50">
        <v>0.69</v>
      </c>
      <c r="Q233" s="50">
        <v>0.65</v>
      </c>
      <c r="R233" s="50">
        <v>0.56999999999999995</v>
      </c>
      <c r="S233" s="50">
        <v>0.28000000000000003</v>
      </c>
      <c r="T233" s="50">
        <v>0.01</v>
      </c>
      <c r="U233" s="49">
        <v>72</v>
      </c>
      <c r="V233" s="50">
        <v>0.13</v>
      </c>
      <c r="W233" s="50">
        <v>0.02</v>
      </c>
      <c r="X233" s="49">
        <f t="shared" si="9"/>
        <v>42.22</v>
      </c>
      <c r="Y233" s="49">
        <f t="shared" si="10"/>
        <v>591.08000000000004</v>
      </c>
      <c r="Z233" s="49">
        <f t="shared" si="11"/>
        <v>1477.6999999999998</v>
      </c>
      <c r="AA233" s="23" t="s">
        <v>116</v>
      </c>
      <c r="AB233" s="23" t="s">
        <v>116</v>
      </c>
      <c r="AC233" s="23" t="s">
        <v>116</v>
      </c>
      <c r="AD233" s="23" t="s">
        <v>116</v>
      </c>
      <c r="AE233" s="23">
        <v>100</v>
      </c>
      <c r="AF233" s="23" t="s">
        <v>116</v>
      </c>
      <c r="AG233" s="23" t="s">
        <v>116</v>
      </c>
      <c r="AH233" s="23" t="s">
        <v>116</v>
      </c>
      <c r="AI233" s="52">
        <v>100</v>
      </c>
      <c r="AJ233" s="51">
        <v>1172</v>
      </c>
    </row>
    <row r="234" spans="1:36" x14ac:dyDescent="0.2">
      <c r="A234" s="47">
        <v>44794</v>
      </c>
      <c r="B234" s="48">
        <v>21</v>
      </c>
      <c r="C234" s="48">
        <v>233</v>
      </c>
      <c r="D234" s="48">
        <v>1</v>
      </c>
      <c r="E234" s="48" t="s">
        <v>12</v>
      </c>
      <c r="F234" s="48">
        <v>34</v>
      </c>
      <c r="G234" s="48">
        <v>8</v>
      </c>
      <c r="H234" s="48" t="s">
        <v>24</v>
      </c>
      <c r="I234" s="48">
        <v>3</v>
      </c>
      <c r="J234" s="49">
        <v>0</v>
      </c>
      <c r="K234" s="49">
        <v>35</v>
      </c>
      <c r="L234" s="49">
        <v>6</v>
      </c>
      <c r="M234" s="50">
        <v>0.3</v>
      </c>
      <c r="N234" s="49">
        <v>2</v>
      </c>
      <c r="O234" s="49">
        <v>4</v>
      </c>
      <c r="P234" s="50">
        <v>0.63</v>
      </c>
      <c r="Q234" s="50">
        <v>0.01</v>
      </c>
      <c r="R234" s="50">
        <v>0.42</v>
      </c>
      <c r="S234" s="50">
        <v>0.01</v>
      </c>
      <c r="T234" s="50">
        <v>5.05</v>
      </c>
      <c r="U234" s="49">
        <v>24</v>
      </c>
      <c r="V234" s="50">
        <v>0.15</v>
      </c>
      <c r="W234" s="50">
        <v>2.7</v>
      </c>
      <c r="X234" s="49">
        <f t="shared" si="9"/>
        <v>16.200000000000003</v>
      </c>
      <c r="Y234" s="49">
        <f t="shared" si="10"/>
        <v>0.06</v>
      </c>
      <c r="Z234" s="49">
        <f t="shared" si="11"/>
        <v>-10.260000000000002</v>
      </c>
      <c r="AA234" s="23" t="s">
        <v>116</v>
      </c>
      <c r="AB234" s="23">
        <v>1000</v>
      </c>
      <c r="AC234" s="23" t="s">
        <v>116</v>
      </c>
      <c r="AD234" s="23" t="s">
        <v>116</v>
      </c>
      <c r="AE234" s="23" t="s">
        <v>116</v>
      </c>
      <c r="AF234" s="23" t="s">
        <v>116</v>
      </c>
      <c r="AG234" s="23" t="s">
        <v>116</v>
      </c>
      <c r="AH234" s="23" t="s">
        <v>116</v>
      </c>
      <c r="AI234" s="52">
        <v>1000</v>
      </c>
      <c r="AJ234" s="51">
        <v>-996</v>
      </c>
    </row>
    <row r="235" spans="1:36" x14ac:dyDescent="0.2">
      <c r="A235" s="47">
        <v>44795</v>
      </c>
      <c r="B235" s="48">
        <v>22</v>
      </c>
      <c r="C235" s="48">
        <v>234</v>
      </c>
      <c r="D235" s="48">
        <v>2</v>
      </c>
      <c r="E235" s="48" t="s">
        <v>13</v>
      </c>
      <c r="F235" s="48">
        <v>34</v>
      </c>
      <c r="G235" s="48">
        <v>8</v>
      </c>
      <c r="H235" s="48" t="s">
        <v>24</v>
      </c>
      <c r="I235" s="48">
        <v>3</v>
      </c>
      <c r="J235" s="49">
        <v>13</v>
      </c>
      <c r="K235" s="49">
        <v>24</v>
      </c>
      <c r="L235" s="49">
        <v>311</v>
      </c>
      <c r="M235" s="50">
        <v>0.59</v>
      </c>
      <c r="N235" s="49">
        <v>184</v>
      </c>
      <c r="O235" s="49">
        <v>127</v>
      </c>
      <c r="P235" s="50">
        <v>1.76</v>
      </c>
      <c r="Q235" s="50">
        <v>0.43</v>
      </c>
      <c r="R235" s="50">
        <v>0.85</v>
      </c>
      <c r="S235" s="50">
        <v>0.75</v>
      </c>
      <c r="T235" s="50">
        <v>0.04</v>
      </c>
      <c r="U235" s="49">
        <v>17</v>
      </c>
      <c r="V235" s="50">
        <v>0.51</v>
      </c>
      <c r="W235" s="50">
        <v>0.1</v>
      </c>
      <c r="X235" s="49">
        <f t="shared" si="9"/>
        <v>31.1</v>
      </c>
      <c r="Y235" s="49">
        <f t="shared" si="10"/>
        <v>233.25</v>
      </c>
      <c r="Z235" s="49">
        <f t="shared" si="11"/>
        <v>46.649999999999977</v>
      </c>
      <c r="AA235" s="23" t="s">
        <v>116</v>
      </c>
      <c r="AB235" s="23" t="s">
        <v>116</v>
      </c>
      <c r="AC235" s="23" t="s">
        <v>116</v>
      </c>
      <c r="AD235" s="23" t="s">
        <v>116</v>
      </c>
      <c r="AE235" s="23" t="s">
        <v>116</v>
      </c>
      <c r="AF235" s="23" t="s">
        <v>116</v>
      </c>
      <c r="AG235" s="23" t="s">
        <v>116</v>
      </c>
      <c r="AH235" s="23" t="s">
        <v>116</v>
      </c>
      <c r="AI235" s="52">
        <v>0</v>
      </c>
      <c r="AJ235" s="51">
        <v>127</v>
      </c>
    </row>
    <row r="236" spans="1:36" x14ac:dyDescent="0.2">
      <c r="A236" s="47">
        <v>44796</v>
      </c>
      <c r="B236" s="48">
        <v>23</v>
      </c>
      <c r="C236" s="48">
        <v>235</v>
      </c>
      <c r="D236" s="48">
        <v>3</v>
      </c>
      <c r="E236" s="48" t="s">
        <v>14</v>
      </c>
      <c r="F236" s="48">
        <v>34</v>
      </c>
      <c r="G236" s="48">
        <v>8</v>
      </c>
      <c r="H236" s="48" t="s">
        <v>24</v>
      </c>
      <c r="I236" s="48">
        <v>3</v>
      </c>
      <c r="J236" s="49">
        <v>11</v>
      </c>
      <c r="K236" s="49">
        <v>22</v>
      </c>
      <c r="L236" s="49">
        <v>245</v>
      </c>
      <c r="M236" s="50">
        <v>0.44</v>
      </c>
      <c r="N236" s="49">
        <v>108</v>
      </c>
      <c r="O236" s="49">
        <v>137</v>
      </c>
      <c r="P236" s="50">
        <v>2.37</v>
      </c>
      <c r="Q236" s="50">
        <v>0.28999999999999998</v>
      </c>
      <c r="R236" s="50">
        <v>0.63</v>
      </c>
      <c r="S236" s="50">
        <v>0.7</v>
      </c>
      <c r="T236" s="50">
        <v>0.05</v>
      </c>
      <c r="U236" s="49">
        <v>16</v>
      </c>
      <c r="V236" s="50">
        <v>0.67</v>
      </c>
      <c r="W236" s="50">
        <v>0.15</v>
      </c>
      <c r="X236" s="49">
        <f t="shared" si="9"/>
        <v>36.75</v>
      </c>
      <c r="Y236" s="49">
        <f t="shared" si="10"/>
        <v>171.5</v>
      </c>
      <c r="Z236" s="49">
        <f t="shared" si="11"/>
        <v>36.75</v>
      </c>
      <c r="AA236" s="23" t="s">
        <v>116</v>
      </c>
      <c r="AB236" s="23" t="s">
        <v>116</v>
      </c>
      <c r="AC236" s="23" t="s">
        <v>116</v>
      </c>
      <c r="AD236" s="23" t="s">
        <v>116</v>
      </c>
      <c r="AE236" s="23" t="s">
        <v>116</v>
      </c>
      <c r="AF236" s="23" t="s">
        <v>116</v>
      </c>
      <c r="AG236" s="23" t="s">
        <v>116</v>
      </c>
      <c r="AH236" s="23" t="s">
        <v>116</v>
      </c>
      <c r="AI236" s="52">
        <v>0</v>
      </c>
      <c r="AJ236" s="51">
        <v>137</v>
      </c>
    </row>
    <row r="237" spans="1:36" x14ac:dyDescent="0.2">
      <c r="A237" s="47">
        <v>44797</v>
      </c>
      <c r="B237" s="48">
        <v>24</v>
      </c>
      <c r="C237" s="48">
        <v>236</v>
      </c>
      <c r="D237" s="48">
        <v>4</v>
      </c>
      <c r="E237" s="48" t="s">
        <v>15</v>
      </c>
      <c r="F237" s="48">
        <v>34</v>
      </c>
      <c r="G237" s="48">
        <v>8</v>
      </c>
      <c r="H237" s="48" t="s">
        <v>24</v>
      </c>
      <c r="I237" s="48">
        <v>3</v>
      </c>
      <c r="J237" s="49">
        <v>26</v>
      </c>
      <c r="K237" s="49">
        <v>69</v>
      </c>
      <c r="L237" s="49">
        <v>1781</v>
      </c>
      <c r="M237" s="50">
        <v>0.82</v>
      </c>
      <c r="N237" s="49">
        <v>1468</v>
      </c>
      <c r="O237" s="49">
        <v>314</v>
      </c>
      <c r="P237" s="50">
        <v>0.56000000000000005</v>
      </c>
      <c r="Q237" s="50">
        <v>0.75</v>
      </c>
      <c r="R237" s="50">
        <v>1.18</v>
      </c>
      <c r="S237" s="50">
        <v>0.53</v>
      </c>
      <c r="T237" s="50">
        <v>0.01</v>
      </c>
      <c r="U237" s="49">
        <v>48</v>
      </c>
      <c r="V237" s="50">
        <v>0.17</v>
      </c>
      <c r="W237" s="50">
        <v>0.02</v>
      </c>
      <c r="X237" s="49">
        <f t="shared" si="9"/>
        <v>35.619999999999997</v>
      </c>
      <c r="Y237" s="49">
        <f t="shared" si="10"/>
        <v>943.93000000000006</v>
      </c>
      <c r="Z237" s="49">
        <f t="shared" si="11"/>
        <v>801.44999999999993</v>
      </c>
      <c r="AA237" s="23" t="s">
        <v>116</v>
      </c>
      <c r="AB237" s="23" t="s">
        <v>116</v>
      </c>
      <c r="AC237" s="23" t="s">
        <v>116</v>
      </c>
      <c r="AD237" s="23" t="s">
        <v>116</v>
      </c>
      <c r="AE237" s="23" t="s">
        <v>116</v>
      </c>
      <c r="AF237" s="23" t="s">
        <v>116</v>
      </c>
      <c r="AG237" s="23" t="s">
        <v>116</v>
      </c>
      <c r="AH237" s="23" t="s">
        <v>116</v>
      </c>
      <c r="AI237" s="52">
        <v>0</v>
      </c>
      <c r="AJ237" s="51">
        <v>314</v>
      </c>
    </row>
    <row r="238" spans="1:36" x14ac:dyDescent="0.2">
      <c r="A238" s="47">
        <v>44798</v>
      </c>
      <c r="B238" s="48">
        <v>25</v>
      </c>
      <c r="C238" s="48">
        <v>237</v>
      </c>
      <c r="D238" s="48">
        <v>5</v>
      </c>
      <c r="E238" s="48" t="s">
        <v>16</v>
      </c>
      <c r="F238" s="48">
        <v>34</v>
      </c>
      <c r="G238" s="48">
        <v>8</v>
      </c>
      <c r="H238" s="48" t="s">
        <v>24</v>
      </c>
      <c r="I238" s="48">
        <v>3</v>
      </c>
      <c r="J238" s="49">
        <v>8</v>
      </c>
      <c r="K238" s="49">
        <v>31</v>
      </c>
      <c r="L238" s="49">
        <v>259</v>
      </c>
      <c r="M238" s="50">
        <v>0.86</v>
      </c>
      <c r="N238" s="49">
        <v>222</v>
      </c>
      <c r="O238" s="49">
        <v>37</v>
      </c>
      <c r="P238" s="50">
        <v>2.02</v>
      </c>
      <c r="Q238" s="50">
        <v>0.27</v>
      </c>
      <c r="R238" s="50">
        <v>1.23</v>
      </c>
      <c r="S238" s="50">
        <v>0.39</v>
      </c>
      <c r="T238" s="50">
        <v>0.05</v>
      </c>
      <c r="U238" s="49">
        <v>21</v>
      </c>
      <c r="V238" s="50">
        <v>0.6</v>
      </c>
      <c r="W238" s="50">
        <v>0.17</v>
      </c>
      <c r="X238" s="49">
        <f t="shared" si="9"/>
        <v>44.03</v>
      </c>
      <c r="Y238" s="49">
        <f t="shared" si="10"/>
        <v>101.01</v>
      </c>
      <c r="Z238" s="49">
        <f t="shared" si="11"/>
        <v>113.95999999999998</v>
      </c>
      <c r="AA238" s="23" t="s">
        <v>116</v>
      </c>
      <c r="AB238" s="23" t="s">
        <v>116</v>
      </c>
      <c r="AC238" s="23" t="s">
        <v>116</v>
      </c>
      <c r="AD238" s="23" t="s">
        <v>116</v>
      </c>
      <c r="AE238" s="23" t="s">
        <v>116</v>
      </c>
      <c r="AF238" s="23" t="s">
        <v>116</v>
      </c>
      <c r="AG238" s="23">
        <v>83</v>
      </c>
      <c r="AH238" s="23" t="s">
        <v>116</v>
      </c>
      <c r="AI238" s="52">
        <v>83</v>
      </c>
      <c r="AJ238" s="51">
        <v>-46</v>
      </c>
    </row>
    <row r="239" spans="1:36" x14ac:dyDescent="0.2">
      <c r="A239" s="47">
        <v>44799</v>
      </c>
      <c r="B239" s="48">
        <v>26</v>
      </c>
      <c r="C239" s="48">
        <v>238</v>
      </c>
      <c r="D239" s="48">
        <v>6</v>
      </c>
      <c r="E239" s="48" t="s">
        <v>17</v>
      </c>
      <c r="F239" s="48">
        <v>34</v>
      </c>
      <c r="G239" s="48">
        <v>8</v>
      </c>
      <c r="H239" s="48" t="s">
        <v>24</v>
      </c>
      <c r="I239" s="48">
        <v>3</v>
      </c>
      <c r="J239" s="49">
        <v>23</v>
      </c>
      <c r="K239" s="49">
        <v>84</v>
      </c>
      <c r="L239" s="49">
        <v>1969</v>
      </c>
      <c r="M239" s="50">
        <v>0.54</v>
      </c>
      <c r="N239" s="49">
        <v>1055</v>
      </c>
      <c r="O239" s="49">
        <v>913</v>
      </c>
      <c r="P239" s="50">
        <v>0.5</v>
      </c>
      <c r="Q239" s="50">
        <v>0.71</v>
      </c>
      <c r="R239" s="50">
        <v>0.77</v>
      </c>
      <c r="S239" s="50">
        <v>0.4</v>
      </c>
      <c r="T239" s="50">
        <v>0.01</v>
      </c>
      <c r="U239" s="49">
        <v>59</v>
      </c>
      <c r="V239" s="50">
        <v>0.16</v>
      </c>
      <c r="W239" s="50">
        <v>0.01</v>
      </c>
      <c r="X239" s="49">
        <f t="shared" si="9"/>
        <v>19.690000000000001</v>
      </c>
      <c r="Y239" s="49">
        <f t="shared" si="10"/>
        <v>787.6</v>
      </c>
      <c r="Z239" s="49">
        <f t="shared" si="11"/>
        <v>1161.71</v>
      </c>
      <c r="AA239" s="23" t="s">
        <v>116</v>
      </c>
      <c r="AB239" s="23" t="s">
        <v>116</v>
      </c>
      <c r="AC239" s="23" t="s">
        <v>116</v>
      </c>
      <c r="AD239" s="23" t="s">
        <v>116</v>
      </c>
      <c r="AE239" s="23" t="s">
        <v>116</v>
      </c>
      <c r="AF239" s="23" t="s">
        <v>116</v>
      </c>
      <c r="AG239" s="23" t="s">
        <v>116</v>
      </c>
      <c r="AH239" s="23" t="s">
        <v>116</v>
      </c>
      <c r="AI239" s="52">
        <v>0</v>
      </c>
      <c r="AJ239" s="51">
        <v>913</v>
      </c>
    </row>
    <row r="240" spans="1:36" x14ac:dyDescent="0.2">
      <c r="A240" s="47">
        <v>44800</v>
      </c>
      <c r="B240" s="48">
        <v>27</v>
      </c>
      <c r="C240" s="48">
        <v>239</v>
      </c>
      <c r="D240" s="48">
        <v>7</v>
      </c>
      <c r="E240" s="48" t="s">
        <v>10</v>
      </c>
      <c r="F240" s="48">
        <v>34</v>
      </c>
      <c r="G240" s="48">
        <v>8</v>
      </c>
      <c r="H240" s="48" t="s">
        <v>24</v>
      </c>
      <c r="I240" s="48">
        <v>3</v>
      </c>
      <c r="J240" s="49">
        <v>11</v>
      </c>
      <c r="K240" s="49">
        <v>3</v>
      </c>
      <c r="L240" s="49">
        <v>30</v>
      </c>
      <c r="M240" s="50">
        <v>0.64</v>
      </c>
      <c r="N240" s="49">
        <v>19</v>
      </c>
      <c r="O240" s="49">
        <v>11</v>
      </c>
      <c r="P240" s="50">
        <v>11.91</v>
      </c>
      <c r="Q240" s="50">
        <v>0.39</v>
      </c>
      <c r="R240" s="50">
        <v>0.92</v>
      </c>
      <c r="S240" s="50">
        <v>6.16</v>
      </c>
      <c r="T240" s="50">
        <v>0.43</v>
      </c>
      <c r="U240" s="49">
        <v>2</v>
      </c>
      <c r="V240" s="50">
        <v>7.39</v>
      </c>
      <c r="W240" s="50">
        <v>0.73</v>
      </c>
      <c r="X240" s="49">
        <f t="shared" si="9"/>
        <v>21.9</v>
      </c>
      <c r="Y240" s="49">
        <f t="shared" si="10"/>
        <v>184.8</v>
      </c>
      <c r="Z240" s="49">
        <f t="shared" si="11"/>
        <v>-176.70000000000002</v>
      </c>
      <c r="AA240" s="23" t="s">
        <v>116</v>
      </c>
      <c r="AB240" s="23" t="s">
        <v>116</v>
      </c>
      <c r="AC240" s="23" t="s">
        <v>116</v>
      </c>
      <c r="AD240" s="23" t="s">
        <v>116</v>
      </c>
      <c r="AE240" s="23" t="s">
        <v>116</v>
      </c>
      <c r="AF240" s="23" t="s">
        <v>116</v>
      </c>
      <c r="AG240" s="23" t="s">
        <v>116</v>
      </c>
      <c r="AH240" s="23" t="s">
        <v>116</v>
      </c>
      <c r="AI240" s="52">
        <v>0</v>
      </c>
      <c r="AJ240" s="51">
        <v>11</v>
      </c>
    </row>
    <row r="241" spans="1:36" x14ac:dyDescent="0.2">
      <c r="A241" s="47">
        <v>44801</v>
      </c>
      <c r="B241" s="48">
        <v>28</v>
      </c>
      <c r="C241" s="48">
        <v>240</v>
      </c>
      <c r="D241" s="48">
        <v>1</v>
      </c>
      <c r="E241" s="48" t="s">
        <v>12</v>
      </c>
      <c r="F241" s="48">
        <v>35</v>
      </c>
      <c r="G241" s="48">
        <v>8</v>
      </c>
      <c r="H241" s="48" t="s">
        <v>24</v>
      </c>
      <c r="I241" s="48">
        <v>3</v>
      </c>
      <c r="J241" s="49">
        <v>2</v>
      </c>
      <c r="K241" s="49">
        <v>62</v>
      </c>
      <c r="L241" s="49">
        <v>153</v>
      </c>
      <c r="M241" s="50">
        <v>0.28000000000000003</v>
      </c>
      <c r="N241" s="49">
        <v>42</v>
      </c>
      <c r="O241" s="49">
        <v>110</v>
      </c>
      <c r="P241" s="50">
        <v>0.38</v>
      </c>
      <c r="Q241" s="50">
        <v>0.15</v>
      </c>
      <c r="R241" s="50">
        <v>0.39</v>
      </c>
      <c r="S241" s="50">
        <v>0.06</v>
      </c>
      <c r="T241" s="50">
        <v>0.19</v>
      </c>
      <c r="U241" s="49">
        <v>43</v>
      </c>
      <c r="V241" s="50">
        <v>0.12</v>
      </c>
      <c r="W241" s="50">
        <v>0.11</v>
      </c>
      <c r="X241" s="49">
        <f t="shared" si="9"/>
        <v>16.830000000000002</v>
      </c>
      <c r="Y241" s="49">
        <f t="shared" si="10"/>
        <v>9.18</v>
      </c>
      <c r="Z241" s="49">
        <f t="shared" si="11"/>
        <v>126.99</v>
      </c>
      <c r="AA241" s="23" t="s">
        <v>116</v>
      </c>
      <c r="AB241" s="23">
        <v>1000</v>
      </c>
      <c r="AC241" s="23" t="s">
        <v>116</v>
      </c>
      <c r="AD241" s="23" t="s">
        <v>116</v>
      </c>
      <c r="AE241" s="23" t="s">
        <v>116</v>
      </c>
      <c r="AF241" s="23" t="s">
        <v>116</v>
      </c>
      <c r="AG241" s="23" t="s">
        <v>116</v>
      </c>
      <c r="AH241" s="23" t="s">
        <v>116</v>
      </c>
      <c r="AI241" s="52">
        <v>1000</v>
      </c>
      <c r="AJ241" s="51">
        <v>-890</v>
      </c>
    </row>
    <row r="242" spans="1:36" x14ac:dyDescent="0.2">
      <c r="A242" s="47">
        <v>44802</v>
      </c>
      <c r="B242" s="48">
        <v>29</v>
      </c>
      <c r="C242" s="48">
        <v>241</v>
      </c>
      <c r="D242" s="48">
        <v>2</v>
      </c>
      <c r="E242" s="48" t="s">
        <v>13</v>
      </c>
      <c r="F242" s="48">
        <v>35</v>
      </c>
      <c r="G242" s="48">
        <v>8</v>
      </c>
      <c r="H242" s="48" t="s">
        <v>24</v>
      </c>
      <c r="I242" s="48">
        <v>3</v>
      </c>
      <c r="J242" s="49">
        <v>22</v>
      </c>
      <c r="K242" s="49">
        <v>73</v>
      </c>
      <c r="L242" s="49">
        <v>1593</v>
      </c>
      <c r="M242" s="50">
        <v>0.52</v>
      </c>
      <c r="N242" s="49">
        <v>835</v>
      </c>
      <c r="O242" s="49">
        <v>757</v>
      </c>
      <c r="P242" s="50">
        <v>0.8</v>
      </c>
      <c r="Q242" s="50">
        <v>0.49</v>
      </c>
      <c r="R242" s="50">
        <v>0.75</v>
      </c>
      <c r="S242" s="50">
        <v>0.43</v>
      </c>
      <c r="T242" s="50">
        <v>0.01</v>
      </c>
      <c r="U242" s="49">
        <v>51</v>
      </c>
      <c r="V242" s="50">
        <v>0.14000000000000001</v>
      </c>
      <c r="W242" s="50">
        <v>0.03</v>
      </c>
      <c r="X242" s="49">
        <f t="shared" si="9"/>
        <v>47.79</v>
      </c>
      <c r="Y242" s="49">
        <f t="shared" si="10"/>
        <v>684.99</v>
      </c>
      <c r="Z242" s="49">
        <f t="shared" si="11"/>
        <v>860.22</v>
      </c>
      <c r="AA242" s="23" t="s">
        <v>116</v>
      </c>
      <c r="AB242" s="23" t="s">
        <v>116</v>
      </c>
      <c r="AC242" s="23" t="s">
        <v>116</v>
      </c>
      <c r="AD242" s="23" t="s">
        <v>116</v>
      </c>
      <c r="AE242" s="23" t="s">
        <v>116</v>
      </c>
      <c r="AF242" s="23" t="s">
        <v>116</v>
      </c>
      <c r="AG242" s="23" t="s">
        <v>116</v>
      </c>
      <c r="AH242" s="23" t="s">
        <v>116</v>
      </c>
      <c r="AI242" s="52">
        <v>0</v>
      </c>
      <c r="AJ242" s="51">
        <v>757</v>
      </c>
    </row>
    <row r="243" spans="1:36" x14ac:dyDescent="0.2">
      <c r="A243" s="47">
        <v>44803</v>
      </c>
      <c r="B243" s="48">
        <v>30</v>
      </c>
      <c r="C243" s="48">
        <v>242</v>
      </c>
      <c r="D243" s="48">
        <v>3</v>
      </c>
      <c r="E243" s="48" t="s">
        <v>14</v>
      </c>
      <c r="F243" s="48">
        <v>35</v>
      </c>
      <c r="G243" s="48">
        <v>8</v>
      </c>
      <c r="H243" s="48" t="s">
        <v>24</v>
      </c>
      <c r="I243" s="48">
        <v>3</v>
      </c>
      <c r="J243" s="49">
        <v>9</v>
      </c>
      <c r="K243" s="49">
        <v>16</v>
      </c>
      <c r="L243" s="49">
        <v>135</v>
      </c>
      <c r="M243" s="50">
        <v>0.55000000000000004</v>
      </c>
      <c r="N243" s="49">
        <v>74</v>
      </c>
      <c r="O243" s="49">
        <v>61</v>
      </c>
      <c r="P243" s="50">
        <v>3.8</v>
      </c>
      <c r="Q243" s="50">
        <v>0.3</v>
      </c>
      <c r="R243" s="50">
        <v>0.78</v>
      </c>
      <c r="S243" s="50">
        <v>0.79</v>
      </c>
      <c r="T243" s="50">
        <v>0.1</v>
      </c>
      <c r="U243" s="49">
        <v>11</v>
      </c>
      <c r="V243" s="50">
        <v>1.02</v>
      </c>
      <c r="W243" s="50">
        <v>0.31</v>
      </c>
      <c r="X243" s="49">
        <f t="shared" si="9"/>
        <v>41.85</v>
      </c>
      <c r="Y243" s="49">
        <f t="shared" si="10"/>
        <v>106.65</v>
      </c>
      <c r="Z243" s="49">
        <f t="shared" si="11"/>
        <v>-13.5</v>
      </c>
      <c r="AA243" s="23" t="s">
        <v>116</v>
      </c>
      <c r="AB243" s="23" t="s">
        <v>116</v>
      </c>
      <c r="AC243" s="23" t="s">
        <v>116</v>
      </c>
      <c r="AD243" s="23" t="s">
        <v>116</v>
      </c>
      <c r="AE243" s="23" t="s">
        <v>116</v>
      </c>
      <c r="AF243" s="23" t="s">
        <v>116</v>
      </c>
      <c r="AG243" s="23" t="s">
        <v>116</v>
      </c>
      <c r="AH243" s="23" t="s">
        <v>116</v>
      </c>
      <c r="AI243" s="52">
        <v>0</v>
      </c>
      <c r="AJ243" s="51">
        <v>61</v>
      </c>
    </row>
    <row r="244" spans="1:36" x14ac:dyDescent="0.2">
      <c r="A244" s="47">
        <v>44804</v>
      </c>
      <c r="B244" s="48">
        <v>31</v>
      </c>
      <c r="C244" s="48">
        <v>243</v>
      </c>
      <c r="D244" s="48">
        <v>4</v>
      </c>
      <c r="E244" s="48" t="s">
        <v>15</v>
      </c>
      <c r="F244" s="48">
        <v>35</v>
      </c>
      <c r="G244" s="48">
        <v>8</v>
      </c>
      <c r="H244" s="48" t="s">
        <v>24</v>
      </c>
      <c r="I244" s="48">
        <v>3</v>
      </c>
      <c r="J244" s="49">
        <v>27</v>
      </c>
      <c r="K244" s="49">
        <v>38</v>
      </c>
      <c r="L244" s="49">
        <v>1036</v>
      </c>
      <c r="M244" s="50">
        <v>0.41</v>
      </c>
      <c r="N244" s="49">
        <v>426</v>
      </c>
      <c r="O244" s="49">
        <v>610</v>
      </c>
      <c r="P244" s="50">
        <v>1.3</v>
      </c>
      <c r="Q244" s="50">
        <v>0.81</v>
      </c>
      <c r="R244" s="50">
        <v>0.59</v>
      </c>
      <c r="S244" s="50">
        <v>1</v>
      </c>
      <c r="T244" s="50">
        <v>0.01</v>
      </c>
      <c r="U244" s="49">
        <v>27</v>
      </c>
      <c r="V244" s="50">
        <v>0.2</v>
      </c>
      <c r="W244" s="50">
        <v>0.03</v>
      </c>
      <c r="X244" s="49">
        <f t="shared" si="9"/>
        <v>31.08</v>
      </c>
      <c r="Y244" s="49">
        <f t="shared" si="10"/>
        <v>1036</v>
      </c>
      <c r="Z244" s="49">
        <f t="shared" si="11"/>
        <v>-31.079999999999927</v>
      </c>
      <c r="AA244" s="23" t="s">
        <v>116</v>
      </c>
      <c r="AB244" s="23" t="s">
        <v>116</v>
      </c>
      <c r="AC244" s="23" t="s">
        <v>116</v>
      </c>
      <c r="AD244" s="23" t="s">
        <v>116</v>
      </c>
      <c r="AE244" s="23" t="s">
        <v>116</v>
      </c>
      <c r="AF244" s="23" t="s">
        <v>116</v>
      </c>
      <c r="AG244" s="23" t="s">
        <v>116</v>
      </c>
      <c r="AH244" s="23" t="s">
        <v>116</v>
      </c>
      <c r="AI244" s="52">
        <v>0</v>
      </c>
      <c r="AJ244" s="51">
        <v>610</v>
      </c>
    </row>
    <row r="245" spans="1:36" x14ac:dyDescent="0.2">
      <c r="A245" s="47">
        <v>44805</v>
      </c>
      <c r="B245" s="48">
        <v>1</v>
      </c>
      <c r="C245" s="48">
        <v>244</v>
      </c>
      <c r="D245" s="48">
        <v>5</v>
      </c>
      <c r="E245" s="48" t="s">
        <v>16</v>
      </c>
      <c r="F245" s="48">
        <v>35</v>
      </c>
      <c r="G245" s="48">
        <v>9</v>
      </c>
      <c r="H245" s="48" t="s">
        <v>25</v>
      </c>
      <c r="I245" s="48">
        <v>3</v>
      </c>
      <c r="J245" s="49">
        <v>19</v>
      </c>
      <c r="K245" s="49">
        <v>65</v>
      </c>
      <c r="L245" s="49">
        <v>1257</v>
      </c>
      <c r="M245" s="50">
        <v>0.56999999999999995</v>
      </c>
      <c r="N245" s="49">
        <v>716</v>
      </c>
      <c r="O245" s="49">
        <v>541</v>
      </c>
      <c r="P245" s="50">
        <v>0.98</v>
      </c>
      <c r="Q245" s="50">
        <v>0.64</v>
      </c>
      <c r="R245" s="50">
        <v>0.81</v>
      </c>
      <c r="S245" s="50">
        <v>0.42</v>
      </c>
      <c r="T245" s="50">
        <v>0.01</v>
      </c>
      <c r="U245" s="49">
        <v>46</v>
      </c>
      <c r="V245" s="50">
        <v>0.21</v>
      </c>
      <c r="W245" s="50">
        <v>0.04</v>
      </c>
      <c r="X245" s="49">
        <f t="shared" si="9"/>
        <v>50.28</v>
      </c>
      <c r="Y245" s="49">
        <f t="shared" si="10"/>
        <v>527.93999999999994</v>
      </c>
      <c r="Z245" s="49">
        <f t="shared" si="11"/>
        <v>678.78000000000009</v>
      </c>
      <c r="AA245" s="23">
        <v>3000</v>
      </c>
      <c r="AB245" s="23" t="s">
        <v>116</v>
      </c>
      <c r="AC245" s="23" t="s">
        <v>116</v>
      </c>
      <c r="AD245" s="23" t="s">
        <v>116</v>
      </c>
      <c r="AE245" s="23" t="s">
        <v>116</v>
      </c>
      <c r="AF245" s="23" t="s">
        <v>116</v>
      </c>
      <c r="AG245" s="23" t="s">
        <v>116</v>
      </c>
      <c r="AH245" s="23" t="s">
        <v>116</v>
      </c>
      <c r="AI245" s="52">
        <v>3000</v>
      </c>
      <c r="AJ245" s="51">
        <v>-2459</v>
      </c>
    </row>
    <row r="246" spans="1:36" x14ac:dyDescent="0.2">
      <c r="A246" s="47">
        <v>44806</v>
      </c>
      <c r="B246" s="48">
        <v>2</v>
      </c>
      <c r="C246" s="48">
        <v>245</v>
      </c>
      <c r="D246" s="48">
        <v>6</v>
      </c>
      <c r="E246" s="48" t="s">
        <v>17</v>
      </c>
      <c r="F246" s="48">
        <v>35</v>
      </c>
      <c r="G246" s="48">
        <v>9</v>
      </c>
      <c r="H246" s="48" t="s">
        <v>25</v>
      </c>
      <c r="I246" s="48">
        <v>3</v>
      </c>
      <c r="J246" s="49">
        <v>9</v>
      </c>
      <c r="K246" s="49">
        <v>70</v>
      </c>
      <c r="L246" s="49">
        <v>647</v>
      </c>
      <c r="M246" s="50">
        <v>0.75</v>
      </c>
      <c r="N246" s="49">
        <v>486</v>
      </c>
      <c r="O246" s="49">
        <v>161</v>
      </c>
      <c r="P246" s="50">
        <v>0.68</v>
      </c>
      <c r="Q246" s="50">
        <v>0.3</v>
      </c>
      <c r="R246" s="50">
        <v>1.07</v>
      </c>
      <c r="S246" s="50">
        <v>0.19</v>
      </c>
      <c r="T246" s="50">
        <v>0.02</v>
      </c>
      <c r="U246" s="49">
        <v>49</v>
      </c>
      <c r="V246" s="50">
        <v>0.25</v>
      </c>
      <c r="W246" s="50">
        <v>0.05</v>
      </c>
      <c r="X246" s="49">
        <f t="shared" si="9"/>
        <v>32.35</v>
      </c>
      <c r="Y246" s="49">
        <f t="shared" si="10"/>
        <v>122.93</v>
      </c>
      <c r="Z246" s="49">
        <f t="shared" si="11"/>
        <v>491.72</v>
      </c>
      <c r="AA246" s="23" t="s">
        <v>116</v>
      </c>
      <c r="AB246" s="23" t="s">
        <v>116</v>
      </c>
      <c r="AC246" s="23" t="s">
        <v>116</v>
      </c>
      <c r="AD246" s="23" t="s">
        <v>116</v>
      </c>
      <c r="AE246" s="23" t="s">
        <v>116</v>
      </c>
      <c r="AF246" s="23" t="s">
        <v>116</v>
      </c>
      <c r="AG246" s="23" t="s">
        <v>116</v>
      </c>
      <c r="AH246" s="23" t="s">
        <v>116</v>
      </c>
      <c r="AI246" s="52">
        <v>0</v>
      </c>
      <c r="AJ246" s="51">
        <v>161</v>
      </c>
    </row>
    <row r="247" spans="1:36" x14ac:dyDescent="0.2">
      <c r="A247" s="47">
        <v>44807</v>
      </c>
      <c r="B247" s="48">
        <v>3</v>
      </c>
      <c r="C247" s="48">
        <v>246</v>
      </c>
      <c r="D247" s="48">
        <v>7</v>
      </c>
      <c r="E247" s="48" t="s">
        <v>10</v>
      </c>
      <c r="F247" s="48">
        <v>35</v>
      </c>
      <c r="G247" s="48">
        <v>9</v>
      </c>
      <c r="H247" s="48" t="s">
        <v>25</v>
      </c>
      <c r="I247" s="48">
        <v>3</v>
      </c>
      <c r="J247" s="49">
        <v>17</v>
      </c>
      <c r="K247" s="49">
        <v>71</v>
      </c>
      <c r="L247" s="49">
        <v>1232</v>
      </c>
      <c r="M247" s="50">
        <v>0.37</v>
      </c>
      <c r="N247" s="49">
        <v>451</v>
      </c>
      <c r="O247" s="49">
        <v>781</v>
      </c>
      <c r="P247" s="50">
        <v>0.75</v>
      </c>
      <c r="Q247" s="50">
        <v>0.46</v>
      </c>
      <c r="R247" s="50">
        <v>0.52</v>
      </c>
      <c r="S247" s="50">
        <v>0.35</v>
      </c>
      <c r="T247" s="50">
        <v>0.01</v>
      </c>
      <c r="U247" s="49">
        <v>50</v>
      </c>
      <c r="V247" s="50">
        <v>0.1</v>
      </c>
      <c r="W247" s="50">
        <v>0.03</v>
      </c>
      <c r="X247" s="49">
        <f t="shared" si="9"/>
        <v>36.96</v>
      </c>
      <c r="Y247" s="49">
        <f t="shared" si="10"/>
        <v>431.2</v>
      </c>
      <c r="Z247" s="49">
        <f t="shared" si="11"/>
        <v>763.84</v>
      </c>
      <c r="AA247" s="23" t="s">
        <v>116</v>
      </c>
      <c r="AB247" s="23" t="s">
        <v>116</v>
      </c>
      <c r="AC247" s="23" t="s">
        <v>116</v>
      </c>
      <c r="AD247" s="23" t="s">
        <v>116</v>
      </c>
      <c r="AE247" s="23" t="s">
        <v>116</v>
      </c>
      <c r="AF247" s="23" t="s">
        <v>116</v>
      </c>
      <c r="AG247" s="23" t="s">
        <v>116</v>
      </c>
      <c r="AH247" s="23" t="s">
        <v>116</v>
      </c>
      <c r="AI247" s="52">
        <v>0</v>
      </c>
      <c r="AJ247" s="51">
        <v>781</v>
      </c>
    </row>
    <row r="248" spans="1:36" x14ac:dyDescent="0.2">
      <c r="A248" s="47">
        <v>44808</v>
      </c>
      <c r="B248" s="48">
        <v>4</v>
      </c>
      <c r="C248" s="48">
        <v>247</v>
      </c>
      <c r="D248" s="48">
        <v>1</v>
      </c>
      <c r="E248" s="48" t="s">
        <v>12</v>
      </c>
      <c r="F248" s="48">
        <v>36</v>
      </c>
      <c r="G248" s="48">
        <v>9</v>
      </c>
      <c r="H248" s="48" t="s">
        <v>25</v>
      </c>
      <c r="I248" s="48">
        <v>3</v>
      </c>
      <c r="J248" s="49">
        <v>7</v>
      </c>
      <c r="K248" s="49">
        <v>25</v>
      </c>
      <c r="L248" s="49">
        <v>179</v>
      </c>
      <c r="M248" s="50">
        <v>0.39</v>
      </c>
      <c r="N248" s="49">
        <v>70</v>
      </c>
      <c r="O248" s="49">
        <v>109</v>
      </c>
      <c r="P248" s="50">
        <v>1.26</v>
      </c>
      <c r="Q248" s="50">
        <v>0.59</v>
      </c>
      <c r="R248" s="50">
        <v>0.56000000000000005</v>
      </c>
      <c r="S248" s="50">
        <v>0.42</v>
      </c>
      <c r="T248" s="50">
        <v>0.16</v>
      </c>
      <c r="U248" s="49">
        <v>17</v>
      </c>
      <c r="V248" s="50">
        <v>0.36</v>
      </c>
      <c r="W248" s="50">
        <v>0.12</v>
      </c>
      <c r="X248" s="49">
        <f t="shared" si="9"/>
        <v>21.48</v>
      </c>
      <c r="Y248" s="49">
        <f t="shared" si="10"/>
        <v>75.179999999999993</v>
      </c>
      <c r="Z248" s="49">
        <f t="shared" si="11"/>
        <v>82.34</v>
      </c>
      <c r="AA248" s="23" t="s">
        <v>116</v>
      </c>
      <c r="AB248" s="23">
        <v>1000</v>
      </c>
      <c r="AC248" s="23" t="s">
        <v>116</v>
      </c>
      <c r="AD248" s="23" t="s">
        <v>116</v>
      </c>
      <c r="AE248" s="23" t="s">
        <v>116</v>
      </c>
      <c r="AF248" s="23" t="s">
        <v>116</v>
      </c>
      <c r="AG248" s="23" t="s">
        <v>116</v>
      </c>
      <c r="AH248" s="23" t="s">
        <v>116</v>
      </c>
      <c r="AI248" s="52">
        <v>1000</v>
      </c>
      <c r="AJ248" s="51">
        <v>-891</v>
      </c>
    </row>
    <row r="249" spans="1:36" x14ac:dyDescent="0.2">
      <c r="A249" s="47">
        <v>44809</v>
      </c>
      <c r="B249" s="48">
        <v>5</v>
      </c>
      <c r="C249" s="48">
        <v>248</v>
      </c>
      <c r="D249" s="48">
        <v>2</v>
      </c>
      <c r="E249" s="48" t="s">
        <v>13</v>
      </c>
      <c r="F249" s="48">
        <v>36</v>
      </c>
      <c r="G249" s="48">
        <v>9</v>
      </c>
      <c r="H249" s="48" t="s">
        <v>25</v>
      </c>
      <c r="I249" s="48">
        <v>3</v>
      </c>
      <c r="J249" s="49">
        <v>23</v>
      </c>
      <c r="K249" s="49">
        <v>52</v>
      </c>
      <c r="L249" s="49">
        <v>1209</v>
      </c>
      <c r="M249" s="50">
        <v>0.77</v>
      </c>
      <c r="N249" s="49">
        <v>933</v>
      </c>
      <c r="O249" s="49">
        <v>276</v>
      </c>
      <c r="P249" s="50">
        <v>0.98</v>
      </c>
      <c r="Q249" s="50">
        <v>0.72</v>
      </c>
      <c r="R249" s="50">
        <v>1.1000000000000001</v>
      </c>
      <c r="S249" s="50">
        <v>0.63</v>
      </c>
      <c r="T249" s="50">
        <v>0.01</v>
      </c>
      <c r="U249" s="49">
        <v>37</v>
      </c>
      <c r="V249" s="50">
        <v>0.4</v>
      </c>
      <c r="W249" s="50">
        <v>0.03</v>
      </c>
      <c r="X249" s="49">
        <f t="shared" si="9"/>
        <v>36.269999999999996</v>
      </c>
      <c r="Y249" s="49">
        <f t="shared" si="10"/>
        <v>761.67</v>
      </c>
      <c r="Z249" s="49">
        <f t="shared" si="11"/>
        <v>411.06000000000006</v>
      </c>
      <c r="AA249" s="23" t="s">
        <v>116</v>
      </c>
      <c r="AB249" s="23" t="s">
        <v>116</v>
      </c>
      <c r="AC249" s="23" t="s">
        <v>116</v>
      </c>
      <c r="AD249" s="23" t="s">
        <v>116</v>
      </c>
      <c r="AE249" s="23" t="s">
        <v>116</v>
      </c>
      <c r="AF249" s="23" t="s">
        <v>116</v>
      </c>
      <c r="AG249" s="23" t="s">
        <v>116</v>
      </c>
      <c r="AH249" s="23">
        <v>1000</v>
      </c>
      <c r="AI249" s="52">
        <v>1000</v>
      </c>
      <c r="AJ249" s="51">
        <v>-724</v>
      </c>
    </row>
    <row r="250" spans="1:36" x14ac:dyDescent="0.2">
      <c r="A250" s="47">
        <v>44810</v>
      </c>
      <c r="B250" s="48">
        <v>6</v>
      </c>
      <c r="C250" s="48">
        <v>249</v>
      </c>
      <c r="D250" s="48">
        <v>3</v>
      </c>
      <c r="E250" s="48" t="s">
        <v>14</v>
      </c>
      <c r="F250" s="48">
        <v>36</v>
      </c>
      <c r="G250" s="48">
        <v>9</v>
      </c>
      <c r="H250" s="48" t="s">
        <v>25</v>
      </c>
      <c r="I250" s="48">
        <v>3</v>
      </c>
      <c r="J250" s="49">
        <v>14</v>
      </c>
      <c r="K250" s="49">
        <v>74</v>
      </c>
      <c r="L250" s="49">
        <v>997</v>
      </c>
      <c r="M250" s="50">
        <v>0.9</v>
      </c>
      <c r="N250" s="49">
        <v>901</v>
      </c>
      <c r="O250" s="49">
        <v>96</v>
      </c>
      <c r="P250" s="50">
        <v>0.59</v>
      </c>
      <c r="Q250" s="50">
        <v>0.41</v>
      </c>
      <c r="R250" s="50">
        <v>1.29</v>
      </c>
      <c r="S250" s="50">
        <v>0.26</v>
      </c>
      <c r="T250" s="50">
        <v>0.01</v>
      </c>
      <c r="U250" s="49">
        <v>52</v>
      </c>
      <c r="V250" s="50">
        <v>0.36</v>
      </c>
      <c r="W250" s="50">
        <v>0.03</v>
      </c>
      <c r="X250" s="49">
        <f t="shared" si="9"/>
        <v>29.91</v>
      </c>
      <c r="Y250" s="49">
        <f t="shared" si="10"/>
        <v>259.22000000000003</v>
      </c>
      <c r="Z250" s="49">
        <f t="shared" si="11"/>
        <v>707.86999999999989</v>
      </c>
      <c r="AA250" s="23" t="s">
        <v>116</v>
      </c>
      <c r="AB250" s="23" t="s">
        <v>116</v>
      </c>
      <c r="AC250" s="23" t="s">
        <v>116</v>
      </c>
      <c r="AD250" s="23" t="s">
        <v>116</v>
      </c>
      <c r="AE250" s="23" t="s">
        <v>116</v>
      </c>
      <c r="AF250" s="23" t="s">
        <v>116</v>
      </c>
      <c r="AG250" s="23" t="s">
        <v>116</v>
      </c>
      <c r="AH250" s="23" t="s">
        <v>116</v>
      </c>
      <c r="AI250" s="52">
        <v>0</v>
      </c>
      <c r="AJ250" s="51">
        <v>96</v>
      </c>
    </row>
    <row r="251" spans="1:36" x14ac:dyDescent="0.2">
      <c r="A251" s="47">
        <v>44811</v>
      </c>
      <c r="B251" s="48">
        <v>7</v>
      </c>
      <c r="C251" s="48">
        <v>250</v>
      </c>
      <c r="D251" s="48">
        <v>4</v>
      </c>
      <c r="E251" s="48" t="s">
        <v>15</v>
      </c>
      <c r="F251" s="48">
        <v>36</v>
      </c>
      <c r="G251" s="48">
        <v>9</v>
      </c>
      <c r="H251" s="48" t="s">
        <v>25</v>
      </c>
      <c r="I251" s="48">
        <v>3</v>
      </c>
      <c r="J251" s="49">
        <v>9</v>
      </c>
      <c r="K251" s="49">
        <v>71</v>
      </c>
      <c r="L251" s="49">
        <v>645</v>
      </c>
      <c r="M251" s="50">
        <v>0.62</v>
      </c>
      <c r="N251" s="49">
        <v>403</v>
      </c>
      <c r="O251" s="49">
        <v>242</v>
      </c>
      <c r="P251" s="50">
        <v>0.88</v>
      </c>
      <c r="Q251" s="50">
        <v>0.3</v>
      </c>
      <c r="R251" s="50">
        <v>0.89</v>
      </c>
      <c r="S251" s="50">
        <v>0.18</v>
      </c>
      <c r="T251" s="50">
        <v>0.02</v>
      </c>
      <c r="U251" s="49">
        <v>50</v>
      </c>
      <c r="V251" s="50">
        <v>0.22</v>
      </c>
      <c r="W251" s="50">
        <v>7.0000000000000007E-2</v>
      </c>
      <c r="X251" s="49">
        <f t="shared" si="9"/>
        <v>45.150000000000006</v>
      </c>
      <c r="Y251" s="49">
        <f t="shared" si="10"/>
        <v>116.1</v>
      </c>
      <c r="Z251" s="49">
        <f t="shared" si="11"/>
        <v>483.75</v>
      </c>
      <c r="AA251" s="23" t="s">
        <v>116</v>
      </c>
      <c r="AB251" s="23" t="s">
        <v>116</v>
      </c>
      <c r="AC251" s="23" t="s">
        <v>116</v>
      </c>
      <c r="AD251" s="23" t="s">
        <v>116</v>
      </c>
      <c r="AE251" s="23" t="s">
        <v>116</v>
      </c>
      <c r="AF251" s="23" t="s">
        <v>116</v>
      </c>
      <c r="AG251" s="23" t="s">
        <v>116</v>
      </c>
      <c r="AH251" s="23" t="s">
        <v>116</v>
      </c>
      <c r="AI251" s="52">
        <v>0</v>
      </c>
      <c r="AJ251" s="51">
        <v>242</v>
      </c>
    </row>
    <row r="252" spans="1:36" x14ac:dyDescent="0.2">
      <c r="A252" s="47">
        <v>44812</v>
      </c>
      <c r="B252" s="48">
        <v>8</v>
      </c>
      <c r="C252" s="48">
        <v>251</v>
      </c>
      <c r="D252" s="48">
        <v>5</v>
      </c>
      <c r="E252" s="48" t="s">
        <v>16</v>
      </c>
      <c r="F252" s="48">
        <v>36</v>
      </c>
      <c r="G252" s="48">
        <v>9</v>
      </c>
      <c r="H252" s="48" t="s">
        <v>25</v>
      </c>
      <c r="I252" s="48">
        <v>3</v>
      </c>
      <c r="J252" s="49">
        <v>14</v>
      </c>
      <c r="K252" s="49">
        <v>70</v>
      </c>
      <c r="L252" s="49">
        <v>951</v>
      </c>
      <c r="M252" s="50">
        <v>0.61</v>
      </c>
      <c r="N252" s="49">
        <v>581</v>
      </c>
      <c r="O252" s="49">
        <v>370</v>
      </c>
      <c r="P252" s="50">
        <v>0.74</v>
      </c>
      <c r="Q252" s="50">
        <v>0.4</v>
      </c>
      <c r="R252" s="50">
        <v>0.87</v>
      </c>
      <c r="S252" s="50">
        <v>0.28000000000000003</v>
      </c>
      <c r="T252" s="50">
        <v>0.01</v>
      </c>
      <c r="U252" s="49">
        <v>49</v>
      </c>
      <c r="V252" s="50">
        <v>0.25</v>
      </c>
      <c r="W252" s="50">
        <v>0.04</v>
      </c>
      <c r="X252" s="49">
        <f t="shared" si="9"/>
        <v>38.04</v>
      </c>
      <c r="Y252" s="49">
        <f t="shared" si="10"/>
        <v>266.28000000000003</v>
      </c>
      <c r="Z252" s="49">
        <f t="shared" si="11"/>
        <v>646.67999999999995</v>
      </c>
      <c r="AA252" s="23" t="s">
        <v>116</v>
      </c>
      <c r="AB252" s="23" t="s">
        <v>116</v>
      </c>
      <c r="AC252" s="23" t="s">
        <v>116</v>
      </c>
      <c r="AD252" s="23" t="s">
        <v>116</v>
      </c>
      <c r="AE252" s="23" t="s">
        <v>116</v>
      </c>
      <c r="AF252" s="23" t="s">
        <v>116</v>
      </c>
      <c r="AG252" s="23" t="s">
        <v>116</v>
      </c>
      <c r="AH252" s="23" t="s">
        <v>116</v>
      </c>
      <c r="AI252" s="52">
        <v>0</v>
      </c>
      <c r="AJ252" s="51">
        <v>370</v>
      </c>
    </row>
    <row r="253" spans="1:36" x14ac:dyDescent="0.2">
      <c r="A253" s="47">
        <v>44813</v>
      </c>
      <c r="B253" s="48">
        <v>9</v>
      </c>
      <c r="C253" s="48">
        <v>252</v>
      </c>
      <c r="D253" s="48">
        <v>6</v>
      </c>
      <c r="E253" s="48" t="s">
        <v>17</v>
      </c>
      <c r="F253" s="48">
        <v>36</v>
      </c>
      <c r="G253" s="48">
        <v>9</v>
      </c>
      <c r="H253" s="48" t="s">
        <v>25</v>
      </c>
      <c r="I253" s="48">
        <v>3</v>
      </c>
      <c r="J253" s="49">
        <v>30</v>
      </c>
      <c r="K253" s="49">
        <v>31</v>
      </c>
      <c r="L253" s="49">
        <v>928</v>
      </c>
      <c r="M253" s="50">
        <v>0.59</v>
      </c>
      <c r="N253" s="49">
        <v>546</v>
      </c>
      <c r="O253" s="49">
        <v>382</v>
      </c>
      <c r="P253" s="50">
        <v>2.17</v>
      </c>
      <c r="Q253" s="50">
        <v>1.03</v>
      </c>
      <c r="R253" s="50">
        <v>0.84</v>
      </c>
      <c r="S253" s="50">
        <v>1.39</v>
      </c>
      <c r="T253" s="50">
        <v>0.01</v>
      </c>
      <c r="U253" s="49">
        <v>22</v>
      </c>
      <c r="V253" s="50">
        <v>0.28999999999999998</v>
      </c>
      <c r="W253" s="50">
        <v>0.05</v>
      </c>
      <c r="X253" s="49">
        <f t="shared" si="9"/>
        <v>46.400000000000006</v>
      </c>
      <c r="Y253" s="49">
        <f t="shared" si="10"/>
        <v>1289.9199999999998</v>
      </c>
      <c r="Z253" s="49">
        <f t="shared" si="11"/>
        <v>-408.31999999999994</v>
      </c>
      <c r="AA253" s="23" t="s">
        <v>116</v>
      </c>
      <c r="AB253" s="23" t="s">
        <v>116</v>
      </c>
      <c r="AC253" s="23" t="s">
        <v>116</v>
      </c>
      <c r="AD253" s="23" t="s">
        <v>116</v>
      </c>
      <c r="AE253" s="23" t="s">
        <v>116</v>
      </c>
      <c r="AF253" s="23" t="s">
        <v>116</v>
      </c>
      <c r="AG253" s="23" t="s">
        <v>116</v>
      </c>
      <c r="AH253" s="23" t="s">
        <v>116</v>
      </c>
      <c r="AI253" s="52">
        <v>0</v>
      </c>
      <c r="AJ253" s="51">
        <v>382</v>
      </c>
    </row>
    <row r="254" spans="1:36" x14ac:dyDescent="0.2">
      <c r="A254" s="47">
        <v>44814</v>
      </c>
      <c r="B254" s="48">
        <v>10</v>
      </c>
      <c r="C254" s="48">
        <v>253</v>
      </c>
      <c r="D254" s="48">
        <v>7</v>
      </c>
      <c r="E254" s="48" t="s">
        <v>10</v>
      </c>
      <c r="F254" s="48">
        <v>36</v>
      </c>
      <c r="G254" s="48">
        <v>9</v>
      </c>
      <c r="H254" s="48" t="s">
        <v>25</v>
      </c>
      <c r="I254" s="48">
        <v>3</v>
      </c>
      <c r="J254" s="49">
        <v>15</v>
      </c>
      <c r="K254" s="49">
        <v>17</v>
      </c>
      <c r="L254" s="49">
        <v>258</v>
      </c>
      <c r="M254" s="50">
        <v>0.28000000000000003</v>
      </c>
      <c r="N254" s="49">
        <v>73</v>
      </c>
      <c r="O254" s="49">
        <v>185</v>
      </c>
      <c r="P254" s="50">
        <v>2.93</v>
      </c>
      <c r="Q254" s="50">
        <v>0.52</v>
      </c>
      <c r="R254" s="50">
        <v>0.4</v>
      </c>
      <c r="S254" s="50">
        <v>1.32</v>
      </c>
      <c r="T254" s="50">
        <v>0.05</v>
      </c>
      <c r="U254" s="49">
        <v>12</v>
      </c>
      <c r="V254" s="50">
        <v>0.98</v>
      </c>
      <c r="W254" s="50">
        <v>0.13</v>
      </c>
      <c r="X254" s="49">
        <f t="shared" si="9"/>
        <v>33.54</v>
      </c>
      <c r="Y254" s="49">
        <f t="shared" si="10"/>
        <v>340.56</v>
      </c>
      <c r="Z254" s="49">
        <f t="shared" si="11"/>
        <v>-116.10000000000002</v>
      </c>
      <c r="AA254" s="23" t="s">
        <v>116</v>
      </c>
      <c r="AB254" s="23" t="s">
        <v>116</v>
      </c>
      <c r="AC254" s="23" t="s">
        <v>116</v>
      </c>
      <c r="AD254" s="23">
        <v>300</v>
      </c>
      <c r="AE254" s="23" t="s">
        <v>116</v>
      </c>
      <c r="AF254" s="23" t="s">
        <v>116</v>
      </c>
      <c r="AG254" s="23" t="s">
        <v>116</v>
      </c>
      <c r="AH254" s="23" t="s">
        <v>116</v>
      </c>
      <c r="AI254" s="52">
        <v>300</v>
      </c>
      <c r="AJ254" s="51">
        <v>-115</v>
      </c>
    </row>
    <row r="255" spans="1:36" x14ac:dyDescent="0.2">
      <c r="A255" s="47">
        <v>44815</v>
      </c>
      <c r="B255" s="48">
        <v>11</v>
      </c>
      <c r="C255" s="48">
        <v>254</v>
      </c>
      <c r="D255" s="48">
        <v>1</v>
      </c>
      <c r="E255" s="48" t="s">
        <v>12</v>
      </c>
      <c r="F255" s="48">
        <v>37</v>
      </c>
      <c r="G255" s="48">
        <v>9</v>
      </c>
      <c r="H255" s="48" t="s">
        <v>25</v>
      </c>
      <c r="I255" s="48">
        <v>3</v>
      </c>
      <c r="J255" s="49">
        <v>10</v>
      </c>
      <c r="K255" s="49">
        <v>45</v>
      </c>
      <c r="L255" s="49">
        <v>454</v>
      </c>
      <c r="M255" s="50">
        <v>0.26</v>
      </c>
      <c r="N255" s="49">
        <v>120</v>
      </c>
      <c r="O255" s="49">
        <v>335</v>
      </c>
      <c r="P255" s="50">
        <v>0.6</v>
      </c>
      <c r="Q255" s="50">
        <v>0.56000000000000005</v>
      </c>
      <c r="R255" s="50">
        <v>0.38</v>
      </c>
      <c r="S255" s="50">
        <v>0.32</v>
      </c>
      <c r="T255" s="50">
        <v>0.06</v>
      </c>
      <c r="U255" s="49">
        <v>32</v>
      </c>
      <c r="V255" s="50">
        <v>0.16</v>
      </c>
      <c r="W255" s="50">
        <v>0.04</v>
      </c>
      <c r="X255" s="49">
        <f t="shared" si="9"/>
        <v>18.16</v>
      </c>
      <c r="Y255" s="49">
        <f t="shared" si="10"/>
        <v>145.28</v>
      </c>
      <c r="Z255" s="49">
        <f t="shared" si="11"/>
        <v>290.56</v>
      </c>
      <c r="AA255" s="23" t="s">
        <v>116</v>
      </c>
      <c r="AB255" s="23">
        <v>1000</v>
      </c>
      <c r="AC255" s="23" t="s">
        <v>116</v>
      </c>
      <c r="AD255" s="23" t="s">
        <v>116</v>
      </c>
      <c r="AE255" s="23" t="s">
        <v>116</v>
      </c>
      <c r="AF255" s="23" t="s">
        <v>116</v>
      </c>
      <c r="AG255" s="23" t="s">
        <v>116</v>
      </c>
      <c r="AH255" s="23" t="s">
        <v>116</v>
      </c>
      <c r="AI255" s="52">
        <v>1000</v>
      </c>
      <c r="AJ255" s="51">
        <v>-665</v>
      </c>
    </row>
    <row r="256" spans="1:36" x14ac:dyDescent="0.2">
      <c r="A256" s="47">
        <v>44816</v>
      </c>
      <c r="B256" s="48">
        <v>12</v>
      </c>
      <c r="C256" s="48">
        <v>255</v>
      </c>
      <c r="D256" s="48">
        <v>2</v>
      </c>
      <c r="E256" s="48" t="s">
        <v>13</v>
      </c>
      <c r="F256" s="48">
        <v>37</v>
      </c>
      <c r="G256" s="48">
        <v>9</v>
      </c>
      <c r="H256" s="48" t="s">
        <v>25</v>
      </c>
      <c r="I256" s="48">
        <v>3</v>
      </c>
      <c r="J256" s="49">
        <v>5</v>
      </c>
      <c r="K256" s="49">
        <v>134</v>
      </c>
      <c r="L256" s="49">
        <v>607</v>
      </c>
      <c r="M256" s="50">
        <v>0.51</v>
      </c>
      <c r="N256" s="49">
        <v>307</v>
      </c>
      <c r="O256" s="49">
        <v>300</v>
      </c>
      <c r="P256" s="50">
        <v>0.49</v>
      </c>
      <c r="Q256" s="50">
        <v>0.15</v>
      </c>
      <c r="R256" s="50">
        <v>0.72</v>
      </c>
      <c r="S256" s="50">
        <v>0.05</v>
      </c>
      <c r="T256" s="50">
        <v>0.02</v>
      </c>
      <c r="U256" s="49">
        <v>94</v>
      </c>
      <c r="V256" s="50">
        <v>0.13</v>
      </c>
      <c r="W256" s="50">
        <v>0.08</v>
      </c>
      <c r="X256" s="49">
        <f t="shared" si="9"/>
        <v>48.56</v>
      </c>
      <c r="Y256" s="49">
        <f t="shared" si="10"/>
        <v>30.35</v>
      </c>
      <c r="Z256" s="49">
        <f t="shared" si="11"/>
        <v>528.09</v>
      </c>
      <c r="AA256" s="23" t="s">
        <v>116</v>
      </c>
      <c r="AB256" s="23" t="s">
        <v>116</v>
      </c>
      <c r="AC256" s="23" t="s">
        <v>116</v>
      </c>
      <c r="AD256" s="23" t="s">
        <v>116</v>
      </c>
      <c r="AE256" s="23" t="s">
        <v>116</v>
      </c>
      <c r="AF256" s="23">
        <v>480</v>
      </c>
      <c r="AG256" s="23" t="s">
        <v>116</v>
      </c>
      <c r="AH256" s="23" t="s">
        <v>116</v>
      </c>
      <c r="AI256" s="52">
        <v>480</v>
      </c>
      <c r="AJ256" s="51">
        <v>-180</v>
      </c>
    </row>
    <row r="257" spans="1:36" x14ac:dyDescent="0.2">
      <c r="A257" s="47">
        <v>44817</v>
      </c>
      <c r="B257" s="48">
        <v>13</v>
      </c>
      <c r="C257" s="48">
        <v>256</v>
      </c>
      <c r="D257" s="48">
        <v>3</v>
      </c>
      <c r="E257" s="48" t="s">
        <v>14</v>
      </c>
      <c r="F257" s="48">
        <v>37</v>
      </c>
      <c r="G257" s="48">
        <v>9</v>
      </c>
      <c r="H257" s="48" t="s">
        <v>25</v>
      </c>
      <c r="I257" s="48">
        <v>3</v>
      </c>
      <c r="J257" s="49">
        <v>1</v>
      </c>
      <c r="K257" s="49">
        <v>69</v>
      </c>
      <c r="L257" s="49">
        <v>85</v>
      </c>
      <c r="M257" s="50">
        <v>0.43</v>
      </c>
      <c r="N257" s="49">
        <v>36</v>
      </c>
      <c r="O257" s="49">
        <v>49</v>
      </c>
      <c r="P257" s="50">
        <v>0.79</v>
      </c>
      <c r="Q257" s="50">
        <v>0.03</v>
      </c>
      <c r="R257" s="50">
        <v>0.61</v>
      </c>
      <c r="S257" s="50">
        <v>0.03</v>
      </c>
      <c r="T257" s="50">
        <v>0.15</v>
      </c>
      <c r="U257" s="49">
        <v>48</v>
      </c>
      <c r="V257" s="50">
        <v>0.19</v>
      </c>
      <c r="W257" s="50">
        <v>0.45</v>
      </c>
      <c r="X257" s="49">
        <f t="shared" si="9"/>
        <v>38.25</v>
      </c>
      <c r="Y257" s="49">
        <f t="shared" si="10"/>
        <v>2.5499999999999998</v>
      </c>
      <c r="Z257" s="49">
        <f t="shared" si="11"/>
        <v>44.2</v>
      </c>
      <c r="AA257" s="23" t="s">
        <v>116</v>
      </c>
      <c r="AB257" s="23" t="s">
        <v>116</v>
      </c>
      <c r="AC257" s="23" t="s">
        <v>116</v>
      </c>
      <c r="AD257" s="23" t="s">
        <v>116</v>
      </c>
      <c r="AE257" s="23" t="s">
        <v>116</v>
      </c>
      <c r="AF257" s="23" t="s">
        <v>116</v>
      </c>
      <c r="AG257" s="23" t="s">
        <v>116</v>
      </c>
      <c r="AH257" s="23" t="s">
        <v>116</v>
      </c>
      <c r="AI257" s="52">
        <v>0</v>
      </c>
      <c r="AJ257" s="51">
        <v>49</v>
      </c>
    </row>
    <row r="258" spans="1:36" x14ac:dyDescent="0.2">
      <c r="A258" s="47">
        <v>44818</v>
      </c>
      <c r="B258" s="48">
        <v>14</v>
      </c>
      <c r="C258" s="48">
        <v>257</v>
      </c>
      <c r="D258" s="48">
        <v>4</v>
      </c>
      <c r="E258" s="48" t="s">
        <v>15</v>
      </c>
      <c r="F258" s="48">
        <v>37</v>
      </c>
      <c r="G258" s="48">
        <v>9</v>
      </c>
      <c r="H258" s="48" t="s">
        <v>25</v>
      </c>
      <c r="I258" s="48">
        <v>3</v>
      </c>
      <c r="J258" s="49">
        <v>7</v>
      </c>
      <c r="K258" s="49">
        <v>36</v>
      </c>
      <c r="L258" s="49">
        <v>258</v>
      </c>
      <c r="M258" s="50">
        <v>0.5</v>
      </c>
      <c r="N258" s="49">
        <v>128</v>
      </c>
      <c r="O258" s="49">
        <v>130</v>
      </c>
      <c r="P258" s="50">
        <v>1.23</v>
      </c>
      <c r="Q258" s="50">
        <v>0.23</v>
      </c>
      <c r="R258" s="50">
        <v>0.71</v>
      </c>
      <c r="S258" s="50">
        <v>0.28000000000000003</v>
      </c>
      <c r="T258" s="50">
        <v>0.05</v>
      </c>
      <c r="U258" s="49">
        <v>25</v>
      </c>
      <c r="V258" s="50">
        <v>0.45</v>
      </c>
      <c r="W258" s="50">
        <v>0.12</v>
      </c>
      <c r="X258" s="49">
        <f t="shared" si="9"/>
        <v>30.959999999999997</v>
      </c>
      <c r="Y258" s="49">
        <f t="shared" si="10"/>
        <v>72.240000000000009</v>
      </c>
      <c r="Z258" s="49">
        <f t="shared" si="11"/>
        <v>154.80000000000001</v>
      </c>
      <c r="AA258" s="23" t="s">
        <v>116</v>
      </c>
      <c r="AB258" s="23" t="s">
        <v>116</v>
      </c>
      <c r="AC258" s="23" t="s">
        <v>116</v>
      </c>
      <c r="AD258" s="23" t="s">
        <v>116</v>
      </c>
      <c r="AE258" s="23" t="s">
        <v>116</v>
      </c>
      <c r="AF258" s="23" t="s">
        <v>116</v>
      </c>
      <c r="AG258" s="23" t="s">
        <v>116</v>
      </c>
      <c r="AH258" s="23" t="s">
        <v>116</v>
      </c>
      <c r="AI258" s="52">
        <v>0</v>
      </c>
      <c r="AJ258" s="51">
        <v>130</v>
      </c>
    </row>
    <row r="259" spans="1:36" x14ac:dyDescent="0.2">
      <c r="A259" s="47">
        <v>44819</v>
      </c>
      <c r="B259" s="48">
        <v>15</v>
      </c>
      <c r="C259" s="48">
        <v>258</v>
      </c>
      <c r="D259" s="48">
        <v>5</v>
      </c>
      <c r="E259" s="48" t="s">
        <v>16</v>
      </c>
      <c r="F259" s="48">
        <v>37</v>
      </c>
      <c r="G259" s="48">
        <v>9</v>
      </c>
      <c r="H259" s="48" t="s">
        <v>25</v>
      </c>
      <c r="I259" s="48">
        <v>3</v>
      </c>
      <c r="J259" s="49">
        <v>14</v>
      </c>
      <c r="K259" s="49">
        <v>91</v>
      </c>
      <c r="L259" s="49">
        <v>1317</v>
      </c>
      <c r="M259" s="50">
        <v>0.76</v>
      </c>
      <c r="N259" s="49">
        <v>1007</v>
      </c>
      <c r="O259" s="49">
        <v>310</v>
      </c>
      <c r="P259" s="50">
        <v>0.64</v>
      </c>
      <c r="Q259" s="50">
        <v>0.4</v>
      </c>
      <c r="R259" s="50">
        <v>1.0900000000000001</v>
      </c>
      <c r="S259" s="50">
        <v>0.23</v>
      </c>
      <c r="T259" s="50">
        <v>0.01</v>
      </c>
      <c r="U259" s="49">
        <v>64</v>
      </c>
      <c r="V259" s="50">
        <v>0.26</v>
      </c>
      <c r="W259" s="50">
        <v>0.03</v>
      </c>
      <c r="X259" s="49">
        <f t="shared" ref="X259:X322" si="12">L259*W259</f>
        <v>39.51</v>
      </c>
      <c r="Y259" s="49">
        <f t="shared" ref="Y259:Y322" si="13">S259*L259</f>
        <v>302.91000000000003</v>
      </c>
      <c r="Z259" s="49">
        <f t="shared" ref="Z259:Z322" si="14">L259-(X259+Y259)</f>
        <v>974.57999999999993</v>
      </c>
      <c r="AA259" s="23" t="s">
        <v>116</v>
      </c>
      <c r="AB259" s="23" t="s">
        <v>116</v>
      </c>
      <c r="AC259" s="23">
        <v>300</v>
      </c>
      <c r="AD259" s="23" t="s">
        <v>116</v>
      </c>
      <c r="AE259" s="23" t="s">
        <v>116</v>
      </c>
      <c r="AF259" s="23" t="s">
        <v>116</v>
      </c>
      <c r="AG259" s="23" t="s">
        <v>116</v>
      </c>
      <c r="AH259" s="23" t="s">
        <v>116</v>
      </c>
      <c r="AI259" s="52">
        <v>300</v>
      </c>
      <c r="AJ259" s="51">
        <v>10</v>
      </c>
    </row>
    <row r="260" spans="1:36" x14ac:dyDescent="0.2">
      <c r="A260" s="47">
        <v>44820</v>
      </c>
      <c r="B260" s="48">
        <v>16</v>
      </c>
      <c r="C260" s="48">
        <v>259</v>
      </c>
      <c r="D260" s="48">
        <v>6</v>
      </c>
      <c r="E260" s="48" t="s">
        <v>17</v>
      </c>
      <c r="F260" s="48">
        <v>37</v>
      </c>
      <c r="G260" s="48">
        <v>9</v>
      </c>
      <c r="H260" s="48" t="s">
        <v>25</v>
      </c>
      <c r="I260" s="48">
        <v>3</v>
      </c>
      <c r="J260" s="49">
        <v>13</v>
      </c>
      <c r="K260" s="49">
        <v>31</v>
      </c>
      <c r="L260" s="49">
        <v>411</v>
      </c>
      <c r="M260" s="50">
        <v>0.46</v>
      </c>
      <c r="N260" s="49">
        <v>188</v>
      </c>
      <c r="O260" s="49">
        <v>223</v>
      </c>
      <c r="P260" s="50">
        <v>1.76</v>
      </c>
      <c r="Q260" s="50">
        <v>0.34</v>
      </c>
      <c r="R260" s="50">
        <v>0.65</v>
      </c>
      <c r="S260" s="50">
        <v>0.6</v>
      </c>
      <c r="T260" s="50">
        <v>0.03</v>
      </c>
      <c r="U260" s="49">
        <v>22</v>
      </c>
      <c r="V260" s="50">
        <v>0.18</v>
      </c>
      <c r="W260" s="50">
        <v>0.09</v>
      </c>
      <c r="X260" s="49">
        <f t="shared" si="12"/>
        <v>36.99</v>
      </c>
      <c r="Y260" s="49">
        <f t="shared" si="13"/>
        <v>246.6</v>
      </c>
      <c r="Z260" s="49">
        <f t="shared" si="14"/>
        <v>127.41000000000003</v>
      </c>
      <c r="AA260" s="23" t="s">
        <v>116</v>
      </c>
      <c r="AB260" s="23" t="s">
        <v>116</v>
      </c>
      <c r="AC260" s="23" t="s">
        <v>116</v>
      </c>
      <c r="AD260" s="23" t="s">
        <v>116</v>
      </c>
      <c r="AE260" s="23" t="s">
        <v>116</v>
      </c>
      <c r="AF260" s="23" t="s">
        <v>116</v>
      </c>
      <c r="AG260" s="23" t="s">
        <v>116</v>
      </c>
      <c r="AH260" s="23" t="s">
        <v>116</v>
      </c>
      <c r="AI260" s="52">
        <v>0</v>
      </c>
      <c r="AJ260" s="51">
        <v>223</v>
      </c>
    </row>
    <row r="261" spans="1:36" x14ac:dyDescent="0.2">
      <c r="A261" s="47">
        <v>44821</v>
      </c>
      <c r="B261" s="48">
        <v>17</v>
      </c>
      <c r="C261" s="48">
        <v>260</v>
      </c>
      <c r="D261" s="48">
        <v>7</v>
      </c>
      <c r="E261" s="48" t="s">
        <v>10</v>
      </c>
      <c r="F261" s="48">
        <v>37</v>
      </c>
      <c r="G261" s="48">
        <v>9</v>
      </c>
      <c r="H261" s="48" t="s">
        <v>25</v>
      </c>
      <c r="I261" s="48">
        <v>3</v>
      </c>
      <c r="J261" s="49">
        <v>26</v>
      </c>
      <c r="K261" s="49">
        <v>58</v>
      </c>
      <c r="L261" s="49">
        <v>1483</v>
      </c>
      <c r="M261" s="50">
        <v>0.77</v>
      </c>
      <c r="N261" s="49">
        <v>1140</v>
      </c>
      <c r="O261" s="49">
        <v>343</v>
      </c>
      <c r="P261" s="50">
        <v>1.02</v>
      </c>
      <c r="Q261" s="50">
        <v>0.96</v>
      </c>
      <c r="R261" s="50">
        <v>1.1000000000000001</v>
      </c>
      <c r="S261" s="50">
        <v>0.63</v>
      </c>
      <c r="T261" s="50">
        <v>0.01</v>
      </c>
      <c r="U261" s="49">
        <v>41</v>
      </c>
      <c r="V261" s="50">
        <v>0.1</v>
      </c>
      <c r="W261" s="50">
        <v>0.03</v>
      </c>
      <c r="X261" s="49">
        <f t="shared" si="12"/>
        <v>44.489999999999995</v>
      </c>
      <c r="Y261" s="49">
        <f t="shared" si="13"/>
        <v>934.29</v>
      </c>
      <c r="Z261" s="49">
        <f t="shared" si="14"/>
        <v>504.22</v>
      </c>
      <c r="AA261" s="23" t="s">
        <v>116</v>
      </c>
      <c r="AB261" s="23" t="s">
        <v>116</v>
      </c>
      <c r="AC261" s="23" t="s">
        <v>116</v>
      </c>
      <c r="AD261" s="23" t="s">
        <v>116</v>
      </c>
      <c r="AE261" s="23" t="s">
        <v>116</v>
      </c>
      <c r="AF261" s="23" t="s">
        <v>116</v>
      </c>
      <c r="AG261" s="23" t="s">
        <v>116</v>
      </c>
      <c r="AH261" s="23" t="s">
        <v>116</v>
      </c>
      <c r="AI261" s="52">
        <v>0</v>
      </c>
      <c r="AJ261" s="51">
        <v>343</v>
      </c>
    </row>
    <row r="262" spans="1:36" x14ac:dyDescent="0.2">
      <c r="A262" s="47">
        <v>44822</v>
      </c>
      <c r="B262" s="48">
        <v>18</v>
      </c>
      <c r="C262" s="48">
        <v>261</v>
      </c>
      <c r="D262" s="48">
        <v>1</v>
      </c>
      <c r="E262" s="48" t="s">
        <v>12</v>
      </c>
      <c r="F262" s="48">
        <v>38</v>
      </c>
      <c r="G262" s="48">
        <v>9</v>
      </c>
      <c r="H262" s="48" t="s">
        <v>25</v>
      </c>
      <c r="I262" s="48">
        <v>3</v>
      </c>
      <c r="J262" s="49">
        <v>7</v>
      </c>
      <c r="K262" s="49">
        <v>45</v>
      </c>
      <c r="L262" s="49">
        <v>330</v>
      </c>
      <c r="M262" s="50">
        <v>0.19</v>
      </c>
      <c r="N262" s="49">
        <v>63</v>
      </c>
      <c r="O262" s="49">
        <v>267</v>
      </c>
      <c r="P262" s="50">
        <v>0.6</v>
      </c>
      <c r="Q262" s="50">
        <v>0.57999999999999996</v>
      </c>
      <c r="R262" s="50">
        <v>0.27</v>
      </c>
      <c r="S262" s="50">
        <v>0.24</v>
      </c>
      <c r="T262" s="50">
        <v>0.09</v>
      </c>
      <c r="U262" s="49">
        <v>31</v>
      </c>
      <c r="V262" s="50">
        <v>0.14000000000000001</v>
      </c>
      <c r="W262" s="50">
        <v>0.06</v>
      </c>
      <c r="X262" s="49">
        <f t="shared" si="12"/>
        <v>19.8</v>
      </c>
      <c r="Y262" s="49">
        <f t="shared" si="13"/>
        <v>79.2</v>
      </c>
      <c r="Z262" s="49">
        <f t="shared" si="14"/>
        <v>231</v>
      </c>
      <c r="AA262" s="23" t="s">
        <v>116</v>
      </c>
      <c r="AB262" s="23">
        <v>1000</v>
      </c>
      <c r="AC262" s="23" t="s">
        <v>116</v>
      </c>
      <c r="AD262" s="23" t="s">
        <v>116</v>
      </c>
      <c r="AE262" s="23" t="s">
        <v>116</v>
      </c>
      <c r="AF262" s="23" t="s">
        <v>116</v>
      </c>
      <c r="AG262" s="23" t="s">
        <v>116</v>
      </c>
      <c r="AH262" s="23" t="s">
        <v>116</v>
      </c>
      <c r="AI262" s="52">
        <v>1000</v>
      </c>
      <c r="AJ262" s="51">
        <v>-733</v>
      </c>
    </row>
    <row r="263" spans="1:36" x14ac:dyDescent="0.2">
      <c r="A263" s="47">
        <v>44823</v>
      </c>
      <c r="B263" s="48">
        <v>19</v>
      </c>
      <c r="C263" s="48">
        <v>262</v>
      </c>
      <c r="D263" s="48">
        <v>2</v>
      </c>
      <c r="E263" s="48" t="s">
        <v>13</v>
      </c>
      <c r="F263" s="48">
        <v>38</v>
      </c>
      <c r="G263" s="48">
        <v>9</v>
      </c>
      <c r="H263" s="48" t="s">
        <v>25</v>
      </c>
      <c r="I263" s="48">
        <v>3</v>
      </c>
      <c r="J263" s="49">
        <v>16</v>
      </c>
      <c r="K263" s="49">
        <v>81</v>
      </c>
      <c r="L263" s="49">
        <v>1255</v>
      </c>
      <c r="M263" s="50">
        <v>0.6</v>
      </c>
      <c r="N263" s="49">
        <v>755</v>
      </c>
      <c r="O263" s="49">
        <v>499</v>
      </c>
      <c r="P263" s="50">
        <v>0.65</v>
      </c>
      <c r="Q263" s="50">
        <v>0.56999999999999995</v>
      </c>
      <c r="R263" s="50">
        <v>0.86</v>
      </c>
      <c r="S263" s="50">
        <v>0.27</v>
      </c>
      <c r="T263" s="50">
        <v>0.01</v>
      </c>
      <c r="U263" s="49">
        <v>57</v>
      </c>
      <c r="V263" s="50">
        <v>0.1</v>
      </c>
      <c r="W263" s="50">
        <v>0.03</v>
      </c>
      <c r="X263" s="49">
        <f t="shared" si="12"/>
        <v>37.65</v>
      </c>
      <c r="Y263" s="49">
        <f t="shared" si="13"/>
        <v>338.85</v>
      </c>
      <c r="Z263" s="49">
        <f t="shared" si="14"/>
        <v>878.5</v>
      </c>
      <c r="AA263" s="23" t="s">
        <v>116</v>
      </c>
      <c r="AB263" s="23" t="s">
        <v>116</v>
      </c>
      <c r="AC263" s="23" t="s">
        <v>116</v>
      </c>
      <c r="AD263" s="23" t="s">
        <v>116</v>
      </c>
      <c r="AE263" s="23" t="s">
        <v>116</v>
      </c>
      <c r="AF263" s="23" t="s">
        <v>116</v>
      </c>
      <c r="AG263" s="23" t="s">
        <v>116</v>
      </c>
      <c r="AH263" s="23" t="s">
        <v>116</v>
      </c>
      <c r="AI263" s="52">
        <v>0</v>
      </c>
      <c r="AJ263" s="51">
        <v>499</v>
      </c>
    </row>
    <row r="264" spans="1:36" x14ac:dyDescent="0.2">
      <c r="A264" s="47">
        <v>44824</v>
      </c>
      <c r="B264" s="48">
        <v>20</v>
      </c>
      <c r="C264" s="48">
        <v>263</v>
      </c>
      <c r="D264" s="48">
        <v>3</v>
      </c>
      <c r="E264" s="48" t="s">
        <v>14</v>
      </c>
      <c r="F264" s="48">
        <v>38</v>
      </c>
      <c r="G264" s="48">
        <v>9</v>
      </c>
      <c r="H264" s="48" t="s">
        <v>25</v>
      </c>
      <c r="I264" s="48">
        <v>3</v>
      </c>
      <c r="J264" s="49">
        <v>8</v>
      </c>
      <c r="K264" s="49">
        <v>36</v>
      </c>
      <c r="L264" s="49">
        <v>273</v>
      </c>
      <c r="M264" s="50">
        <v>0.72</v>
      </c>
      <c r="N264" s="49">
        <v>196</v>
      </c>
      <c r="O264" s="49">
        <v>77</v>
      </c>
      <c r="P264" s="50">
        <v>1.17</v>
      </c>
      <c r="Q264" s="50">
        <v>0.22</v>
      </c>
      <c r="R264" s="50">
        <v>1.03</v>
      </c>
      <c r="S264" s="50">
        <v>0.3</v>
      </c>
      <c r="T264" s="50">
        <v>0.05</v>
      </c>
      <c r="U264" s="49">
        <v>25</v>
      </c>
      <c r="V264" s="50">
        <v>0.41</v>
      </c>
      <c r="W264" s="50">
        <v>0.11</v>
      </c>
      <c r="X264" s="49">
        <f t="shared" si="12"/>
        <v>30.03</v>
      </c>
      <c r="Y264" s="49">
        <f t="shared" si="13"/>
        <v>81.899999999999991</v>
      </c>
      <c r="Z264" s="49">
        <f t="shared" si="14"/>
        <v>161.07</v>
      </c>
      <c r="AA264" s="23" t="s">
        <v>116</v>
      </c>
      <c r="AB264" s="23" t="s">
        <v>116</v>
      </c>
      <c r="AC264" s="23" t="s">
        <v>116</v>
      </c>
      <c r="AD264" s="23" t="s">
        <v>116</v>
      </c>
      <c r="AE264" s="23">
        <v>100</v>
      </c>
      <c r="AF264" s="23" t="s">
        <v>116</v>
      </c>
      <c r="AG264" s="23" t="s">
        <v>116</v>
      </c>
      <c r="AH264" s="23" t="s">
        <v>116</v>
      </c>
      <c r="AI264" s="52">
        <v>100</v>
      </c>
      <c r="AJ264" s="51">
        <v>-23</v>
      </c>
    </row>
    <row r="265" spans="1:36" x14ac:dyDescent="0.2">
      <c r="A265" s="47">
        <v>44825</v>
      </c>
      <c r="B265" s="48">
        <v>21</v>
      </c>
      <c r="C265" s="48">
        <v>264</v>
      </c>
      <c r="D265" s="48">
        <v>4</v>
      </c>
      <c r="E265" s="48" t="s">
        <v>15</v>
      </c>
      <c r="F265" s="48">
        <v>38</v>
      </c>
      <c r="G265" s="48">
        <v>9</v>
      </c>
      <c r="H265" s="48" t="s">
        <v>25</v>
      </c>
      <c r="I265" s="48">
        <v>3</v>
      </c>
      <c r="J265" s="49">
        <v>10</v>
      </c>
      <c r="K265" s="49">
        <v>35</v>
      </c>
      <c r="L265" s="49">
        <v>362</v>
      </c>
      <c r="M265" s="50">
        <v>0.66</v>
      </c>
      <c r="N265" s="49">
        <v>239</v>
      </c>
      <c r="O265" s="49">
        <v>123</v>
      </c>
      <c r="P265" s="50">
        <v>1.19</v>
      </c>
      <c r="Q265" s="50">
        <v>0.26</v>
      </c>
      <c r="R265" s="50">
        <v>0.94</v>
      </c>
      <c r="S265" s="50">
        <v>0.43</v>
      </c>
      <c r="T265" s="50">
        <v>0.04</v>
      </c>
      <c r="U265" s="49">
        <v>24</v>
      </c>
      <c r="V265" s="50">
        <v>0.34</v>
      </c>
      <c r="W265" s="50">
        <v>0.08</v>
      </c>
      <c r="X265" s="49">
        <f t="shared" si="12"/>
        <v>28.96</v>
      </c>
      <c r="Y265" s="49">
        <f t="shared" si="13"/>
        <v>155.66</v>
      </c>
      <c r="Z265" s="49">
        <f t="shared" si="14"/>
        <v>177.38</v>
      </c>
      <c r="AA265" s="23" t="s">
        <v>116</v>
      </c>
      <c r="AB265" s="23" t="s">
        <v>116</v>
      </c>
      <c r="AC265" s="23" t="s">
        <v>116</v>
      </c>
      <c r="AD265" s="23" t="s">
        <v>116</v>
      </c>
      <c r="AE265" s="23" t="s">
        <v>116</v>
      </c>
      <c r="AF265" s="23" t="s">
        <v>116</v>
      </c>
      <c r="AG265" s="23" t="s">
        <v>116</v>
      </c>
      <c r="AH265" s="23" t="s">
        <v>116</v>
      </c>
      <c r="AI265" s="52">
        <v>0</v>
      </c>
      <c r="AJ265" s="51">
        <v>123</v>
      </c>
    </row>
    <row r="266" spans="1:36" x14ac:dyDescent="0.2">
      <c r="A266" s="47">
        <v>44826</v>
      </c>
      <c r="B266" s="48">
        <v>22</v>
      </c>
      <c r="C266" s="48">
        <v>265</v>
      </c>
      <c r="D266" s="48">
        <v>5</v>
      </c>
      <c r="E266" s="48" t="s">
        <v>16</v>
      </c>
      <c r="F266" s="48">
        <v>38</v>
      </c>
      <c r="G266" s="48">
        <v>9</v>
      </c>
      <c r="H266" s="48" t="s">
        <v>25</v>
      </c>
      <c r="I266" s="48">
        <v>3</v>
      </c>
      <c r="J266" s="49">
        <v>11</v>
      </c>
      <c r="K266" s="49">
        <v>65</v>
      </c>
      <c r="L266" s="49">
        <v>737</v>
      </c>
      <c r="M266" s="50">
        <v>0.51</v>
      </c>
      <c r="N266" s="49">
        <v>374</v>
      </c>
      <c r="O266" s="49">
        <v>363</v>
      </c>
      <c r="P266" s="50">
        <v>0.66</v>
      </c>
      <c r="Q266" s="50">
        <v>0.34</v>
      </c>
      <c r="R266" s="50">
        <v>0.72</v>
      </c>
      <c r="S266" s="50">
        <v>0.25</v>
      </c>
      <c r="T266" s="50">
        <v>0.02</v>
      </c>
      <c r="U266" s="49">
        <v>45</v>
      </c>
      <c r="V266" s="50">
        <v>0.2</v>
      </c>
      <c r="W266" s="50">
        <v>0.04</v>
      </c>
      <c r="X266" s="49">
        <f t="shared" si="12"/>
        <v>29.48</v>
      </c>
      <c r="Y266" s="49">
        <f t="shared" si="13"/>
        <v>184.25</v>
      </c>
      <c r="Z266" s="49">
        <f t="shared" si="14"/>
        <v>523.27</v>
      </c>
      <c r="AA266" s="23" t="s">
        <v>116</v>
      </c>
      <c r="AB266" s="23" t="s">
        <v>116</v>
      </c>
      <c r="AC266" s="23" t="s">
        <v>116</v>
      </c>
      <c r="AD266" s="23" t="s">
        <v>116</v>
      </c>
      <c r="AE266" s="23" t="s">
        <v>116</v>
      </c>
      <c r="AF266" s="23" t="s">
        <v>116</v>
      </c>
      <c r="AG266" s="23" t="s">
        <v>116</v>
      </c>
      <c r="AH266" s="23" t="s">
        <v>116</v>
      </c>
      <c r="AI266" s="52">
        <v>0</v>
      </c>
      <c r="AJ266" s="51">
        <v>363</v>
      </c>
    </row>
    <row r="267" spans="1:36" x14ac:dyDescent="0.2">
      <c r="A267" s="47">
        <v>44827</v>
      </c>
      <c r="B267" s="48">
        <v>23</v>
      </c>
      <c r="C267" s="48">
        <v>266</v>
      </c>
      <c r="D267" s="48">
        <v>6</v>
      </c>
      <c r="E267" s="48" t="s">
        <v>17</v>
      </c>
      <c r="F267" s="48">
        <v>38</v>
      </c>
      <c r="G267" s="48">
        <v>9</v>
      </c>
      <c r="H267" s="48" t="s">
        <v>25</v>
      </c>
      <c r="I267" s="48">
        <v>3</v>
      </c>
      <c r="J267" s="49">
        <v>29</v>
      </c>
      <c r="K267" s="49">
        <v>51</v>
      </c>
      <c r="L267" s="49">
        <v>1458</v>
      </c>
      <c r="M267" s="50">
        <v>0.86</v>
      </c>
      <c r="N267" s="49">
        <v>1253</v>
      </c>
      <c r="O267" s="49">
        <v>205</v>
      </c>
      <c r="P267" s="50">
        <v>1.1299999999999999</v>
      </c>
      <c r="Q267" s="50">
        <v>0.84</v>
      </c>
      <c r="R267" s="50">
        <v>1.23</v>
      </c>
      <c r="S267" s="50">
        <v>0.81</v>
      </c>
      <c r="T267" s="50">
        <v>0.01</v>
      </c>
      <c r="U267" s="49">
        <v>35</v>
      </c>
      <c r="V267" s="50">
        <v>0.35</v>
      </c>
      <c r="W267" s="50">
        <v>0.03</v>
      </c>
      <c r="X267" s="49">
        <f t="shared" si="12"/>
        <v>43.739999999999995</v>
      </c>
      <c r="Y267" s="49">
        <f t="shared" si="13"/>
        <v>1180.98</v>
      </c>
      <c r="Z267" s="49">
        <f t="shared" si="14"/>
        <v>233.27999999999997</v>
      </c>
      <c r="AA267" s="23" t="s">
        <v>116</v>
      </c>
      <c r="AB267" s="23" t="s">
        <v>116</v>
      </c>
      <c r="AC267" s="23" t="s">
        <v>116</v>
      </c>
      <c r="AD267" s="23" t="s">
        <v>116</v>
      </c>
      <c r="AE267" s="23" t="s">
        <v>116</v>
      </c>
      <c r="AF267" s="23" t="s">
        <v>116</v>
      </c>
      <c r="AG267" s="23" t="s">
        <v>116</v>
      </c>
      <c r="AH267" s="23" t="s">
        <v>116</v>
      </c>
      <c r="AI267" s="52">
        <v>0</v>
      </c>
      <c r="AJ267" s="51">
        <v>205</v>
      </c>
    </row>
    <row r="268" spans="1:36" x14ac:dyDescent="0.2">
      <c r="A268" s="47">
        <v>44828</v>
      </c>
      <c r="B268" s="48">
        <v>24</v>
      </c>
      <c r="C268" s="48">
        <v>267</v>
      </c>
      <c r="D268" s="48">
        <v>7</v>
      </c>
      <c r="E268" s="48" t="s">
        <v>10</v>
      </c>
      <c r="F268" s="48">
        <v>38</v>
      </c>
      <c r="G268" s="48">
        <v>9</v>
      </c>
      <c r="H268" s="48" t="s">
        <v>25</v>
      </c>
      <c r="I268" s="48">
        <v>3</v>
      </c>
      <c r="J268" s="49">
        <v>9</v>
      </c>
      <c r="K268" s="49">
        <v>32</v>
      </c>
      <c r="L268" s="49">
        <v>293</v>
      </c>
      <c r="M268" s="50">
        <v>0.6</v>
      </c>
      <c r="N268" s="49">
        <v>175</v>
      </c>
      <c r="O268" s="49">
        <v>118</v>
      </c>
      <c r="P268" s="50">
        <v>1.27</v>
      </c>
      <c r="Q268" s="50">
        <v>0.23</v>
      </c>
      <c r="R268" s="50">
        <v>0.85</v>
      </c>
      <c r="S268" s="50">
        <v>0.4</v>
      </c>
      <c r="T268" s="50">
        <v>0.04</v>
      </c>
      <c r="U268" s="49">
        <v>23</v>
      </c>
      <c r="V268" s="50">
        <v>0.34</v>
      </c>
      <c r="W268" s="50">
        <v>0.1</v>
      </c>
      <c r="X268" s="49">
        <f t="shared" si="12"/>
        <v>29.3</v>
      </c>
      <c r="Y268" s="49">
        <f t="shared" si="13"/>
        <v>117.2</v>
      </c>
      <c r="Z268" s="49">
        <f t="shared" si="14"/>
        <v>146.5</v>
      </c>
      <c r="AA268" s="23" t="s">
        <v>116</v>
      </c>
      <c r="AB268" s="23" t="s">
        <v>116</v>
      </c>
      <c r="AC268" s="23" t="s">
        <v>116</v>
      </c>
      <c r="AD268" s="23" t="s">
        <v>116</v>
      </c>
      <c r="AE268" s="23" t="s">
        <v>116</v>
      </c>
      <c r="AF268" s="23" t="s">
        <v>116</v>
      </c>
      <c r="AG268" s="23" t="s">
        <v>116</v>
      </c>
      <c r="AH268" s="23" t="s">
        <v>116</v>
      </c>
      <c r="AI268" s="52">
        <v>0</v>
      </c>
      <c r="AJ268" s="51">
        <v>118</v>
      </c>
    </row>
    <row r="269" spans="1:36" x14ac:dyDescent="0.2">
      <c r="A269" s="47">
        <v>44829</v>
      </c>
      <c r="B269" s="48">
        <v>25</v>
      </c>
      <c r="C269" s="48">
        <v>268</v>
      </c>
      <c r="D269" s="48">
        <v>1</v>
      </c>
      <c r="E269" s="48" t="s">
        <v>12</v>
      </c>
      <c r="F269" s="48">
        <v>39</v>
      </c>
      <c r="G269" s="48">
        <v>9</v>
      </c>
      <c r="H269" s="48" t="s">
        <v>25</v>
      </c>
      <c r="I269" s="48">
        <v>3</v>
      </c>
      <c r="J269" s="49">
        <v>3</v>
      </c>
      <c r="K269" s="49">
        <v>16</v>
      </c>
      <c r="L269" s="49">
        <v>40</v>
      </c>
      <c r="M269" s="50">
        <v>0.28999999999999998</v>
      </c>
      <c r="N269" s="49">
        <v>12</v>
      </c>
      <c r="O269" s="49">
        <v>28</v>
      </c>
      <c r="P269" s="50">
        <v>2.0499999999999998</v>
      </c>
      <c r="Q269" s="50">
        <v>0.14000000000000001</v>
      </c>
      <c r="R269" s="50">
        <v>0.41</v>
      </c>
      <c r="S269" s="50">
        <v>0.23</v>
      </c>
      <c r="T269" s="50">
        <v>0.72</v>
      </c>
      <c r="U269" s="49">
        <v>11</v>
      </c>
      <c r="V269" s="50">
        <v>0.2</v>
      </c>
      <c r="W269" s="50">
        <v>0.56000000000000005</v>
      </c>
      <c r="X269" s="49">
        <f t="shared" si="12"/>
        <v>22.400000000000002</v>
      </c>
      <c r="Y269" s="49">
        <f t="shared" si="13"/>
        <v>9.2000000000000011</v>
      </c>
      <c r="Z269" s="49">
        <f t="shared" si="14"/>
        <v>8.3999999999999986</v>
      </c>
      <c r="AA269" s="23" t="s">
        <v>116</v>
      </c>
      <c r="AB269" s="23">
        <v>1000</v>
      </c>
      <c r="AC269" s="23" t="s">
        <v>116</v>
      </c>
      <c r="AD269" s="23" t="s">
        <v>116</v>
      </c>
      <c r="AE269" s="23" t="s">
        <v>116</v>
      </c>
      <c r="AF269" s="23" t="s">
        <v>116</v>
      </c>
      <c r="AG269" s="23">
        <v>83</v>
      </c>
      <c r="AH269" s="23" t="s">
        <v>116</v>
      </c>
      <c r="AI269" s="52">
        <v>1083</v>
      </c>
      <c r="AJ269" s="51">
        <v>-1055</v>
      </c>
    </row>
    <row r="270" spans="1:36" x14ac:dyDescent="0.2">
      <c r="A270" s="47">
        <v>44830</v>
      </c>
      <c r="B270" s="48">
        <v>26</v>
      </c>
      <c r="C270" s="48">
        <v>269</v>
      </c>
      <c r="D270" s="48">
        <v>2</v>
      </c>
      <c r="E270" s="48" t="s">
        <v>13</v>
      </c>
      <c r="F270" s="48">
        <v>39</v>
      </c>
      <c r="G270" s="48">
        <v>9</v>
      </c>
      <c r="H270" s="48" t="s">
        <v>25</v>
      </c>
      <c r="I270" s="48">
        <v>3</v>
      </c>
      <c r="J270" s="49">
        <v>2</v>
      </c>
      <c r="K270" s="49">
        <v>43</v>
      </c>
      <c r="L270" s="49">
        <v>70</v>
      </c>
      <c r="M270" s="50">
        <v>0.28000000000000003</v>
      </c>
      <c r="N270" s="49">
        <v>19</v>
      </c>
      <c r="O270" s="49">
        <v>51</v>
      </c>
      <c r="P270" s="50">
        <v>1.43</v>
      </c>
      <c r="Q270" s="50">
        <v>0.06</v>
      </c>
      <c r="R270" s="50">
        <v>0.4</v>
      </c>
      <c r="S270" s="50">
        <v>0.06</v>
      </c>
      <c r="T270" s="50">
        <v>0.19</v>
      </c>
      <c r="U270" s="49">
        <v>30</v>
      </c>
      <c r="V270" s="50">
        <v>0.21</v>
      </c>
      <c r="W270" s="50">
        <v>0.61</v>
      </c>
      <c r="X270" s="49">
        <f t="shared" si="12"/>
        <v>42.699999999999996</v>
      </c>
      <c r="Y270" s="49">
        <f t="shared" si="13"/>
        <v>4.2</v>
      </c>
      <c r="Z270" s="49">
        <f t="shared" si="14"/>
        <v>23.1</v>
      </c>
      <c r="AA270" s="23" t="s">
        <v>116</v>
      </c>
      <c r="AB270" s="23" t="s">
        <v>116</v>
      </c>
      <c r="AC270" s="23" t="s">
        <v>116</v>
      </c>
      <c r="AD270" s="23" t="s">
        <v>116</v>
      </c>
      <c r="AE270" s="23" t="s">
        <v>116</v>
      </c>
      <c r="AF270" s="23" t="s">
        <v>116</v>
      </c>
      <c r="AG270" s="23" t="s">
        <v>116</v>
      </c>
      <c r="AH270" s="23" t="s">
        <v>116</v>
      </c>
      <c r="AI270" s="52">
        <v>0</v>
      </c>
      <c r="AJ270" s="51">
        <v>51</v>
      </c>
    </row>
    <row r="271" spans="1:36" x14ac:dyDescent="0.2">
      <c r="A271" s="47">
        <v>44831</v>
      </c>
      <c r="B271" s="48">
        <v>27</v>
      </c>
      <c r="C271" s="48">
        <v>270</v>
      </c>
      <c r="D271" s="48">
        <v>3</v>
      </c>
      <c r="E271" s="48" t="s">
        <v>14</v>
      </c>
      <c r="F271" s="48">
        <v>39</v>
      </c>
      <c r="G271" s="48">
        <v>9</v>
      </c>
      <c r="H271" s="48" t="s">
        <v>25</v>
      </c>
      <c r="I271" s="48">
        <v>3</v>
      </c>
      <c r="J271" s="49">
        <v>23</v>
      </c>
      <c r="K271" s="49">
        <v>64</v>
      </c>
      <c r="L271" s="49">
        <v>1466</v>
      </c>
      <c r="M271" s="50">
        <v>0.76</v>
      </c>
      <c r="N271" s="49">
        <v>1108</v>
      </c>
      <c r="O271" s="49">
        <v>358</v>
      </c>
      <c r="P271" s="50">
        <v>1.1100000000000001</v>
      </c>
      <c r="Q271" s="50">
        <v>0.77</v>
      </c>
      <c r="R271" s="50">
        <v>1.08</v>
      </c>
      <c r="S271" s="50">
        <v>0.52</v>
      </c>
      <c r="T271" s="50">
        <v>0.01</v>
      </c>
      <c r="U271" s="49">
        <v>45</v>
      </c>
      <c r="V271" s="50">
        <v>0.28000000000000003</v>
      </c>
      <c r="W271" s="50">
        <v>0.03</v>
      </c>
      <c r="X271" s="49">
        <f t="shared" si="12"/>
        <v>43.98</v>
      </c>
      <c r="Y271" s="49">
        <f t="shared" si="13"/>
        <v>762.32</v>
      </c>
      <c r="Z271" s="49">
        <f t="shared" si="14"/>
        <v>659.69999999999993</v>
      </c>
      <c r="AA271" s="23" t="s">
        <v>116</v>
      </c>
      <c r="AB271" s="23" t="s">
        <v>116</v>
      </c>
      <c r="AC271" s="23" t="s">
        <v>116</v>
      </c>
      <c r="AD271" s="23" t="s">
        <v>116</v>
      </c>
      <c r="AE271" s="23" t="s">
        <v>116</v>
      </c>
      <c r="AF271" s="23" t="s">
        <v>116</v>
      </c>
      <c r="AG271" s="23" t="s">
        <v>116</v>
      </c>
      <c r="AH271" s="23" t="s">
        <v>116</v>
      </c>
      <c r="AI271" s="52">
        <v>0</v>
      </c>
      <c r="AJ271" s="51">
        <v>358</v>
      </c>
    </row>
    <row r="272" spans="1:36" x14ac:dyDescent="0.2">
      <c r="A272" s="47">
        <v>44832</v>
      </c>
      <c r="B272" s="48">
        <v>28</v>
      </c>
      <c r="C272" s="48">
        <v>271</v>
      </c>
      <c r="D272" s="48">
        <v>4</v>
      </c>
      <c r="E272" s="48" t="s">
        <v>15</v>
      </c>
      <c r="F272" s="48">
        <v>39</v>
      </c>
      <c r="G272" s="48">
        <v>9</v>
      </c>
      <c r="H272" s="48" t="s">
        <v>25</v>
      </c>
      <c r="I272" s="48">
        <v>3</v>
      </c>
      <c r="J272" s="49">
        <v>22</v>
      </c>
      <c r="K272" s="49">
        <v>67</v>
      </c>
      <c r="L272" s="49">
        <v>1481</v>
      </c>
      <c r="M272" s="50">
        <v>0.51</v>
      </c>
      <c r="N272" s="49">
        <v>751</v>
      </c>
      <c r="O272" s="49">
        <v>730</v>
      </c>
      <c r="P272" s="50">
        <v>0.76</v>
      </c>
      <c r="Q272" s="50">
        <v>0.82</v>
      </c>
      <c r="R272" s="50">
        <v>0.72</v>
      </c>
      <c r="S272" s="50">
        <v>0.47</v>
      </c>
      <c r="T272" s="50">
        <v>0.01</v>
      </c>
      <c r="U272" s="49">
        <v>47</v>
      </c>
      <c r="V272" s="50">
        <v>0.22</v>
      </c>
      <c r="W272" s="50">
        <v>0.02</v>
      </c>
      <c r="X272" s="49">
        <f t="shared" si="12"/>
        <v>29.62</v>
      </c>
      <c r="Y272" s="49">
        <f t="shared" si="13"/>
        <v>696.06999999999994</v>
      </c>
      <c r="Z272" s="49">
        <f t="shared" si="14"/>
        <v>755.31000000000006</v>
      </c>
      <c r="AA272" s="23" t="s">
        <v>116</v>
      </c>
      <c r="AB272" s="23" t="s">
        <v>116</v>
      </c>
      <c r="AC272" s="23" t="s">
        <v>116</v>
      </c>
      <c r="AD272" s="23" t="s">
        <v>116</v>
      </c>
      <c r="AE272" s="23" t="s">
        <v>116</v>
      </c>
      <c r="AF272" s="23" t="s">
        <v>116</v>
      </c>
      <c r="AG272" s="23" t="s">
        <v>116</v>
      </c>
      <c r="AH272" s="23" t="s">
        <v>116</v>
      </c>
      <c r="AI272" s="52">
        <v>0</v>
      </c>
      <c r="AJ272" s="51">
        <v>730</v>
      </c>
    </row>
    <row r="273" spans="1:36" x14ac:dyDescent="0.2">
      <c r="A273" s="47">
        <v>44833</v>
      </c>
      <c r="B273" s="48">
        <v>29</v>
      </c>
      <c r="C273" s="48">
        <v>272</v>
      </c>
      <c r="D273" s="48">
        <v>5</v>
      </c>
      <c r="E273" s="48" t="s">
        <v>16</v>
      </c>
      <c r="F273" s="48">
        <v>39</v>
      </c>
      <c r="G273" s="48">
        <v>9</v>
      </c>
      <c r="H273" s="48" t="s">
        <v>25</v>
      </c>
      <c r="I273" s="48">
        <v>3</v>
      </c>
      <c r="J273" s="49">
        <v>26</v>
      </c>
      <c r="K273" s="49">
        <v>59</v>
      </c>
      <c r="L273" s="49">
        <v>1549</v>
      </c>
      <c r="M273" s="50">
        <v>0.5</v>
      </c>
      <c r="N273" s="49">
        <v>781</v>
      </c>
      <c r="O273" s="49">
        <v>768</v>
      </c>
      <c r="P273" s="50">
        <v>0.67</v>
      </c>
      <c r="Q273" s="50">
        <v>0.78</v>
      </c>
      <c r="R273" s="50">
        <v>0.72</v>
      </c>
      <c r="S273" s="50">
        <v>0.63</v>
      </c>
      <c r="T273" s="50">
        <v>0.01</v>
      </c>
      <c r="U273" s="49">
        <v>42</v>
      </c>
      <c r="V273" s="50">
        <v>0.28999999999999998</v>
      </c>
      <c r="W273" s="50">
        <v>0.02</v>
      </c>
      <c r="X273" s="49">
        <f t="shared" si="12"/>
        <v>30.98</v>
      </c>
      <c r="Y273" s="49">
        <f t="shared" si="13"/>
        <v>975.87</v>
      </c>
      <c r="Z273" s="49">
        <f t="shared" si="14"/>
        <v>542.15</v>
      </c>
      <c r="AA273" s="23" t="s">
        <v>116</v>
      </c>
      <c r="AB273" s="23" t="s">
        <v>116</v>
      </c>
      <c r="AC273" s="23" t="s">
        <v>116</v>
      </c>
      <c r="AD273" s="23" t="s">
        <v>116</v>
      </c>
      <c r="AE273" s="23" t="s">
        <v>116</v>
      </c>
      <c r="AF273" s="23" t="s">
        <v>116</v>
      </c>
      <c r="AG273" s="23" t="s">
        <v>116</v>
      </c>
      <c r="AH273" s="23" t="s">
        <v>116</v>
      </c>
      <c r="AI273" s="52">
        <v>0</v>
      </c>
      <c r="AJ273" s="51">
        <v>768</v>
      </c>
    </row>
    <row r="274" spans="1:36" x14ac:dyDescent="0.2">
      <c r="A274" s="47">
        <v>44834</v>
      </c>
      <c r="B274" s="48">
        <v>30</v>
      </c>
      <c r="C274" s="48">
        <v>273</v>
      </c>
      <c r="D274" s="48">
        <v>6</v>
      </c>
      <c r="E274" s="48" t="s">
        <v>17</v>
      </c>
      <c r="F274" s="48">
        <v>39</v>
      </c>
      <c r="G274" s="48">
        <v>9</v>
      </c>
      <c r="H274" s="48" t="s">
        <v>25</v>
      </c>
      <c r="I274" s="48">
        <v>3</v>
      </c>
      <c r="J274" s="49">
        <v>24</v>
      </c>
      <c r="K274" s="49">
        <v>75</v>
      </c>
      <c r="L274" s="49">
        <v>1840</v>
      </c>
      <c r="M274" s="50">
        <v>0.6</v>
      </c>
      <c r="N274" s="49">
        <v>1109</v>
      </c>
      <c r="O274" s="49">
        <v>731</v>
      </c>
      <c r="P274" s="50">
        <v>1.0900000000000001</v>
      </c>
      <c r="Q274" s="50">
        <v>0.78</v>
      </c>
      <c r="R274" s="50">
        <v>0.86</v>
      </c>
      <c r="S274" s="50">
        <v>0.46</v>
      </c>
      <c r="T274" s="50">
        <v>0.01</v>
      </c>
      <c r="U274" s="49">
        <v>53</v>
      </c>
      <c r="V274" s="50">
        <v>0.21</v>
      </c>
      <c r="W274" s="50">
        <v>0.03</v>
      </c>
      <c r="X274" s="49">
        <f t="shared" si="12"/>
        <v>55.199999999999996</v>
      </c>
      <c r="Y274" s="49">
        <f t="shared" si="13"/>
        <v>846.40000000000009</v>
      </c>
      <c r="Z274" s="49">
        <f t="shared" si="14"/>
        <v>938.39999999999986</v>
      </c>
      <c r="AA274" s="23" t="s">
        <v>116</v>
      </c>
      <c r="AB274" s="23" t="s">
        <v>116</v>
      </c>
      <c r="AC274" s="23" t="s">
        <v>116</v>
      </c>
      <c r="AD274" s="23" t="s">
        <v>116</v>
      </c>
      <c r="AE274" s="23" t="s">
        <v>116</v>
      </c>
      <c r="AF274" s="23" t="s">
        <v>116</v>
      </c>
      <c r="AG274" s="23" t="s">
        <v>116</v>
      </c>
      <c r="AH274" s="23" t="s">
        <v>116</v>
      </c>
      <c r="AI274" s="52">
        <v>0</v>
      </c>
      <c r="AJ274" s="51">
        <v>731</v>
      </c>
    </row>
    <row r="275" spans="1:36" x14ac:dyDescent="0.2">
      <c r="A275" s="47">
        <v>44835</v>
      </c>
      <c r="B275" s="48">
        <v>1</v>
      </c>
      <c r="C275" s="48">
        <v>274</v>
      </c>
      <c r="D275" s="48">
        <v>7</v>
      </c>
      <c r="E275" s="48" t="s">
        <v>10</v>
      </c>
      <c r="F275" s="48">
        <v>39</v>
      </c>
      <c r="G275" s="48">
        <v>10</v>
      </c>
      <c r="H275" s="48" t="s">
        <v>26</v>
      </c>
      <c r="I275" s="48">
        <v>4</v>
      </c>
      <c r="J275" s="49">
        <v>20</v>
      </c>
      <c r="K275" s="49">
        <v>100</v>
      </c>
      <c r="L275" s="49">
        <v>2019</v>
      </c>
      <c r="M275" s="50">
        <v>0.53</v>
      </c>
      <c r="N275" s="49">
        <v>1077</v>
      </c>
      <c r="O275" s="49">
        <v>942</v>
      </c>
      <c r="P275" s="50">
        <v>0.6</v>
      </c>
      <c r="Q275" s="50">
        <v>0.55000000000000004</v>
      </c>
      <c r="R275" s="50">
        <v>0.76</v>
      </c>
      <c r="S275" s="50">
        <v>0.28999999999999998</v>
      </c>
      <c r="T275" s="50">
        <v>0.01</v>
      </c>
      <c r="U275" s="49">
        <v>70</v>
      </c>
      <c r="V275" s="50">
        <v>0.18</v>
      </c>
      <c r="W275" s="50">
        <v>0.02</v>
      </c>
      <c r="X275" s="49">
        <f t="shared" si="12"/>
        <v>40.380000000000003</v>
      </c>
      <c r="Y275" s="49">
        <f t="shared" si="13"/>
        <v>585.51</v>
      </c>
      <c r="Z275" s="49">
        <f t="shared" si="14"/>
        <v>1393.1100000000001</v>
      </c>
      <c r="AA275" s="23">
        <v>3000</v>
      </c>
      <c r="AB275" s="23" t="s">
        <v>116</v>
      </c>
      <c r="AC275" s="23" t="s">
        <v>116</v>
      </c>
      <c r="AD275" s="23" t="s">
        <v>116</v>
      </c>
      <c r="AE275" s="23" t="s">
        <v>116</v>
      </c>
      <c r="AF275" s="23" t="s">
        <v>116</v>
      </c>
      <c r="AG275" s="23" t="s">
        <v>116</v>
      </c>
      <c r="AH275" s="23" t="s">
        <v>116</v>
      </c>
      <c r="AI275" s="52">
        <v>3000</v>
      </c>
      <c r="AJ275" s="51">
        <v>-2058</v>
      </c>
    </row>
    <row r="276" spans="1:36" x14ac:dyDescent="0.2">
      <c r="A276" s="47">
        <v>44836</v>
      </c>
      <c r="B276" s="48">
        <v>2</v>
      </c>
      <c r="C276" s="48">
        <v>275</v>
      </c>
      <c r="D276" s="48">
        <v>1</v>
      </c>
      <c r="E276" s="48" t="s">
        <v>12</v>
      </c>
      <c r="F276" s="48">
        <v>40</v>
      </c>
      <c r="G276" s="48">
        <v>10</v>
      </c>
      <c r="H276" s="48" t="s">
        <v>26</v>
      </c>
      <c r="I276" s="48">
        <v>4</v>
      </c>
      <c r="J276" s="49">
        <v>5</v>
      </c>
      <c r="K276" s="49">
        <v>9</v>
      </c>
      <c r="L276" s="49">
        <v>44</v>
      </c>
      <c r="M276" s="50">
        <v>0.28000000000000003</v>
      </c>
      <c r="N276" s="49">
        <v>13</v>
      </c>
      <c r="O276" s="49">
        <v>32</v>
      </c>
      <c r="P276" s="50">
        <v>2.36</v>
      </c>
      <c r="Q276" s="50">
        <v>0.33</v>
      </c>
      <c r="R276" s="50">
        <v>0.41</v>
      </c>
      <c r="S276" s="50">
        <v>0.84</v>
      </c>
      <c r="T276" s="50">
        <v>0.64</v>
      </c>
      <c r="U276" s="49">
        <v>6</v>
      </c>
      <c r="V276" s="50">
        <v>0.91</v>
      </c>
      <c r="W276" s="50">
        <v>0.32</v>
      </c>
      <c r="X276" s="49">
        <f t="shared" si="12"/>
        <v>14.08</v>
      </c>
      <c r="Y276" s="49">
        <f t="shared" si="13"/>
        <v>36.96</v>
      </c>
      <c r="Z276" s="49">
        <f t="shared" si="14"/>
        <v>-7.0399999999999991</v>
      </c>
      <c r="AA276" s="23" t="s">
        <v>116</v>
      </c>
      <c r="AB276" s="23">
        <v>1000</v>
      </c>
      <c r="AC276" s="23" t="s">
        <v>116</v>
      </c>
      <c r="AD276" s="23" t="s">
        <v>116</v>
      </c>
      <c r="AE276" s="23" t="s">
        <v>116</v>
      </c>
      <c r="AF276" s="23" t="s">
        <v>116</v>
      </c>
      <c r="AG276" s="23" t="s">
        <v>116</v>
      </c>
      <c r="AH276" s="23" t="s">
        <v>116</v>
      </c>
      <c r="AI276" s="52">
        <v>1000</v>
      </c>
      <c r="AJ276" s="51">
        <v>-968</v>
      </c>
    </row>
    <row r="277" spans="1:36" x14ac:dyDescent="0.2">
      <c r="A277" s="47">
        <v>44837</v>
      </c>
      <c r="B277" s="48">
        <v>3</v>
      </c>
      <c r="C277" s="48">
        <v>276</v>
      </c>
      <c r="D277" s="48">
        <v>2</v>
      </c>
      <c r="E277" s="48" t="s">
        <v>13</v>
      </c>
      <c r="F277" s="48">
        <v>40</v>
      </c>
      <c r="G277" s="48">
        <v>10</v>
      </c>
      <c r="H277" s="48" t="s">
        <v>26</v>
      </c>
      <c r="I277" s="48">
        <v>4</v>
      </c>
      <c r="J277" s="49">
        <v>14</v>
      </c>
      <c r="K277" s="49">
        <v>69</v>
      </c>
      <c r="L277" s="49">
        <v>968</v>
      </c>
      <c r="M277" s="50">
        <v>0.48</v>
      </c>
      <c r="N277" s="49">
        <v>464</v>
      </c>
      <c r="O277" s="49">
        <v>503</v>
      </c>
      <c r="P277" s="50">
        <v>0.77</v>
      </c>
      <c r="Q277" s="50">
        <v>0.45</v>
      </c>
      <c r="R277" s="50">
        <v>0.69</v>
      </c>
      <c r="S277" s="50">
        <v>0.28999999999999998</v>
      </c>
      <c r="T277" s="50">
        <v>0.01</v>
      </c>
      <c r="U277" s="49">
        <v>49</v>
      </c>
      <c r="V277" s="50">
        <v>0.12</v>
      </c>
      <c r="W277" s="50">
        <v>0.04</v>
      </c>
      <c r="X277" s="49">
        <f t="shared" si="12"/>
        <v>38.72</v>
      </c>
      <c r="Y277" s="49">
        <f t="shared" si="13"/>
        <v>280.71999999999997</v>
      </c>
      <c r="Z277" s="49">
        <f t="shared" si="14"/>
        <v>648.56000000000006</v>
      </c>
      <c r="AA277" s="23" t="s">
        <v>116</v>
      </c>
      <c r="AB277" s="23" t="s">
        <v>116</v>
      </c>
      <c r="AC277" s="23" t="s">
        <v>116</v>
      </c>
      <c r="AD277" s="23" t="s">
        <v>116</v>
      </c>
      <c r="AE277" s="23" t="s">
        <v>116</v>
      </c>
      <c r="AF277" s="23" t="s">
        <v>116</v>
      </c>
      <c r="AG277" s="23" t="s">
        <v>116</v>
      </c>
      <c r="AH277" s="23" t="s">
        <v>116</v>
      </c>
      <c r="AI277" s="52">
        <v>0</v>
      </c>
      <c r="AJ277" s="51">
        <v>503</v>
      </c>
    </row>
    <row r="278" spans="1:36" x14ac:dyDescent="0.2">
      <c r="A278" s="47">
        <v>44838</v>
      </c>
      <c r="B278" s="48">
        <v>4</v>
      </c>
      <c r="C278" s="48">
        <v>277</v>
      </c>
      <c r="D278" s="48">
        <v>3</v>
      </c>
      <c r="E278" s="48" t="s">
        <v>14</v>
      </c>
      <c r="F278" s="48">
        <v>40</v>
      </c>
      <c r="G278" s="48">
        <v>10</v>
      </c>
      <c r="H278" s="48" t="s">
        <v>26</v>
      </c>
      <c r="I278" s="48">
        <v>4</v>
      </c>
      <c r="J278" s="49">
        <v>7</v>
      </c>
      <c r="K278" s="49">
        <v>27</v>
      </c>
      <c r="L278" s="49">
        <v>190</v>
      </c>
      <c r="M278" s="50">
        <v>0.49</v>
      </c>
      <c r="N278" s="49">
        <v>93</v>
      </c>
      <c r="O278" s="49">
        <v>97</v>
      </c>
      <c r="P278" s="50">
        <v>2.19</v>
      </c>
      <c r="Q278" s="50">
        <v>0.2</v>
      </c>
      <c r="R278" s="50">
        <v>0.7</v>
      </c>
      <c r="S278" s="50">
        <v>0.36</v>
      </c>
      <c r="T278" s="50">
        <v>7.0000000000000007E-2</v>
      </c>
      <c r="U278" s="49">
        <v>19</v>
      </c>
      <c r="V278" s="50">
        <v>0.5</v>
      </c>
      <c r="W278" s="50">
        <v>0.22</v>
      </c>
      <c r="X278" s="49">
        <f t="shared" si="12"/>
        <v>41.8</v>
      </c>
      <c r="Y278" s="49">
        <f t="shared" si="13"/>
        <v>68.399999999999991</v>
      </c>
      <c r="Z278" s="49">
        <f t="shared" si="14"/>
        <v>79.800000000000011</v>
      </c>
      <c r="AA278" s="23" t="s">
        <v>116</v>
      </c>
      <c r="AB278" s="23" t="s">
        <v>116</v>
      </c>
      <c r="AC278" s="23" t="s">
        <v>116</v>
      </c>
      <c r="AD278" s="23" t="s">
        <v>116</v>
      </c>
      <c r="AE278" s="23" t="s">
        <v>116</v>
      </c>
      <c r="AF278" s="23" t="s">
        <v>116</v>
      </c>
      <c r="AG278" s="23" t="s">
        <v>116</v>
      </c>
      <c r="AH278" s="23" t="s">
        <v>116</v>
      </c>
      <c r="AI278" s="52">
        <v>0</v>
      </c>
      <c r="AJ278" s="51">
        <v>97</v>
      </c>
    </row>
    <row r="279" spans="1:36" x14ac:dyDescent="0.2">
      <c r="A279" s="47">
        <v>44839</v>
      </c>
      <c r="B279" s="48">
        <v>5</v>
      </c>
      <c r="C279" s="48">
        <v>278</v>
      </c>
      <c r="D279" s="48">
        <v>4</v>
      </c>
      <c r="E279" s="48" t="s">
        <v>15</v>
      </c>
      <c r="F279" s="48">
        <v>40</v>
      </c>
      <c r="G279" s="48">
        <v>10</v>
      </c>
      <c r="H279" s="48" t="s">
        <v>26</v>
      </c>
      <c r="I279" s="48">
        <v>4</v>
      </c>
      <c r="J279" s="49">
        <v>15</v>
      </c>
      <c r="K279" s="49">
        <v>70</v>
      </c>
      <c r="L279" s="49">
        <v>1066</v>
      </c>
      <c r="M279" s="50">
        <v>0.63</v>
      </c>
      <c r="N279" s="49">
        <v>670</v>
      </c>
      <c r="O279" s="49">
        <v>396</v>
      </c>
      <c r="P279" s="50">
        <v>0.86</v>
      </c>
      <c r="Q279" s="50">
        <v>0.43</v>
      </c>
      <c r="R279" s="50">
        <v>0.9</v>
      </c>
      <c r="S279" s="50">
        <v>0.31</v>
      </c>
      <c r="T279" s="50">
        <v>0.01</v>
      </c>
      <c r="U279" s="49">
        <v>49</v>
      </c>
      <c r="V279" s="50">
        <v>0.22</v>
      </c>
      <c r="W279" s="50">
        <v>0.04</v>
      </c>
      <c r="X279" s="49">
        <f t="shared" si="12"/>
        <v>42.64</v>
      </c>
      <c r="Y279" s="49">
        <f t="shared" si="13"/>
        <v>330.46</v>
      </c>
      <c r="Z279" s="49">
        <f t="shared" si="14"/>
        <v>692.90000000000009</v>
      </c>
      <c r="AA279" s="23" t="s">
        <v>116</v>
      </c>
      <c r="AB279" s="23" t="s">
        <v>116</v>
      </c>
      <c r="AC279" s="23" t="s">
        <v>116</v>
      </c>
      <c r="AD279" s="23" t="s">
        <v>116</v>
      </c>
      <c r="AE279" s="23" t="s">
        <v>116</v>
      </c>
      <c r="AF279" s="23" t="s">
        <v>116</v>
      </c>
      <c r="AG279" s="23" t="s">
        <v>116</v>
      </c>
      <c r="AH279" s="23">
        <v>1000</v>
      </c>
      <c r="AI279" s="52">
        <v>1000</v>
      </c>
      <c r="AJ279" s="51">
        <v>-604</v>
      </c>
    </row>
    <row r="280" spans="1:36" x14ac:dyDescent="0.2">
      <c r="A280" s="47">
        <v>44840</v>
      </c>
      <c r="B280" s="48">
        <v>6</v>
      </c>
      <c r="C280" s="48">
        <v>279</v>
      </c>
      <c r="D280" s="48">
        <v>5</v>
      </c>
      <c r="E280" s="48" t="s">
        <v>16</v>
      </c>
      <c r="F280" s="48">
        <v>40</v>
      </c>
      <c r="G280" s="48">
        <v>10</v>
      </c>
      <c r="H280" s="48" t="s">
        <v>26</v>
      </c>
      <c r="I280" s="48">
        <v>4</v>
      </c>
      <c r="J280" s="49">
        <v>16</v>
      </c>
      <c r="K280" s="49">
        <v>42</v>
      </c>
      <c r="L280" s="49">
        <v>668</v>
      </c>
      <c r="M280" s="50">
        <v>0.56000000000000005</v>
      </c>
      <c r="N280" s="49">
        <v>376</v>
      </c>
      <c r="O280" s="49">
        <v>292</v>
      </c>
      <c r="P280" s="50">
        <v>1.35</v>
      </c>
      <c r="Q280" s="50">
        <v>0.5</v>
      </c>
      <c r="R280" s="50">
        <v>0.8</v>
      </c>
      <c r="S280" s="50">
        <v>0.55000000000000004</v>
      </c>
      <c r="T280" s="50">
        <v>0.02</v>
      </c>
      <c r="U280" s="49">
        <v>29</v>
      </c>
      <c r="V280" s="50">
        <v>0.32</v>
      </c>
      <c r="W280" s="50">
        <v>0.06</v>
      </c>
      <c r="X280" s="49">
        <f t="shared" si="12"/>
        <v>40.08</v>
      </c>
      <c r="Y280" s="49">
        <f t="shared" si="13"/>
        <v>367.40000000000003</v>
      </c>
      <c r="Z280" s="49">
        <f t="shared" si="14"/>
        <v>260.52</v>
      </c>
      <c r="AA280" s="23" t="s">
        <v>116</v>
      </c>
      <c r="AB280" s="23" t="s">
        <v>116</v>
      </c>
      <c r="AC280" s="23" t="s">
        <v>116</v>
      </c>
      <c r="AD280" s="23" t="s">
        <v>116</v>
      </c>
      <c r="AE280" s="23" t="s">
        <v>116</v>
      </c>
      <c r="AF280" s="23" t="s">
        <v>116</v>
      </c>
      <c r="AG280" s="23" t="s">
        <v>116</v>
      </c>
      <c r="AH280" s="23" t="s">
        <v>116</v>
      </c>
      <c r="AI280" s="52">
        <v>0</v>
      </c>
      <c r="AJ280" s="51">
        <v>292</v>
      </c>
    </row>
    <row r="281" spans="1:36" x14ac:dyDescent="0.2">
      <c r="A281" s="47">
        <v>44841</v>
      </c>
      <c r="B281" s="48">
        <v>7</v>
      </c>
      <c r="C281" s="48">
        <v>280</v>
      </c>
      <c r="D281" s="48">
        <v>6</v>
      </c>
      <c r="E281" s="48" t="s">
        <v>17</v>
      </c>
      <c r="F281" s="48">
        <v>40</v>
      </c>
      <c r="G281" s="48">
        <v>10</v>
      </c>
      <c r="H281" s="48" t="s">
        <v>26</v>
      </c>
      <c r="I281" s="48">
        <v>4</v>
      </c>
      <c r="J281" s="49">
        <v>17</v>
      </c>
      <c r="K281" s="49">
        <v>88</v>
      </c>
      <c r="L281" s="49">
        <v>1493</v>
      </c>
      <c r="M281" s="50">
        <v>0.8</v>
      </c>
      <c r="N281" s="49">
        <v>1201</v>
      </c>
      <c r="O281" s="49">
        <v>292</v>
      </c>
      <c r="P281" s="50">
        <v>0.67</v>
      </c>
      <c r="Q281" s="50">
        <v>0.55000000000000004</v>
      </c>
      <c r="R281" s="50">
        <v>1.1499999999999999</v>
      </c>
      <c r="S281" s="50">
        <v>0.27</v>
      </c>
      <c r="T281" s="50">
        <v>0.01</v>
      </c>
      <c r="U281" s="49">
        <v>62</v>
      </c>
      <c r="V281" s="50">
        <v>0.13</v>
      </c>
      <c r="W281" s="50">
        <v>0.03</v>
      </c>
      <c r="X281" s="49">
        <f t="shared" si="12"/>
        <v>44.79</v>
      </c>
      <c r="Y281" s="49">
        <f t="shared" si="13"/>
        <v>403.11</v>
      </c>
      <c r="Z281" s="49">
        <f t="shared" si="14"/>
        <v>1045.0999999999999</v>
      </c>
      <c r="AA281" s="23" t="s">
        <v>116</v>
      </c>
      <c r="AB281" s="23" t="s">
        <v>116</v>
      </c>
      <c r="AC281" s="23" t="s">
        <v>116</v>
      </c>
      <c r="AD281" s="23" t="s">
        <v>116</v>
      </c>
      <c r="AE281" s="23" t="s">
        <v>116</v>
      </c>
      <c r="AF281" s="23" t="s">
        <v>116</v>
      </c>
      <c r="AG281" s="23" t="s">
        <v>116</v>
      </c>
      <c r="AH281" s="23" t="s">
        <v>116</v>
      </c>
      <c r="AI281" s="52">
        <v>0</v>
      </c>
      <c r="AJ281" s="51">
        <v>292</v>
      </c>
    </row>
    <row r="282" spans="1:36" x14ac:dyDescent="0.2">
      <c r="A282" s="47">
        <v>44842</v>
      </c>
      <c r="B282" s="48">
        <v>8</v>
      </c>
      <c r="C282" s="48">
        <v>281</v>
      </c>
      <c r="D282" s="48">
        <v>7</v>
      </c>
      <c r="E282" s="48" t="s">
        <v>10</v>
      </c>
      <c r="F282" s="48">
        <v>40</v>
      </c>
      <c r="G282" s="48">
        <v>10</v>
      </c>
      <c r="H282" s="48" t="s">
        <v>26</v>
      </c>
      <c r="I282" s="48">
        <v>4</v>
      </c>
      <c r="J282" s="49">
        <v>15</v>
      </c>
      <c r="K282" s="49">
        <v>40</v>
      </c>
      <c r="L282" s="49">
        <v>607</v>
      </c>
      <c r="M282" s="50">
        <v>0.72</v>
      </c>
      <c r="N282" s="49">
        <v>435</v>
      </c>
      <c r="O282" s="49">
        <v>173</v>
      </c>
      <c r="P282" s="50">
        <v>0.97</v>
      </c>
      <c r="Q282" s="50">
        <v>0.38</v>
      </c>
      <c r="R282" s="50">
        <v>1.02</v>
      </c>
      <c r="S282" s="50">
        <v>0.54</v>
      </c>
      <c r="T282" s="50">
        <v>0.02</v>
      </c>
      <c r="U282" s="49">
        <v>28</v>
      </c>
      <c r="V282" s="50">
        <v>0.28999999999999998</v>
      </c>
      <c r="W282" s="50">
        <v>0.04</v>
      </c>
      <c r="X282" s="49">
        <f t="shared" si="12"/>
        <v>24.28</v>
      </c>
      <c r="Y282" s="49">
        <f t="shared" si="13"/>
        <v>327.78000000000003</v>
      </c>
      <c r="Z282" s="49">
        <f t="shared" si="14"/>
        <v>254.93999999999994</v>
      </c>
      <c r="AA282" s="23" t="s">
        <v>116</v>
      </c>
      <c r="AB282" s="23" t="s">
        <v>116</v>
      </c>
      <c r="AC282" s="23" t="s">
        <v>116</v>
      </c>
      <c r="AD282" s="23" t="s">
        <v>116</v>
      </c>
      <c r="AE282" s="23" t="s">
        <v>116</v>
      </c>
      <c r="AF282" s="23" t="s">
        <v>116</v>
      </c>
      <c r="AG282" s="23" t="s">
        <v>116</v>
      </c>
      <c r="AH282" s="23" t="s">
        <v>116</v>
      </c>
      <c r="AI282" s="52">
        <v>0</v>
      </c>
      <c r="AJ282" s="51">
        <v>173</v>
      </c>
    </row>
    <row r="283" spans="1:36" x14ac:dyDescent="0.2">
      <c r="A283" s="47">
        <v>44843</v>
      </c>
      <c r="B283" s="48">
        <v>9</v>
      </c>
      <c r="C283" s="48">
        <v>282</v>
      </c>
      <c r="D283" s="48">
        <v>1</v>
      </c>
      <c r="E283" s="48" t="s">
        <v>12</v>
      </c>
      <c r="F283" s="48">
        <v>41</v>
      </c>
      <c r="G283" s="48">
        <v>10</v>
      </c>
      <c r="H283" s="48" t="s">
        <v>26</v>
      </c>
      <c r="I283" s="48">
        <v>4</v>
      </c>
      <c r="J283" s="49">
        <v>7</v>
      </c>
      <c r="K283" s="49">
        <v>50</v>
      </c>
      <c r="L283" s="49">
        <v>323</v>
      </c>
      <c r="M283" s="50">
        <v>0.25</v>
      </c>
      <c r="N283" s="49">
        <v>79</v>
      </c>
      <c r="O283" s="49">
        <v>243</v>
      </c>
      <c r="P283" s="50">
        <v>0.63</v>
      </c>
      <c r="Q283" s="50">
        <v>0.42</v>
      </c>
      <c r="R283" s="50">
        <v>0.35</v>
      </c>
      <c r="S283" s="50">
        <v>0.19</v>
      </c>
      <c r="T283" s="50">
        <v>0.09</v>
      </c>
      <c r="U283" s="49">
        <v>35</v>
      </c>
      <c r="V283" s="50">
        <v>0.14000000000000001</v>
      </c>
      <c r="W283" s="50">
        <v>7.0000000000000007E-2</v>
      </c>
      <c r="X283" s="49">
        <f t="shared" si="12"/>
        <v>22.610000000000003</v>
      </c>
      <c r="Y283" s="49">
        <f t="shared" si="13"/>
        <v>61.37</v>
      </c>
      <c r="Z283" s="49">
        <f t="shared" si="14"/>
        <v>239.01999999999998</v>
      </c>
      <c r="AA283" s="23" t="s">
        <v>116</v>
      </c>
      <c r="AB283" s="23">
        <v>1000</v>
      </c>
      <c r="AC283" s="23" t="s">
        <v>116</v>
      </c>
      <c r="AD283" s="23" t="s">
        <v>116</v>
      </c>
      <c r="AE283" s="23" t="s">
        <v>116</v>
      </c>
      <c r="AF283" s="23" t="s">
        <v>116</v>
      </c>
      <c r="AG283" s="23" t="s">
        <v>116</v>
      </c>
      <c r="AH283" s="23" t="s">
        <v>116</v>
      </c>
      <c r="AI283" s="52">
        <v>1000</v>
      </c>
      <c r="AJ283" s="51">
        <v>-757</v>
      </c>
    </row>
    <row r="284" spans="1:36" x14ac:dyDescent="0.2">
      <c r="A284" s="47">
        <v>44844</v>
      </c>
      <c r="B284" s="48">
        <v>10</v>
      </c>
      <c r="C284" s="48">
        <v>283</v>
      </c>
      <c r="D284" s="48">
        <v>2</v>
      </c>
      <c r="E284" s="48" t="s">
        <v>13</v>
      </c>
      <c r="F284" s="48">
        <v>41</v>
      </c>
      <c r="G284" s="48">
        <v>10</v>
      </c>
      <c r="H284" s="48" t="s">
        <v>26</v>
      </c>
      <c r="I284" s="48">
        <v>4</v>
      </c>
      <c r="J284" s="49">
        <v>11</v>
      </c>
      <c r="K284" s="49">
        <v>31</v>
      </c>
      <c r="L284" s="49">
        <v>348</v>
      </c>
      <c r="M284" s="50">
        <v>0.3</v>
      </c>
      <c r="N284" s="49">
        <v>104</v>
      </c>
      <c r="O284" s="49">
        <v>244</v>
      </c>
      <c r="P284" s="50">
        <v>1.63</v>
      </c>
      <c r="Q284" s="50">
        <v>0.28000000000000003</v>
      </c>
      <c r="R284" s="50">
        <v>0.43</v>
      </c>
      <c r="S284" s="50">
        <v>0.53</v>
      </c>
      <c r="T284" s="50">
        <v>0.04</v>
      </c>
      <c r="U284" s="49">
        <v>21</v>
      </c>
      <c r="V284" s="50">
        <v>0.56999999999999995</v>
      </c>
      <c r="W284" s="50">
        <v>0.1</v>
      </c>
      <c r="X284" s="49">
        <f t="shared" si="12"/>
        <v>34.800000000000004</v>
      </c>
      <c r="Y284" s="49">
        <f t="shared" si="13"/>
        <v>184.44</v>
      </c>
      <c r="Z284" s="49">
        <f t="shared" si="14"/>
        <v>128.76</v>
      </c>
      <c r="AA284" s="23" t="s">
        <v>116</v>
      </c>
      <c r="AB284" s="23" t="s">
        <v>116</v>
      </c>
      <c r="AC284" s="23" t="s">
        <v>116</v>
      </c>
      <c r="AD284" s="23">
        <v>300</v>
      </c>
      <c r="AE284" s="23" t="s">
        <v>116</v>
      </c>
      <c r="AF284" s="23" t="s">
        <v>116</v>
      </c>
      <c r="AG284" s="23" t="s">
        <v>116</v>
      </c>
      <c r="AH284" s="23" t="s">
        <v>116</v>
      </c>
      <c r="AI284" s="52">
        <v>300</v>
      </c>
      <c r="AJ284" s="51">
        <v>-56</v>
      </c>
    </row>
    <row r="285" spans="1:36" x14ac:dyDescent="0.2">
      <c r="A285" s="47">
        <v>44845</v>
      </c>
      <c r="B285" s="48">
        <v>11</v>
      </c>
      <c r="C285" s="48">
        <v>284</v>
      </c>
      <c r="D285" s="48">
        <v>3</v>
      </c>
      <c r="E285" s="48" t="s">
        <v>14</v>
      </c>
      <c r="F285" s="48">
        <v>41</v>
      </c>
      <c r="G285" s="48">
        <v>10</v>
      </c>
      <c r="H285" s="48" t="s">
        <v>26</v>
      </c>
      <c r="I285" s="48">
        <v>4</v>
      </c>
      <c r="J285" s="49">
        <v>8</v>
      </c>
      <c r="K285" s="49">
        <v>75</v>
      </c>
      <c r="L285" s="49">
        <v>587</v>
      </c>
      <c r="M285" s="50">
        <v>0.34</v>
      </c>
      <c r="N285" s="49">
        <v>199</v>
      </c>
      <c r="O285" s="49">
        <v>388</v>
      </c>
      <c r="P285" s="50">
        <v>0.4</v>
      </c>
      <c r="Q285" s="50">
        <v>0.23</v>
      </c>
      <c r="R285" s="50">
        <v>0.48</v>
      </c>
      <c r="S285" s="50">
        <v>0.15</v>
      </c>
      <c r="T285" s="50">
        <v>0.02</v>
      </c>
      <c r="U285" s="49">
        <v>52</v>
      </c>
      <c r="V285" s="50">
        <v>0.15</v>
      </c>
      <c r="W285" s="50">
        <v>0.04</v>
      </c>
      <c r="X285" s="49">
        <f t="shared" si="12"/>
        <v>23.48</v>
      </c>
      <c r="Y285" s="49">
        <f t="shared" si="13"/>
        <v>88.05</v>
      </c>
      <c r="Z285" s="49">
        <f t="shared" si="14"/>
        <v>475.47</v>
      </c>
      <c r="AA285" s="23" t="s">
        <v>116</v>
      </c>
      <c r="AB285" s="23" t="s">
        <v>116</v>
      </c>
      <c r="AC285" s="23" t="s">
        <v>116</v>
      </c>
      <c r="AD285" s="23" t="s">
        <v>116</v>
      </c>
      <c r="AE285" s="23" t="s">
        <v>116</v>
      </c>
      <c r="AF285" s="23" t="s">
        <v>116</v>
      </c>
      <c r="AG285" s="23" t="s">
        <v>116</v>
      </c>
      <c r="AH285" s="23" t="s">
        <v>116</v>
      </c>
      <c r="AI285" s="52">
        <v>0</v>
      </c>
      <c r="AJ285" s="51">
        <v>388</v>
      </c>
    </row>
    <row r="286" spans="1:36" x14ac:dyDescent="0.2">
      <c r="A286" s="47">
        <v>44846</v>
      </c>
      <c r="B286" s="48">
        <v>12</v>
      </c>
      <c r="C286" s="48">
        <v>285</v>
      </c>
      <c r="D286" s="48">
        <v>4</v>
      </c>
      <c r="E286" s="48" t="s">
        <v>15</v>
      </c>
      <c r="F286" s="48">
        <v>41</v>
      </c>
      <c r="G286" s="48">
        <v>10</v>
      </c>
      <c r="H286" s="48" t="s">
        <v>26</v>
      </c>
      <c r="I286" s="48">
        <v>4</v>
      </c>
      <c r="J286" s="49">
        <v>15</v>
      </c>
      <c r="K286" s="49">
        <v>26</v>
      </c>
      <c r="L286" s="49">
        <v>387</v>
      </c>
      <c r="M286" s="50">
        <v>0.37</v>
      </c>
      <c r="N286" s="49">
        <v>141</v>
      </c>
      <c r="O286" s="49">
        <v>246</v>
      </c>
      <c r="P286" s="50">
        <v>2.48</v>
      </c>
      <c r="Q286" s="50">
        <v>0.36</v>
      </c>
      <c r="R286" s="50">
        <v>0.52</v>
      </c>
      <c r="S286" s="50">
        <v>0.81</v>
      </c>
      <c r="T286" s="50">
        <v>0.03</v>
      </c>
      <c r="U286" s="49">
        <v>18</v>
      </c>
      <c r="V286" s="50">
        <v>0.36</v>
      </c>
      <c r="W286" s="50">
        <v>0.12</v>
      </c>
      <c r="X286" s="49">
        <f t="shared" si="12"/>
        <v>46.44</v>
      </c>
      <c r="Y286" s="49">
        <f t="shared" si="13"/>
        <v>313.47000000000003</v>
      </c>
      <c r="Z286" s="49">
        <f t="shared" si="14"/>
        <v>27.089999999999975</v>
      </c>
      <c r="AA286" s="23" t="s">
        <v>116</v>
      </c>
      <c r="AB286" s="23" t="s">
        <v>116</v>
      </c>
      <c r="AC286" s="23" t="s">
        <v>116</v>
      </c>
      <c r="AD286" s="23" t="s">
        <v>116</v>
      </c>
      <c r="AE286" s="23" t="s">
        <v>116</v>
      </c>
      <c r="AF286" s="23">
        <v>480</v>
      </c>
      <c r="AG286" s="23" t="s">
        <v>116</v>
      </c>
      <c r="AH286" s="23" t="s">
        <v>116</v>
      </c>
      <c r="AI286" s="52">
        <v>480</v>
      </c>
      <c r="AJ286" s="51">
        <v>-234</v>
      </c>
    </row>
    <row r="287" spans="1:36" x14ac:dyDescent="0.2">
      <c r="A287" s="47">
        <v>44847</v>
      </c>
      <c r="B287" s="48">
        <v>13</v>
      </c>
      <c r="C287" s="48">
        <v>286</v>
      </c>
      <c r="D287" s="48">
        <v>5</v>
      </c>
      <c r="E287" s="48" t="s">
        <v>16</v>
      </c>
      <c r="F287" s="48">
        <v>41</v>
      </c>
      <c r="G287" s="48">
        <v>10</v>
      </c>
      <c r="H287" s="48" t="s">
        <v>26</v>
      </c>
      <c r="I287" s="48">
        <v>4</v>
      </c>
      <c r="J287" s="49">
        <v>18</v>
      </c>
      <c r="K287" s="49">
        <v>62</v>
      </c>
      <c r="L287" s="49">
        <v>1102</v>
      </c>
      <c r="M287" s="50">
        <v>0.53</v>
      </c>
      <c r="N287" s="49">
        <v>579</v>
      </c>
      <c r="O287" s="49">
        <v>522</v>
      </c>
      <c r="P287" s="50">
        <v>1.08</v>
      </c>
      <c r="Q287" s="50">
        <v>0.44</v>
      </c>
      <c r="R287" s="50">
        <v>0.75</v>
      </c>
      <c r="S287" s="50">
        <v>0.41</v>
      </c>
      <c r="T287" s="50">
        <v>0.01</v>
      </c>
      <c r="U287" s="49">
        <v>43</v>
      </c>
      <c r="V287" s="50">
        <v>0.2</v>
      </c>
      <c r="W287" s="50">
        <v>0.04</v>
      </c>
      <c r="X287" s="49">
        <f t="shared" si="12"/>
        <v>44.08</v>
      </c>
      <c r="Y287" s="49">
        <f t="shared" si="13"/>
        <v>451.82</v>
      </c>
      <c r="Z287" s="49">
        <f t="shared" si="14"/>
        <v>606.1</v>
      </c>
      <c r="AA287" s="23" t="s">
        <v>116</v>
      </c>
      <c r="AB287" s="23" t="s">
        <v>116</v>
      </c>
      <c r="AC287" s="23" t="s">
        <v>116</v>
      </c>
      <c r="AD287" s="23" t="s">
        <v>116</v>
      </c>
      <c r="AE287" s="23" t="s">
        <v>116</v>
      </c>
      <c r="AF287" s="23" t="s">
        <v>116</v>
      </c>
      <c r="AG287" s="23" t="s">
        <v>116</v>
      </c>
      <c r="AH287" s="23" t="s">
        <v>116</v>
      </c>
      <c r="AI287" s="52">
        <v>0</v>
      </c>
      <c r="AJ287" s="51">
        <v>522</v>
      </c>
    </row>
    <row r="288" spans="1:36" x14ac:dyDescent="0.2">
      <c r="A288" s="47">
        <v>44848</v>
      </c>
      <c r="B288" s="48">
        <v>14</v>
      </c>
      <c r="C288" s="48">
        <v>287</v>
      </c>
      <c r="D288" s="48">
        <v>6</v>
      </c>
      <c r="E288" s="48" t="s">
        <v>17</v>
      </c>
      <c r="F288" s="48">
        <v>41</v>
      </c>
      <c r="G288" s="48">
        <v>10</v>
      </c>
      <c r="H288" s="48" t="s">
        <v>26</v>
      </c>
      <c r="I288" s="48">
        <v>4</v>
      </c>
      <c r="J288" s="49">
        <v>20</v>
      </c>
      <c r="K288" s="49">
        <v>58</v>
      </c>
      <c r="L288" s="49">
        <v>1131</v>
      </c>
      <c r="M288" s="50">
        <v>0.4</v>
      </c>
      <c r="N288" s="49">
        <v>449</v>
      </c>
      <c r="O288" s="49">
        <v>682</v>
      </c>
      <c r="P288" s="50">
        <v>0.78</v>
      </c>
      <c r="Q288" s="50">
        <v>0.64</v>
      </c>
      <c r="R288" s="50">
        <v>0.56999999999999995</v>
      </c>
      <c r="S288" s="50">
        <v>0.48</v>
      </c>
      <c r="T288" s="50">
        <v>0.01</v>
      </c>
      <c r="U288" s="49">
        <v>40</v>
      </c>
      <c r="V288" s="50">
        <v>0.13</v>
      </c>
      <c r="W288" s="50">
        <v>0.03</v>
      </c>
      <c r="X288" s="49">
        <f t="shared" si="12"/>
        <v>33.93</v>
      </c>
      <c r="Y288" s="49">
        <f t="shared" si="13"/>
        <v>542.88</v>
      </c>
      <c r="Z288" s="49">
        <f t="shared" si="14"/>
        <v>554.19000000000005</v>
      </c>
      <c r="AA288" s="23" t="s">
        <v>116</v>
      </c>
      <c r="AB288" s="23" t="s">
        <v>116</v>
      </c>
      <c r="AC288" s="23" t="s">
        <v>116</v>
      </c>
      <c r="AD288" s="23" t="s">
        <v>116</v>
      </c>
      <c r="AE288" s="23" t="s">
        <v>116</v>
      </c>
      <c r="AF288" s="23" t="s">
        <v>116</v>
      </c>
      <c r="AG288" s="23" t="s">
        <v>116</v>
      </c>
      <c r="AH288" s="23" t="s">
        <v>116</v>
      </c>
      <c r="AI288" s="52">
        <v>0</v>
      </c>
      <c r="AJ288" s="51">
        <v>682</v>
      </c>
    </row>
    <row r="289" spans="1:36" x14ac:dyDescent="0.2">
      <c r="A289" s="47">
        <v>44849</v>
      </c>
      <c r="B289" s="48">
        <v>15</v>
      </c>
      <c r="C289" s="48">
        <v>288</v>
      </c>
      <c r="D289" s="48">
        <v>7</v>
      </c>
      <c r="E289" s="48" t="s">
        <v>10</v>
      </c>
      <c r="F289" s="48">
        <v>41</v>
      </c>
      <c r="G289" s="48">
        <v>10</v>
      </c>
      <c r="H289" s="48" t="s">
        <v>26</v>
      </c>
      <c r="I289" s="48">
        <v>4</v>
      </c>
      <c r="J289" s="49">
        <v>9</v>
      </c>
      <c r="K289" s="49">
        <v>75</v>
      </c>
      <c r="L289" s="49">
        <v>699</v>
      </c>
      <c r="M289" s="50">
        <v>0.51</v>
      </c>
      <c r="N289" s="49">
        <v>355</v>
      </c>
      <c r="O289" s="49">
        <v>344</v>
      </c>
      <c r="P289" s="50">
        <v>0.8</v>
      </c>
      <c r="Q289" s="50">
        <v>0.27</v>
      </c>
      <c r="R289" s="50">
        <v>0.72</v>
      </c>
      <c r="S289" s="50">
        <v>0.18</v>
      </c>
      <c r="T289" s="50">
        <v>0.02</v>
      </c>
      <c r="U289" s="49">
        <v>52</v>
      </c>
      <c r="V289" s="50">
        <v>0.19</v>
      </c>
      <c r="W289" s="50">
        <v>0.06</v>
      </c>
      <c r="X289" s="49">
        <f t="shared" si="12"/>
        <v>41.94</v>
      </c>
      <c r="Y289" s="49">
        <f t="shared" si="13"/>
        <v>125.82</v>
      </c>
      <c r="Z289" s="49">
        <f t="shared" si="14"/>
        <v>531.24</v>
      </c>
      <c r="AA289" s="23" t="s">
        <v>116</v>
      </c>
      <c r="AB289" s="23" t="s">
        <v>116</v>
      </c>
      <c r="AC289" s="23">
        <v>300</v>
      </c>
      <c r="AD289" s="23" t="s">
        <v>116</v>
      </c>
      <c r="AE289" s="23" t="s">
        <v>116</v>
      </c>
      <c r="AF289" s="23" t="s">
        <v>116</v>
      </c>
      <c r="AG289" s="23" t="s">
        <v>116</v>
      </c>
      <c r="AH289" s="23" t="s">
        <v>116</v>
      </c>
      <c r="AI289" s="52">
        <v>300</v>
      </c>
      <c r="AJ289" s="51">
        <v>44</v>
      </c>
    </row>
    <row r="290" spans="1:36" x14ac:dyDescent="0.2">
      <c r="A290" s="47">
        <v>44850</v>
      </c>
      <c r="B290" s="48">
        <v>16</v>
      </c>
      <c r="C290" s="48">
        <v>289</v>
      </c>
      <c r="D290" s="48">
        <v>1</v>
      </c>
      <c r="E290" s="48" t="s">
        <v>12</v>
      </c>
      <c r="F290" s="48">
        <v>42</v>
      </c>
      <c r="G290" s="48">
        <v>10</v>
      </c>
      <c r="H290" s="48" t="s">
        <v>26</v>
      </c>
      <c r="I290" s="48">
        <v>4</v>
      </c>
      <c r="J290" s="49">
        <v>9</v>
      </c>
      <c r="K290" s="49">
        <v>22</v>
      </c>
      <c r="L290" s="49">
        <v>199</v>
      </c>
      <c r="M290" s="50">
        <v>0.22</v>
      </c>
      <c r="N290" s="49">
        <v>45</v>
      </c>
      <c r="O290" s="49">
        <v>154</v>
      </c>
      <c r="P290" s="50">
        <v>1.45</v>
      </c>
      <c r="Q290" s="50">
        <v>0.55000000000000004</v>
      </c>
      <c r="R290" s="50">
        <v>0.32</v>
      </c>
      <c r="S290" s="50">
        <v>0.59</v>
      </c>
      <c r="T290" s="50">
        <v>0.14000000000000001</v>
      </c>
      <c r="U290" s="49">
        <v>15</v>
      </c>
      <c r="V290" s="50">
        <v>0.25</v>
      </c>
      <c r="W290" s="50">
        <v>0.11</v>
      </c>
      <c r="X290" s="49">
        <f t="shared" si="12"/>
        <v>21.89</v>
      </c>
      <c r="Y290" s="49">
        <f t="shared" si="13"/>
        <v>117.41</v>
      </c>
      <c r="Z290" s="49">
        <f t="shared" si="14"/>
        <v>59.699999999999989</v>
      </c>
      <c r="AA290" s="23" t="s">
        <v>116</v>
      </c>
      <c r="AB290" s="23">
        <v>1000</v>
      </c>
      <c r="AC290" s="23" t="s">
        <v>116</v>
      </c>
      <c r="AD290" s="23" t="s">
        <v>116</v>
      </c>
      <c r="AE290" s="23" t="s">
        <v>116</v>
      </c>
      <c r="AF290" s="23" t="s">
        <v>116</v>
      </c>
      <c r="AG290" s="23" t="s">
        <v>116</v>
      </c>
      <c r="AH290" s="23" t="s">
        <v>116</v>
      </c>
      <c r="AI290" s="52">
        <v>1000</v>
      </c>
      <c r="AJ290" s="51">
        <v>-846</v>
      </c>
    </row>
    <row r="291" spans="1:36" x14ac:dyDescent="0.2">
      <c r="A291" s="47">
        <v>44851</v>
      </c>
      <c r="B291" s="48">
        <v>17</v>
      </c>
      <c r="C291" s="48">
        <v>290</v>
      </c>
      <c r="D291" s="48">
        <v>2</v>
      </c>
      <c r="E291" s="48" t="s">
        <v>13</v>
      </c>
      <c r="F291" s="48">
        <v>42</v>
      </c>
      <c r="G291" s="48">
        <v>10</v>
      </c>
      <c r="H291" s="48" t="s">
        <v>26</v>
      </c>
      <c r="I291" s="48">
        <v>4</v>
      </c>
      <c r="J291" s="49">
        <v>10</v>
      </c>
      <c r="K291" s="49">
        <v>96</v>
      </c>
      <c r="L291" s="49">
        <v>959</v>
      </c>
      <c r="M291" s="50">
        <v>0.55000000000000004</v>
      </c>
      <c r="N291" s="49">
        <v>526</v>
      </c>
      <c r="O291" s="49">
        <v>433</v>
      </c>
      <c r="P291" s="50">
        <v>0.73</v>
      </c>
      <c r="Q291" s="50">
        <v>0.28000000000000003</v>
      </c>
      <c r="R291" s="50">
        <v>0.78</v>
      </c>
      <c r="S291" s="50">
        <v>0.15</v>
      </c>
      <c r="T291" s="50">
        <v>0.01</v>
      </c>
      <c r="U291" s="49">
        <v>67</v>
      </c>
      <c r="V291" s="50">
        <v>0.17</v>
      </c>
      <c r="W291" s="50">
        <v>0.05</v>
      </c>
      <c r="X291" s="49">
        <f t="shared" si="12"/>
        <v>47.95</v>
      </c>
      <c r="Y291" s="49">
        <f t="shared" si="13"/>
        <v>143.85</v>
      </c>
      <c r="Z291" s="49">
        <f t="shared" si="14"/>
        <v>767.2</v>
      </c>
      <c r="AA291" s="23" t="s">
        <v>116</v>
      </c>
      <c r="AB291" s="23" t="s">
        <v>116</v>
      </c>
      <c r="AC291" s="23" t="s">
        <v>116</v>
      </c>
      <c r="AD291" s="23" t="s">
        <v>116</v>
      </c>
      <c r="AE291" s="23" t="s">
        <v>116</v>
      </c>
      <c r="AF291" s="23" t="s">
        <v>116</v>
      </c>
      <c r="AG291" s="23" t="s">
        <v>116</v>
      </c>
      <c r="AH291" s="23" t="s">
        <v>116</v>
      </c>
      <c r="AI291" s="52">
        <v>0</v>
      </c>
      <c r="AJ291" s="51">
        <v>433</v>
      </c>
    </row>
    <row r="292" spans="1:36" x14ac:dyDescent="0.2">
      <c r="A292" s="47">
        <v>44852</v>
      </c>
      <c r="B292" s="48">
        <v>18</v>
      </c>
      <c r="C292" s="48">
        <v>291</v>
      </c>
      <c r="D292" s="48">
        <v>3</v>
      </c>
      <c r="E292" s="48" t="s">
        <v>14</v>
      </c>
      <c r="F292" s="48">
        <v>42</v>
      </c>
      <c r="G292" s="48">
        <v>10</v>
      </c>
      <c r="H292" s="48" t="s">
        <v>26</v>
      </c>
      <c r="I292" s="48">
        <v>4</v>
      </c>
      <c r="J292" s="49">
        <v>13</v>
      </c>
      <c r="K292" s="49">
        <v>38</v>
      </c>
      <c r="L292" s="49">
        <v>506</v>
      </c>
      <c r="M292" s="50">
        <v>0.3</v>
      </c>
      <c r="N292" s="49">
        <v>153</v>
      </c>
      <c r="O292" s="49">
        <v>353</v>
      </c>
      <c r="P292" s="50">
        <v>1.44</v>
      </c>
      <c r="Q292" s="50">
        <v>0.38</v>
      </c>
      <c r="R292" s="50">
        <v>0.43</v>
      </c>
      <c r="S292" s="50">
        <v>0.51</v>
      </c>
      <c r="T292" s="50">
        <v>0.03</v>
      </c>
      <c r="U292" s="49">
        <v>26</v>
      </c>
      <c r="V292" s="50">
        <v>0.23</v>
      </c>
      <c r="W292" s="50">
        <v>0.08</v>
      </c>
      <c r="X292" s="49">
        <f t="shared" si="12"/>
        <v>40.480000000000004</v>
      </c>
      <c r="Y292" s="49">
        <f t="shared" si="13"/>
        <v>258.06</v>
      </c>
      <c r="Z292" s="49">
        <f t="shared" si="14"/>
        <v>207.45999999999998</v>
      </c>
      <c r="AA292" s="23" t="s">
        <v>116</v>
      </c>
      <c r="AB292" s="23" t="s">
        <v>116</v>
      </c>
      <c r="AC292" s="23" t="s">
        <v>116</v>
      </c>
      <c r="AD292" s="23" t="s">
        <v>116</v>
      </c>
      <c r="AE292" s="23" t="s">
        <v>116</v>
      </c>
      <c r="AF292" s="23" t="s">
        <v>116</v>
      </c>
      <c r="AG292" s="23" t="s">
        <v>116</v>
      </c>
      <c r="AH292" s="23" t="s">
        <v>116</v>
      </c>
      <c r="AI292" s="52">
        <v>0</v>
      </c>
      <c r="AJ292" s="51">
        <v>353</v>
      </c>
    </row>
    <row r="293" spans="1:36" x14ac:dyDescent="0.2">
      <c r="A293" s="47">
        <v>44853</v>
      </c>
      <c r="B293" s="48">
        <v>19</v>
      </c>
      <c r="C293" s="48">
        <v>292</v>
      </c>
      <c r="D293" s="48">
        <v>4</v>
      </c>
      <c r="E293" s="48" t="s">
        <v>15</v>
      </c>
      <c r="F293" s="48">
        <v>42</v>
      </c>
      <c r="G293" s="48">
        <v>10</v>
      </c>
      <c r="H293" s="48" t="s">
        <v>26</v>
      </c>
      <c r="I293" s="48">
        <v>4</v>
      </c>
      <c r="J293" s="49">
        <v>19</v>
      </c>
      <c r="K293" s="49">
        <v>109</v>
      </c>
      <c r="L293" s="49">
        <v>2061</v>
      </c>
      <c r="M293" s="50">
        <v>0.32</v>
      </c>
      <c r="N293" s="49">
        <v>667</v>
      </c>
      <c r="O293" s="49">
        <v>1394</v>
      </c>
      <c r="P293" s="50">
        <v>0.49</v>
      </c>
      <c r="Q293" s="50">
        <v>0.63</v>
      </c>
      <c r="R293" s="50">
        <v>0.46</v>
      </c>
      <c r="S293" s="50">
        <v>0.25</v>
      </c>
      <c r="T293" s="50">
        <v>0.01</v>
      </c>
      <c r="U293" s="49">
        <v>76</v>
      </c>
      <c r="V293" s="50">
        <v>0.16</v>
      </c>
      <c r="W293" s="50">
        <v>0.02</v>
      </c>
      <c r="X293" s="49">
        <f t="shared" si="12"/>
        <v>41.22</v>
      </c>
      <c r="Y293" s="49">
        <f t="shared" si="13"/>
        <v>515.25</v>
      </c>
      <c r="Z293" s="49">
        <f t="shared" si="14"/>
        <v>1504.53</v>
      </c>
      <c r="AA293" s="23" t="s">
        <v>116</v>
      </c>
      <c r="AB293" s="23" t="s">
        <v>116</v>
      </c>
      <c r="AC293" s="23" t="s">
        <v>116</v>
      </c>
      <c r="AD293" s="23" t="s">
        <v>116</v>
      </c>
      <c r="AE293" s="23" t="s">
        <v>116</v>
      </c>
      <c r="AF293" s="23" t="s">
        <v>116</v>
      </c>
      <c r="AG293" s="23" t="s">
        <v>116</v>
      </c>
      <c r="AH293" s="23" t="s">
        <v>116</v>
      </c>
      <c r="AI293" s="52">
        <v>0</v>
      </c>
      <c r="AJ293" s="51">
        <v>1394</v>
      </c>
    </row>
    <row r="294" spans="1:36" x14ac:dyDescent="0.2">
      <c r="A294" s="47">
        <v>44854</v>
      </c>
      <c r="B294" s="48">
        <v>20</v>
      </c>
      <c r="C294" s="48">
        <v>293</v>
      </c>
      <c r="D294" s="48">
        <v>5</v>
      </c>
      <c r="E294" s="48" t="s">
        <v>16</v>
      </c>
      <c r="F294" s="48">
        <v>42</v>
      </c>
      <c r="G294" s="48">
        <v>10</v>
      </c>
      <c r="H294" s="48" t="s">
        <v>26</v>
      </c>
      <c r="I294" s="48">
        <v>4</v>
      </c>
      <c r="J294" s="49">
        <v>24</v>
      </c>
      <c r="K294" s="49">
        <v>45</v>
      </c>
      <c r="L294" s="49">
        <v>1083</v>
      </c>
      <c r="M294" s="50">
        <v>0.6</v>
      </c>
      <c r="N294" s="49">
        <v>653</v>
      </c>
      <c r="O294" s="49">
        <v>430</v>
      </c>
      <c r="P294" s="50">
        <v>1.32</v>
      </c>
      <c r="Q294" s="50">
        <v>0.63</v>
      </c>
      <c r="R294" s="50">
        <v>0.86</v>
      </c>
      <c r="S294" s="50">
        <v>0.78</v>
      </c>
      <c r="T294" s="50">
        <v>0.01</v>
      </c>
      <c r="U294" s="49">
        <v>31</v>
      </c>
      <c r="V294" s="50">
        <v>0.28000000000000003</v>
      </c>
      <c r="W294" s="50">
        <v>0.04</v>
      </c>
      <c r="X294" s="49">
        <f t="shared" si="12"/>
        <v>43.32</v>
      </c>
      <c r="Y294" s="49">
        <f t="shared" si="13"/>
        <v>844.74</v>
      </c>
      <c r="Z294" s="49">
        <f t="shared" si="14"/>
        <v>194.93999999999994</v>
      </c>
      <c r="AA294" s="23" t="s">
        <v>116</v>
      </c>
      <c r="AB294" s="23" t="s">
        <v>116</v>
      </c>
      <c r="AC294" s="23" t="s">
        <v>116</v>
      </c>
      <c r="AD294" s="23" t="s">
        <v>116</v>
      </c>
      <c r="AE294" s="23">
        <v>100</v>
      </c>
      <c r="AF294" s="23" t="s">
        <v>116</v>
      </c>
      <c r="AG294" s="23" t="s">
        <v>116</v>
      </c>
      <c r="AH294" s="23" t="s">
        <v>116</v>
      </c>
      <c r="AI294" s="52">
        <v>100</v>
      </c>
      <c r="AJ294" s="51">
        <v>330</v>
      </c>
    </row>
    <row r="295" spans="1:36" x14ac:dyDescent="0.2">
      <c r="A295" s="47">
        <v>44855</v>
      </c>
      <c r="B295" s="48">
        <v>21</v>
      </c>
      <c r="C295" s="48">
        <v>294</v>
      </c>
      <c r="D295" s="48">
        <v>6</v>
      </c>
      <c r="E295" s="48" t="s">
        <v>17</v>
      </c>
      <c r="F295" s="48">
        <v>42</v>
      </c>
      <c r="G295" s="48">
        <v>10</v>
      </c>
      <c r="H295" s="48" t="s">
        <v>26</v>
      </c>
      <c r="I295" s="48">
        <v>4</v>
      </c>
      <c r="J295" s="49">
        <v>19</v>
      </c>
      <c r="K295" s="49">
        <v>35</v>
      </c>
      <c r="L295" s="49">
        <v>667</v>
      </c>
      <c r="M295" s="50">
        <v>0.44</v>
      </c>
      <c r="N295" s="49">
        <v>296</v>
      </c>
      <c r="O295" s="49">
        <v>371</v>
      </c>
      <c r="P295" s="50">
        <v>1.71</v>
      </c>
      <c r="Q295" s="50">
        <v>0.46</v>
      </c>
      <c r="R295" s="50">
        <v>0.63</v>
      </c>
      <c r="S295" s="50">
        <v>0.78</v>
      </c>
      <c r="T295" s="50">
        <v>0.02</v>
      </c>
      <c r="U295" s="49">
        <v>24</v>
      </c>
      <c r="V295" s="50">
        <v>0.39</v>
      </c>
      <c r="W295" s="50">
        <v>0.06</v>
      </c>
      <c r="X295" s="49">
        <f t="shared" si="12"/>
        <v>40.019999999999996</v>
      </c>
      <c r="Y295" s="49">
        <f t="shared" si="13"/>
        <v>520.26</v>
      </c>
      <c r="Z295" s="49">
        <f t="shared" si="14"/>
        <v>106.72000000000003</v>
      </c>
      <c r="AA295" s="23" t="s">
        <v>116</v>
      </c>
      <c r="AB295" s="23" t="s">
        <v>116</v>
      </c>
      <c r="AC295" s="23" t="s">
        <v>116</v>
      </c>
      <c r="AD295" s="23" t="s">
        <v>116</v>
      </c>
      <c r="AE295" s="23" t="s">
        <v>116</v>
      </c>
      <c r="AF295" s="23" t="s">
        <v>116</v>
      </c>
      <c r="AG295" s="23" t="s">
        <v>116</v>
      </c>
      <c r="AH295" s="23" t="s">
        <v>116</v>
      </c>
      <c r="AI295" s="52">
        <v>0</v>
      </c>
      <c r="AJ295" s="51">
        <v>371</v>
      </c>
    </row>
    <row r="296" spans="1:36" x14ac:dyDescent="0.2">
      <c r="A296" s="47">
        <v>44856</v>
      </c>
      <c r="B296" s="48">
        <v>22</v>
      </c>
      <c r="C296" s="48">
        <v>295</v>
      </c>
      <c r="D296" s="48">
        <v>7</v>
      </c>
      <c r="E296" s="48" t="s">
        <v>10</v>
      </c>
      <c r="F296" s="48">
        <v>42</v>
      </c>
      <c r="G296" s="48">
        <v>10</v>
      </c>
      <c r="H296" s="48" t="s">
        <v>26</v>
      </c>
      <c r="I296" s="48">
        <v>4</v>
      </c>
      <c r="J296" s="49">
        <v>14</v>
      </c>
      <c r="K296" s="49">
        <v>44</v>
      </c>
      <c r="L296" s="49">
        <v>628</v>
      </c>
      <c r="M296" s="50">
        <v>0.43</v>
      </c>
      <c r="N296" s="49">
        <v>268</v>
      </c>
      <c r="O296" s="49">
        <v>359</v>
      </c>
      <c r="P296" s="50">
        <v>1.52</v>
      </c>
      <c r="Q296" s="50">
        <v>0.52</v>
      </c>
      <c r="R296" s="50">
        <v>0.61</v>
      </c>
      <c r="S296" s="50">
        <v>0.46</v>
      </c>
      <c r="T296" s="50">
        <v>0.02</v>
      </c>
      <c r="U296" s="49">
        <v>31</v>
      </c>
      <c r="V296" s="50">
        <v>0.52</v>
      </c>
      <c r="W296" s="50">
        <v>7.0000000000000007E-2</v>
      </c>
      <c r="X296" s="49">
        <f t="shared" si="12"/>
        <v>43.96</v>
      </c>
      <c r="Y296" s="49">
        <f t="shared" si="13"/>
        <v>288.88</v>
      </c>
      <c r="Z296" s="49">
        <f t="shared" si="14"/>
        <v>295.16000000000003</v>
      </c>
      <c r="AA296" s="23" t="s">
        <v>116</v>
      </c>
      <c r="AB296" s="23" t="s">
        <v>116</v>
      </c>
      <c r="AC296" s="23" t="s">
        <v>116</v>
      </c>
      <c r="AD296" s="23" t="s">
        <v>116</v>
      </c>
      <c r="AE296" s="23" t="s">
        <v>116</v>
      </c>
      <c r="AF296" s="23" t="s">
        <v>116</v>
      </c>
      <c r="AG296" s="23" t="s">
        <v>116</v>
      </c>
      <c r="AH296" s="23" t="s">
        <v>116</v>
      </c>
      <c r="AI296" s="52">
        <v>0</v>
      </c>
      <c r="AJ296" s="51">
        <v>359</v>
      </c>
    </row>
    <row r="297" spans="1:36" x14ac:dyDescent="0.2">
      <c r="A297" s="47">
        <v>44857</v>
      </c>
      <c r="B297" s="48">
        <v>23</v>
      </c>
      <c r="C297" s="48">
        <v>296</v>
      </c>
      <c r="D297" s="48">
        <v>1</v>
      </c>
      <c r="E297" s="48" t="s">
        <v>12</v>
      </c>
      <c r="F297" s="48">
        <v>43</v>
      </c>
      <c r="G297" s="48">
        <v>10</v>
      </c>
      <c r="H297" s="48" t="s">
        <v>26</v>
      </c>
      <c r="I297" s="48">
        <v>4</v>
      </c>
      <c r="J297" s="49">
        <v>6</v>
      </c>
      <c r="K297" s="49">
        <v>23</v>
      </c>
      <c r="L297" s="49">
        <v>137</v>
      </c>
      <c r="M297" s="50">
        <v>0.08</v>
      </c>
      <c r="N297" s="49">
        <v>11</v>
      </c>
      <c r="O297" s="49">
        <v>126</v>
      </c>
      <c r="P297" s="50">
        <v>1.32</v>
      </c>
      <c r="Q297" s="50">
        <v>0.33</v>
      </c>
      <c r="R297" s="50">
        <v>0.12</v>
      </c>
      <c r="S297" s="50">
        <v>0.36</v>
      </c>
      <c r="T297" s="50">
        <v>0.21</v>
      </c>
      <c r="U297" s="49">
        <v>16</v>
      </c>
      <c r="V297" s="50">
        <v>0.19</v>
      </c>
      <c r="W297" s="50">
        <v>0.16</v>
      </c>
      <c r="X297" s="49">
        <f t="shared" si="12"/>
        <v>21.92</v>
      </c>
      <c r="Y297" s="49">
        <f t="shared" si="13"/>
        <v>49.32</v>
      </c>
      <c r="Z297" s="49">
        <f t="shared" si="14"/>
        <v>65.759999999999991</v>
      </c>
      <c r="AA297" s="23" t="s">
        <v>116</v>
      </c>
      <c r="AB297" s="23">
        <v>1000</v>
      </c>
      <c r="AC297" s="23" t="s">
        <v>116</v>
      </c>
      <c r="AD297" s="23" t="s">
        <v>116</v>
      </c>
      <c r="AE297" s="23" t="s">
        <v>116</v>
      </c>
      <c r="AF297" s="23" t="s">
        <v>116</v>
      </c>
      <c r="AG297" s="23" t="s">
        <v>116</v>
      </c>
      <c r="AH297" s="23" t="s">
        <v>116</v>
      </c>
      <c r="AI297" s="52">
        <v>1000</v>
      </c>
      <c r="AJ297" s="51">
        <v>-874</v>
      </c>
    </row>
    <row r="298" spans="1:36" x14ac:dyDescent="0.2">
      <c r="A298" s="47">
        <v>44858</v>
      </c>
      <c r="B298" s="48">
        <v>24</v>
      </c>
      <c r="C298" s="48">
        <v>297</v>
      </c>
      <c r="D298" s="48">
        <v>2</v>
      </c>
      <c r="E298" s="48" t="s">
        <v>13</v>
      </c>
      <c r="F298" s="48">
        <v>43</v>
      </c>
      <c r="G298" s="48">
        <v>10</v>
      </c>
      <c r="H298" s="48" t="s">
        <v>26</v>
      </c>
      <c r="I298" s="48">
        <v>4</v>
      </c>
      <c r="J298" s="49">
        <v>11</v>
      </c>
      <c r="K298" s="49">
        <v>19</v>
      </c>
      <c r="L298" s="49">
        <v>209</v>
      </c>
      <c r="M298" s="50">
        <v>0.27</v>
      </c>
      <c r="N298" s="49">
        <v>56</v>
      </c>
      <c r="O298" s="49">
        <v>153</v>
      </c>
      <c r="P298" s="50">
        <v>4.79</v>
      </c>
      <c r="Q298" s="50">
        <v>0.31</v>
      </c>
      <c r="R298" s="50">
        <v>0.38</v>
      </c>
      <c r="S298" s="50">
        <v>0.82</v>
      </c>
      <c r="T298" s="50">
        <v>0.06</v>
      </c>
      <c r="U298" s="49">
        <v>13</v>
      </c>
      <c r="V298" s="50">
        <v>0.87</v>
      </c>
      <c r="W298" s="50">
        <v>0.31</v>
      </c>
      <c r="X298" s="49">
        <f t="shared" si="12"/>
        <v>64.790000000000006</v>
      </c>
      <c r="Y298" s="49">
        <f t="shared" si="13"/>
        <v>171.38</v>
      </c>
      <c r="Z298" s="49">
        <f t="shared" si="14"/>
        <v>-27.170000000000016</v>
      </c>
      <c r="AA298" s="23" t="s">
        <v>116</v>
      </c>
      <c r="AB298" s="23" t="s">
        <v>116</v>
      </c>
      <c r="AC298" s="23" t="s">
        <v>116</v>
      </c>
      <c r="AD298" s="23" t="s">
        <v>116</v>
      </c>
      <c r="AE298" s="23" t="s">
        <v>116</v>
      </c>
      <c r="AF298" s="23" t="s">
        <v>116</v>
      </c>
      <c r="AG298" s="23" t="s">
        <v>116</v>
      </c>
      <c r="AH298" s="23" t="s">
        <v>116</v>
      </c>
      <c r="AI298" s="52">
        <v>0</v>
      </c>
      <c r="AJ298" s="51">
        <v>153</v>
      </c>
    </row>
    <row r="299" spans="1:36" x14ac:dyDescent="0.2">
      <c r="A299" s="47">
        <v>44859</v>
      </c>
      <c r="B299" s="48">
        <v>25</v>
      </c>
      <c r="C299" s="48">
        <v>298</v>
      </c>
      <c r="D299" s="48">
        <v>3</v>
      </c>
      <c r="E299" s="48" t="s">
        <v>14</v>
      </c>
      <c r="F299" s="48">
        <v>43</v>
      </c>
      <c r="G299" s="48">
        <v>10</v>
      </c>
      <c r="H299" s="48" t="s">
        <v>26</v>
      </c>
      <c r="I299" s="48">
        <v>4</v>
      </c>
      <c r="J299" s="49">
        <v>6</v>
      </c>
      <c r="K299" s="49">
        <v>35</v>
      </c>
      <c r="L299" s="49">
        <v>207</v>
      </c>
      <c r="M299" s="50">
        <v>0.63</v>
      </c>
      <c r="N299" s="49">
        <v>131</v>
      </c>
      <c r="O299" s="49">
        <v>77</v>
      </c>
      <c r="P299" s="50">
        <v>1.21</v>
      </c>
      <c r="Q299" s="50">
        <v>0.19</v>
      </c>
      <c r="R299" s="50">
        <v>0.9</v>
      </c>
      <c r="S299" s="50">
        <v>0.25</v>
      </c>
      <c r="T299" s="50">
        <v>0.06</v>
      </c>
      <c r="U299" s="49">
        <v>24</v>
      </c>
      <c r="V299" s="50">
        <v>0.41</v>
      </c>
      <c r="W299" s="50">
        <v>0.14000000000000001</v>
      </c>
      <c r="X299" s="49">
        <f t="shared" si="12"/>
        <v>28.980000000000004</v>
      </c>
      <c r="Y299" s="49">
        <f t="shared" si="13"/>
        <v>51.75</v>
      </c>
      <c r="Z299" s="49">
        <f t="shared" si="14"/>
        <v>126.27</v>
      </c>
      <c r="AA299" s="23" t="s">
        <v>116</v>
      </c>
      <c r="AB299" s="23" t="s">
        <v>116</v>
      </c>
      <c r="AC299" s="23" t="s">
        <v>116</v>
      </c>
      <c r="AD299" s="23" t="s">
        <v>116</v>
      </c>
      <c r="AE299" s="23" t="s">
        <v>116</v>
      </c>
      <c r="AF299" s="23" t="s">
        <v>116</v>
      </c>
      <c r="AG299" s="23">
        <v>83</v>
      </c>
      <c r="AH299" s="23" t="s">
        <v>116</v>
      </c>
      <c r="AI299" s="52">
        <v>83</v>
      </c>
      <c r="AJ299" s="51">
        <v>-6</v>
      </c>
    </row>
    <row r="300" spans="1:36" x14ac:dyDescent="0.2">
      <c r="A300" s="47">
        <v>44860</v>
      </c>
      <c r="B300" s="48">
        <v>26</v>
      </c>
      <c r="C300" s="48">
        <v>299</v>
      </c>
      <c r="D300" s="48">
        <v>4</v>
      </c>
      <c r="E300" s="48" t="s">
        <v>15</v>
      </c>
      <c r="F300" s="48">
        <v>43</v>
      </c>
      <c r="G300" s="48">
        <v>10</v>
      </c>
      <c r="H300" s="48" t="s">
        <v>26</v>
      </c>
      <c r="I300" s="48">
        <v>4</v>
      </c>
      <c r="J300" s="49">
        <v>11</v>
      </c>
      <c r="K300" s="49">
        <v>66</v>
      </c>
      <c r="L300" s="49">
        <v>748</v>
      </c>
      <c r="M300" s="50">
        <v>0.92</v>
      </c>
      <c r="N300" s="49">
        <v>689</v>
      </c>
      <c r="O300" s="49">
        <v>58</v>
      </c>
      <c r="P300" s="50">
        <v>0.53</v>
      </c>
      <c r="Q300" s="50">
        <v>0.42</v>
      </c>
      <c r="R300" s="50">
        <v>1.32</v>
      </c>
      <c r="S300" s="50">
        <v>0.25</v>
      </c>
      <c r="T300" s="50">
        <v>0.02</v>
      </c>
      <c r="U300" s="49">
        <v>46</v>
      </c>
      <c r="V300" s="50">
        <v>0.17</v>
      </c>
      <c r="W300" s="50">
        <v>0.03</v>
      </c>
      <c r="X300" s="49">
        <f t="shared" si="12"/>
        <v>22.439999999999998</v>
      </c>
      <c r="Y300" s="49">
        <f t="shared" si="13"/>
        <v>187</v>
      </c>
      <c r="Z300" s="49">
        <f t="shared" si="14"/>
        <v>538.55999999999995</v>
      </c>
      <c r="AA300" s="23" t="s">
        <v>116</v>
      </c>
      <c r="AB300" s="23" t="s">
        <v>116</v>
      </c>
      <c r="AC300" s="23" t="s">
        <v>116</v>
      </c>
      <c r="AD300" s="23" t="s">
        <v>116</v>
      </c>
      <c r="AE300" s="23" t="s">
        <v>116</v>
      </c>
      <c r="AF300" s="23" t="s">
        <v>116</v>
      </c>
      <c r="AG300" s="23" t="s">
        <v>116</v>
      </c>
      <c r="AH300" s="23" t="s">
        <v>116</v>
      </c>
      <c r="AI300" s="52">
        <v>0</v>
      </c>
      <c r="AJ300" s="51">
        <v>58</v>
      </c>
    </row>
    <row r="301" spans="1:36" x14ac:dyDescent="0.2">
      <c r="A301" s="47">
        <v>44861</v>
      </c>
      <c r="B301" s="48">
        <v>27</v>
      </c>
      <c r="C301" s="48">
        <v>300</v>
      </c>
      <c r="D301" s="48">
        <v>5</v>
      </c>
      <c r="E301" s="48" t="s">
        <v>16</v>
      </c>
      <c r="F301" s="48">
        <v>43</v>
      </c>
      <c r="G301" s="48">
        <v>10</v>
      </c>
      <c r="H301" s="48" t="s">
        <v>26</v>
      </c>
      <c r="I301" s="48">
        <v>4</v>
      </c>
      <c r="J301" s="49">
        <v>20</v>
      </c>
      <c r="K301" s="49">
        <v>35</v>
      </c>
      <c r="L301" s="49">
        <v>688</v>
      </c>
      <c r="M301" s="50">
        <v>0.62</v>
      </c>
      <c r="N301" s="49">
        <v>429</v>
      </c>
      <c r="O301" s="49">
        <v>259</v>
      </c>
      <c r="P301" s="50">
        <v>1.5</v>
      </c>
      <c r="Q301" s="50">
        <v>0.53</v>
      </c>
      <c r="R301" s="50">
        <v>0.89</v>
      </c>
      <c r="S301" s="50">
        <v>0.82</v>
      </c>
      <c r="T301" s="50">
        <v>0.02</v>
      </c>
      <c r="U301" s="49">
        <v>24</v>
      </c>
      <c r="V301" s="50">
        <v>0.41</v>
      </c>
      <c r="W301" s="50">
        <v>0.05</v>
      </c>
      <c r="X301" s="49">
        <f t="shared" si="12"/>
        <v>34.4</v>
      </c>
      <c r="Y301" s="49">
        <f t="shared" si="13"/>
        <v>564.16</v>
      </c>
      <c r="Z301" s="49">
        <f t="shared" si="14"/>
        <v>89.440000000000055</v>
      </c>
      <c r="AA301" s="23" t="s">
        <v>116</v>
      </c>
      <c r="AB301" s="23" t="s">
        <v>116</v>
      </c>
      <c r="AC301" s="23" t="s">
        <v>116</v>
      </c>
      <c r="AD301" s="23" t="s">
        <v>116</v>
      </c>
      <c r="AE301" s="23" t="s">
        <v>116</v>
      </c>
      <c r="AF301" s="23" t="s">
        <v>116</v>
      </c>
      <c r="AG301" s="23" t="s">
        <v>116</v>
      </c>
      <c r="AH301" s="23" t="s">
        <v>116</v>
      </c>
      <c r="AI301" s="52">
        <v>0</v>
      </c>
      <c r="AJ301" s="51">
        <v>259</v>
      </c>
    </row>
    <row r="302" spans="1:36" x14ac:dyDescent="0.2">
      <c r="A302" s="47">
        <v>44862</v>
      </c>
      <c r="B302" s="48">
        <v>28</v>
      </c>
      <c r="C302" s="48">
        <v>301</v>
      </c>
      <c r="D302" s="48">
        <v>6</v>
      </c>
      <c r="E302" s="48" t="s">
        <v>17</v>
      </c>
      <c r="F302" s="48">
        <v>43</v>
      </c>
      <c r="G302" s="48">
        <v>10</v>
      </c>
      <c r="H302" s="48" t="s">
        <v>26</v>
      </c>
      <c r="I302" s="48">
        <v>4</v>
      </c>
      <c r="J302" s="49">
        <v>8</v>
      </c>
      <c r="K302" s="49">
        <v>34</v>
      </c>
      <c r="L302" s="49">
        <v>274</v>
      </c>
      <c r="M302" s="50">
        <v>0.51</v>
      </c>
      <c r="N302" s="49">
        <v>140</v>
      </c>
      <c r="O302" s="49">
        <v>133</v>
      </c>
      <c r="P302" s="50">
        <v>1.79</v>
      </c>
      <c r="Q302" s="50">
        <v>0.3</v>
      </c>
      <c r="R302" s="50">
        <v>0.73</v>
      </c>
      <c r="S302" s="50">
        <v>0.35</v>
      </c>
      <c r="T302" s="50">
        <v>0.05</v>
      </c>
      <c r="U302" s="49">
        <v>23</v>
      </c>
      <c r="V302" s="50">
        <v>0.2</v>
      </c>
      <c r="W302" s="50">
        <v>0.15</v>
      </c>
      <c r="X302" s="49">
        <f t="shared" si="12"/>
        <v>41.1</v>
      </c>
      <c r="Y302" s="49">
        <f t="shared" si="13"/>
        <v>95.899999999999991</v>
      </c>
      <c r="Z302" s="49">
        <f t="shared" si="14"/>
        <v>137</v>
      </c>
      <c r="AA302" s="23" t="s">
        <v>116</v>
      </c>
      <c r="AB302" s="23" t="s">
        <v>116</v>
      </c>
      <c r="AC302" s="23" t="s">
        <v>116</v>
      </c>
      <c r="AD302" s="23" t="s">
        <v>116</v>
      </c>
      <c r="AE302" s="23" t="s">
        <v>116</v>
      </c>
      <c r="AF302" s="23" t="s">
        <v>116</v>
      </c>
      <c r="AG302" s="23" t="s">
        <v>116</v>
      </c>
      <c r="AH302" s="23" t="s">
        <v>116</v>
      </c>
      <c r="AI302" s="52">
        <v>0</v>
      </c>
      <c r="AJ302" s="51">
        <v>133</v>
      </c>
    </row>
    <row r="303" spans="1:36" x14ac:dyDescent="0.2">
      <c r="A303" s="47">
        <v>44863</v>
      </c>
      <c r="B303" s="48">
        <v>29</v>
      </c>
      <c r="C303" s="48">
        <v>302</v>
      </c>
      <c r="D303" s="48">
        <v>7</v>
      </c>
      <c r="E303" s="48" t="s">
        <v>10</v>
      </c>
      <c r="F303" s="48">
        <v>43</v>
      </c>
      <c r="G303" s="48">
        <v>10</v>
      </c>
      <c r="H303" s="48" t="s">
        <v>26</v>
      </c>
      <c r="I303" s="48">
        <v>4</v>
      </c>
      <c r="J303" s="49">
        <v>6</v>
      </c>
      <c r="K303" s="49">
        <v>35</v>
      </c>
      <c r="L303" s="49">
        <v>215</v>
      </c>
      <c r="M303" s="50">
        <v>0.51</v>
      </c>
      <c r="N303" s="49">
        <v>110</v>
      </c>
      <c r="O303" s="49">
        <v>104</v>
      </c>
      <c r="P303" s="50">
        <v>1.17</v>
      </c>
      <c r="Q303" s="50">
        <v>0.18</v>
      </c>
      <c r="R303" s="50">
        <v>0.74</v>
      </c>
      <c r="S303" s="50">
        <v>0.25</v>
      </c>
      <c r="T303" s="50">
        <v>0.06</v>
      </c>
      <c r="U303" s="49">
        <v>25</v>
      </c>
      <c r="V303" s="50">
        <v>0.41</v>
      </c>
      <c r="W303" s="50">
        <v>0.13</v>
      </c>
      <c r="X303" s="49">
        <f t="shared" si="12"/>
        <v>27.95</v>
      </c>
      <c r="Y303" s="49">
        <f t="shared" si="13"/>
        <v>53.75</v>
      </c>
      <c r="Z303" s="49">
        <f t="shared" si="14"/>
        <v>133.30000000000001</v>
      </c>
      <c r="AA303" s="23" t="s">
        <v>116</v>
      </c>
      <c r="AB303" s="23" t="s">
        <v>116</v>
      </c>
      <c r="AC303" s="23" t="s">
        <v>116</v>
      </c>
      <c r="AD303" s="23" t="s">
        <v>116</v>
      </c>
      <c r="AE303" s="23" t="s">
        <v>116</v>
      </c>
      <c r="AF303" s="23" t="s">
        <v>116</v>
      </c>
      <c r="AG303" s="23" t="s">
        <v>116</v>
      </c>
      <c r="AH303" s="23" t="s">
        <v>116</v>
      </c>
      <c r="AI303" s="52">
        <v>0</v>
      </c>
      <c r="AJ303" s="51">
        <v>104</v>
      </c>
    </row>
    <row r="304" spans="1:36" x14ac:dyDescent="0.2">
      <c r="A304" s="47">
        <v>44864</v>
      </c>
      <c r="B304" s="48">
        <v>30</v>
      </c>
      <c r="C304" s="48">
        <v>303</v>
      </c>
      <c r="D304" s="48">
        <v>1</v>
      </c>
      <c r="E304" s="48" t="s">
        <v>12</v>
      </c>
      <c r="F304" s="48">
        <v>44</v>
      </c>
      <c r="G304" s="48">
        <v>10</v>
      </c>
      <c r="H304" s="48" t="s">
        <v>26</v>
      </c>
      <c r="I304" s="48">
        <v>4</v>
      </c>
      <c r="J304" s="49">
        <v>4</v>
      </c>
      <c r="K304" s="49">
        <v>17</v>
      </c>
      <c r="L304" s="49">
        <v>77</v>
      </c>
      <c r="M304" s="50">
        <v>0.26</v>
      </c>
      <c r="N304" s="49">
        <v>20</v>
      </c>
      <c r="O304" s="49">
        <v>57</v>
      </c>
      <c r="P304" s="50">
        <v>1.2</v>
      </c>
      <c r="Q304" s="50">
        <v>0.26</v>
      </c>
      <c r="R304" s="50">
        <v>0.37</v>
      </c>
      <c r="S304" s="50">
        <v>0.37</v>
      </c>
      <c r="T304" s="50">
        <v>0.37</v>
      </c>
      <c r="U304" s="49">
        <v>12</v>
      </c>
      <c r="V304" s="50">
        <v>0.38</v>
      </c>
      <c r="W304" s="50">
        <v>0.19</v>
      </c>
      <c r="X304" s="49">
        <f t="shared" si="12"/>
        <v>14.63</v>
      </c>
      <c r="Y304" s="49">
        <f t="shared" si="13"/>
        <v>28.49</v>
      </c>
      <c r="Z304" s="49">
        <f t="shared" si="14"/>
        <v>33.880000000000003</v>
      </c>
      <c r="AA304" s="23" t="s">
        <v>116</v>
      </c>
      <c r="AB304" s="23">
        <v>1000</v>
      </c>
      <c r="AC304" s="23" t="s">
        <v>116</v>
      </c>
      <c r="AD304" s="23" t="s">
        <v>116</v>
      </c>
      <c r="AE304" s="23" t="s">
        <v>116</v>
      </c>
      <c r="AF304" s="23" t="s">
        <v>116</v>
      </c>
      <c r="AG304" s="23" t="s">
        <v>116</v>
      </c>
      <c r="AH304" s="23" t="s">
        <v>116</v>
      </c>
      <c r="AI304" s="52">
        <v>1000</v>
      </c>
      <c r="AJ304" s="51">
        <v>-943</v>
      </c>
    </row>
    <row r="305" spans="1:36" x14ac:dyDescent="0.2">
      <c r="A305" s="47">
        <v>44865</v>
      </c>
      <c r="B305" s="48">
        <v>31</v>
      </c>
      <c r="C305" s="48">
        <v>304</v>
      </c>
      <c r="D305" s="48">
        <v>2</v>
      </c>
      <c r="E305" s="48" t="s">
        <v>13</v>
      </c>
      <c r="F305" s="48">
        <v>44</v>
      </c>
      <c r="G305" s="48">
        <v>10</v>
      </c>
      <c r="H305" s="48" t="s">
        <v>26</v>
      </c>
      <c r="I305" s="48">
        <v>4</v>
      </c>
      <c r="J305" s="49">
        <v>16</v>
      </c>
      <c r="K305" s="49">
        <v>11</v>
      </c>
      <c r="L305" s="49">
        <v>183</v>
      </c>
      <c r="M305" s="50">
        <v>0.43</v>
      </c>
      <c r="N305" s="49">
        <v>78</v>
      </c>
      <c r="O305" s="49">
        <v>105</v>
      </c>
      <c r="P305" s="50">
        <v>5.22</v>
      </c>
      <c r="Q305" s="50">
        <v>0.53</v>
      </c>
      <c r="R305" s="50">
        <v>0.61</v>
      </c>
      <c r="S305" s="50">
        <v>1.99</v>
      </c>
      <c r="T305" s="50">
        <v>7.0000000000000007E-2</v>
      </c>
      <c r="U305" s="49">
        <v>8</v>
      </c>
      <c r="V305" s="50">
        <v>1.35</v>
      </c>
      <c r="W305" s="50">
        <v>0.23</v>
      </c>
      <c r="X305" s="49">
        <f t="shared" si="12"/>
        <v>42.09</v>
      </c>
      <c r="Y305" s="49">
        <f t="shared" si="13"/>
        <v>364.17</v>
      </c>
      <c r="Z305" s="49">
        <f t="shared" si="14"/>
        <v>-223.26</v>
      </c>
      <c r="AA305" s="23" t="s">
        <v>116</v>
      </c>
      <c r="AB305" s="23" t="s">
        <v>116</v>
      </c>
      <c r="AC305" s="23" t="s">
        <v>116</v>
      </c>
      <c r="AD305" s="23" t="s">
        <v>116</v>
      </c>
      <c r="AE305" s="23" t="s">
        <v>116</v>
      </c>
      <c r="AF305" s="23" t="s">
        <v>116</v>
      </c>
      <c r="AG305" s="23" t="s">
        <v>116</v>
      </c>
      <c r="AH305" s="23" t="s">
        <v>116</v>
      </c>
      <c r="AI305" s="52">
        <v>0</v>
      </c>
      <c r="AJ305" s="51">
        <v>105</v>
      </c>
    </row>
    <row r="306" spans="1:36" x14ac:dyDescent="0.2">
      <c r="A306" s="47">
        <v>44866</v>
      </c>
      <c r="B306" s="48">
        <v>1</v>
      </c>
      <c r="C306" s="48">
        <v>305</v>
      </c>
      <c r="D306" s="48">
        <v>3</v>
      </c>
      <c r="E306" s="48" t="s">
        <v>14</v>
      </c>
      <c r="F306" s="48">
        <v>44</v>
      </c>
      <c r="G306" s="48">
        <v>11</v>
      </c>
      <c r="H306" s="48" t="s">
        <v>27</v>
      </c>
      <c r="I306" s="48">
        <v>4</v>
      </c>
      <c r="J306" s="49">
        <v>6</v>
      </c>
      <c r="K306" s="49">
        <v>17</v>
      </c>
      <c r="L306" s="49">
        <v>102</v>
      </c>
      <c r="M306" s="50">
        <v>0.57999999999999996</v>
      </c>
      <c r="N306" s="49">
        <v>59</v>
      </c>
      <c r="O306" s="49">
        <v>43</v>
      </c>
      <c r="P306" s="50">
        <v>3.85</v>
      </c>
      <c r="Q306" s="50">
        <v>0.19</v>
      </c>
      <c r="R306" s="50">
        <v>0.83</v>
      </c>
      <c r="S306" s="50">
        <v>0.53</v>
      </c>
      <c r="T306" s="50">
        <v>0.13</v>
      </c>
      <c r="U306" s="49">
        <v>12</v>
      </c>
      <c r="V306" s="50">
        <v>0.68</v>
      </c>
      <c r="W306" s="50">
        <v>0.44</v>
      </c>
      <c r="X306" s="49">
        <f t="shared" si="12"/>
        <v>44.88</v>
      </c>
      <c r="Y306" s="49">
        <f t="shared" si="13"/>
        <v>54.06</v>
      </c>
      <c r="Z306" s="49">
        <f t="shared" si="14"/>
        <v>3.0600000000000023</v>
      </c>
      <c r="AA306" s="23">
        <v>3000</v>
      </c>
      <c r="AB306" s="23" t="s">
        <v>116</v>
      </c>
      <c r="AC306" s="23" t="s">
        <v>116</v>
      </c>
      <c r="AD306" s="23" t="s">
        <v>116</v>
      </c>
      <c r="AE306" s="23" t="s">
        <v>116</v>
      </c>
      <c r="AF306" s="23" t="s">
        <v>116</v>
      </c>
      <c r="AG306" s="23" t="s">
        <v>116</v>
      </c>
      <c r="AH306" s="23" t="s">
        <v>116</v>
      </c>
      <c r="AI306" s="52">
        <v>3000</v>
      </c>
      <c r="AJ306" s="51">
        <v>-2957</v>
      </c>
    </row>
    <row r="307" spans="1:36" x14ac:dyDescent="0.2">
      <c r="A307" s="47">
        <v>44867</v>
      </c>
      <c r="B307" s="48">
        <v>2</v>
      </c>
      <c r="C307" s="48">
        <v>306</v>
      </c>
      <c r="D307" s="48">
        <v>4</v>
      </c>
      <c r="E307" s="48" t="s">
        <v>15</v>
      </c>
      <c r="F307" s="48">
        <v>44</v>
      </c>
      <c r="G307" s="48">
        <v>11</v>
      </c>
      <c r="H307" s="48" t="s">
        <v>27</v>
      </c>
      <c r="I307" s="48">
        <v>4</v>
      </c>
      <c r="J307" s="49">
        <v>12</v>
      </c>
      <c r="K307" s="49">
        <v>52</v>
      </c>
      <c r="L307" s="49">
        <v>628</v>
      </c>
      <c r="M307" s="50">
        <v>0.35</v>
      </c>
      <c r="N307" s="49">
        <v>222</v>
      </c>
      <c r="O307" s="49">
        <v>405</v>
      </c>
      <c r="P307" s="50">
        <v>0.91</v>
      </c>
      <c r="Q307" s="50">
        <v>0.34</v>
      </c>
      <c r="R307" s="50">
        <v>0.51</v>
      </c>
      <c r="S307" s="50">
        <v>0.33</v>
      </c>
      <c r="T307" s="50">
        <v>0.02</v>
      </c>
      <c r="U307" s="49">
        <v>37</v>
      </c>
      <c r="V307" s="50">
        <v>0.27</v>
      </c>
      <c r="W307" s="50">
        <v>0.05</v>
      </c>
      <c r="X307" s="49">
        <f t="shared" si="12"/>
        <v>31.400000000000002</v>
      </c>
      <c r="Y307" s="49">
        <f t="shared" si="13"/>
        <v>207.24</v>
      </c>
      <c r="Z307" s="49">
        <f t="shared" si="14"/>
        <v>389.36</v>
      </c>
      <c r="AA307" s="23" t="s">
        <v>116</v>
      </c>
      <c r="AB307" s="23" t="s">
        <v>116</v>
      </c>
      <c r="AC307" s="23" t="s">
        <v>116</v>
      </c>
      <c r="AD307" s="23" t="s">
        <v>116</v>
      </c>
      <c r="AE307" s="23" t="s">
        <v>116</v>
      </c>
      <c r="AF307" s="23" t="s">
        <v>116</v>
      </c>
      <c r="AG307" s="23" t="s">
        <v>116</v>
      </c>
      <c r="AH307" s="23" t="s">
        <v>116</v>
      </c>
      <c r="AI307" s="52">
        <v>0</v>
      </c>
      <c r="AJ307" s="51">
        <v>405</v>
      </c>
    </row>
    <row r="308" spans="1:36" x14ac:dyDescent="0.2">
      <c r="A308" s="47">
        <v>44868</v>
      </c>
      <c r="B308" s="48">
        <v>3</v>
      </c>
      <c r="C308" s="48">
        <v>307</v>
      </c>
      <c r="D308" s="48">
        <v>5</v>
      </c>
      <c r="E308" s="48" t="s">
        <v>16</v>
      </c>
      <c r="F308" s="48">
        <v>44</v>
      </c>
      <c r="G308" s="48">
        <v>11</v>
      </c>
      <c r="H308" s="48" t="s">
        <v>27</v>
      </c>
      <c r="I308" s="48">
        <v>4</v>
      </c>
      <c r="J308" s="49">
        <v>15</v>
      </c>
      <c r="K308" s="49">
        <v>4</v>
      </c>
      <c r="L308" s="49">
        <v>61</v>
      </c>
      <c r="M308" s="50">
        <v>0.33</v>
      </c>
      <c r="N308" s="49">
        <v>20</v>
      </c>
      <c r="O308" s="49">
        <v>41</v>
      </c>
      <c r="P308" s="50">
        <v>14.65</v>
      </c>
      <c r="Q308" s="50">
        <v>0.38</v>
      </c>
      <c r="R308" s="50">
        <v>0.48</v>
      </c>
      <c r="S308" s="50">
        <v>5.04</v>
      </c>
      <c r="T308" s="50">
        <v>0.21</v>
      </c>
      <c r="U308" s="49">
        <v>3</v>
      </c>
      <c r="V308" s="50">
        <v>5.77</v>
      </c>
      <c r="W308" s="50">
        <v>0.7</v>
      </c>
      <c r="X308" s="49">
        <f t="shared" si="12"/>
        <v>42.699999999999996</v>
      </c>
      <c r="Y308" s="49">
        <f t="shared" si="13"/>
        <v>307.44</v>
      </c>
      <c r="Z308" s="49">
        <f t="shared" si="14"/>
        <v>-289.14</v>
      </c>
      <c r="AA308" s="23" t="s">
        <v>116</v>
      </c>
      <c r="AB308" s="23" t="s">
        <v>116</v>
      </c>
      <c r="AC308" s="23" t="s">
        <v>116</v>
      </c>
      <c r="AD308" s="23" t="s">
        <v>116</v>
      </c>
      <c r="AE308" s="23" t="s">
        <v>116</v>
      </c>
      <c r="AF308" s="23" t="s">
        <v>116</v>
      </c>
      <c r="AG308" s="23" t="s">
        <v>116</v>
      </c>
      <c r="AH308" s="23" t="s">
        <v>116</v>
      </c>
      <c r="AI308" s="52">
        <v>0</v>
      </c>
      <c r="AJ308" s="51">
        <v>41</v>
      </c>
    </row>
    <row r="309" spans="1:36" x14ac:dyDescent="0.2">
      <c r="A309" s="47">
        <v>44869</v>
      </c>
      <c r="B309" s="48">
        <v>4</v>
      </c>
      <c r="C309" s="48">
        <v>308</v>
      </c>
      <c r="D309" s="48">
        <v>6</v>
      </c>
      <c r="E309" s="48" t="s">
        <v>17</v>
      </c>
      <c r="F309" s="48">
        <v>44</v>
      </c>
      <c r="G309" s="48">
        <v>11</v>
      </c>
      <c r="H309" s="48" t="s">
        <v>27</v>
      </c>
      <c r="I309" s="48">
        <v>4</v>
      </c>
      <c r="J309" s="49">
        <v>8</v>
      </c>
      <c r="K309" s="49">
        <v>58</v>
      </c>
      <c r="L309" s="49">
        <v>457</v>
      </c>
      <c r="M309" s="50">
        <v>0.63</v>
      </c>
      <c r="N309" s="49">
        <v>288</v>
      </c>
      <c r="O309" s="49">
        <v>170</v>
      </c>
      <c r="P309" s="50">
        <v>1.5</v>
      </c>
      <c r="Q309" s="50">
        <v>0.27</v>
      </c>
      <c r="R309" s="50">
        <v>0.9</v>
      </c>
      <c r="S309" s="50">
        <v>0.19</v>
      </c>
      <c r="T309" s="50">
        <v>0.03</v>
      </c>
      <c r="U309" s="49">
        <v>41</v>
      </c>
      <c r="V309" s="50">
        <v>0.28999999999999998</v>
      </c>
      <c r="W309" s="50">
        <v>0.13</v>
      </c>
      <c r="X309" s="49">
        <f t="shared" si="12"/>
        <v>59.410000000000004</v>
      </c>
      <c r="Y309" s="49">
        <f t="shared" si="13"/>
        <v>86.83</v>
      </c>
      <c r="Z309" s="49">
        <f t="shared" si="14"/>
        <v>310.76</v>
      </c>
      <c r="AA309" s="23" t="s">
        <v>116</v>
      </c>
      <c r="AB309" s="23" t="s">
        <v>116</v>
      </c>
      <c r="AC309" s="23" t="s">
        <v>116</v>
      </c>
      <c r="AD309" s="23" t="s">
        <v>116</v>
      </c>
      <c r="AE309" s="23" t="s">
        <v>116</v>
      </c>
      <c r="AF309" s="23" t="s">
        <v>116</v>
      </c>
      <c r="AG309" s="23" t="s">
        <v>116</v>
      </c>
      <c r="AH309" s="23" t="s">
        <v>116</v>
      </c>
      <c r="AI309" s="52">
        <v>0</v>
      </c>
      <c r="AJ309" s="51">
        <v>170</v>
      </c>
    </row>
    <row r="310" spans="1:36" x14ac:dyDescent="0.2">
      <c r="A310" s="47">
        <v>44870</v>
      </c>
      <c r="B310" s="48">
        <v>5</v>
      </c>
      <c r="C310" s="48">
        <v>309</v>
      </c>
      <c r="D310" s="48">
        <v>7</v>
      </c>
      <c r="E310" s="48" t="s">
        <v>10</v>
      </c>
      <c r="F310" s="48">
        <v>44</v>
      </c>
      <c r="G310" s="48">
        <v>11</v>
      </c>
      <c r="H310" s="48" t="s">
        <v>27</v>
      </c>
      <c r="I310" s="48">
        <v>4</v>
      </c>
      <c r="J310" s="49">
        <v>21</v>
      </c>
      <c r="K310" s="49">
        <v>79</v>
      </c>
      <c r="L310" s="49">
        <v>1648</v>
      </c>
      <c r="M310" s="50">
        <v>0.22</v>
      </c>
      <c r="N310" s="49">
        <v>359</v>
      </c>
      <c r="O310" s="49">
        <v>1289</v>
      </c>
      <c r="P310" s="50">
        <v>0.7</v>
      </c>
      <c r="Q310" s="50">
        <v>0.54</v>
      </c>
      <c r="R310" s="50">
        <v>0.31</v>
      </c>
      <c r="S310" s="50">
        <v>0.38</v>
      </c>
      <c r="T310" s="50">
        <v>0.01</v>
      </c>
      <c r="U310" s="49">
        <v>55</v>
      </c>
      <c r="V310" s="50">
        <v>0.16</v>
      </c>
      <c r="W310" s="50">
        <v>0.02</v>
      </c>
      <c r="X310" s="49">
        <f t="shared" si="12"/>
        <v>32.96</v>
      </c>
      <c r="Y310" s="49">
        <f t="shared" si="13"/>
        <v>626.24</v>
      </c>
      <c r="Z310" s="49">
        <f t="shared" si="14"/>
        <v>988.8</v>
      </c>
      <c r="AA310" s="23" t="s">
        <v>116</v>
      </c>
      <c r="AB310" s="23" t="s">
        <v>116</v>
      </c>
      <c r="AC310" s="23" t="s">
        <v>116</v>
      </c>
      <c r="AD310" s="23" t="s">
        <v>116</v>
      </c>
      <c r="AE310" s="23" t="s">
        <v>116</v>
      </c>
      <c r="AF310" s="23" t="s">
        <v>116</v>
      </c>
      <c r="AG310" s="23" t="s">
        <v>116</v>
      </c>
      <c r="AH310" s="23">
        <v>1000</v>
      </c>
      <c r="AI310" s="52">
        <v>1000</v>
      </c>
      <c r="AJ310" s="51">
        <v>289</v>
      </c>
    </row>
    <row r="311" spans="1:36" x14ac:dyDescent="0.2">
      <c r="A311" s="47">
        <v>44871</v>
      </c>
      <c r="B311" s="48">
        <v>6</v>
      </c>
      <c r="C311" s="48">
        <v>310</v>
      </c>
      <c r="D311" s="48">
        <v>1</v>
      </c>
      <c r="E311" s="48" t="s">
        <v>12</v>
      </c>
      <c r="F311" s="48">
        <v>45</v>
      </c>
      <c r="G311" s="48">
        <v>11</v>
      </c>
      <c r="H311" s="48" t="s">
        <v>27</v>
      </c>
      <c r="I311" s="48">
        <v>4</v>
      </c>
      <c r="J311" s="49">
        <v>6</v>
      </c>
      <c r="K311" s="49">
        <v>33</v>
      </c>
      <c r="L311" s="49">
        <v>195</v>
      </c>
      <c r="M311" s="50">
        <v>0.19</v>
      </c>
      <c r="N311" s="49">
        <v>37</v>
      </c>
      <c r="O311" s="49">
        <v>158</v>
      </c>
      <c r="P311" s="50">
        <v>0.74</v>
      </c>
      <c r="Q311" s="50">
        <v>0.28999999999999998</v>
      </c>
      <c r="R311" s="50">
        <v>0.27</v>
      </c>
      <c r="S311" s="50">
        <v>0.26</v>
      </c>
      <c r="T311" s="50">
        <v>0.15</v>
      </c>
      <c r="U311" s="49">
        <v>23</v>
      </c>
      <c r="V311" s="50">
        <v>0.19</v>
      </c>
      <c r="W311" s="50">
        <v>0.09</v>
      </c>
      <c r="X311" s="49">
        <f t="shared" si="12"/>
        <v>17.55</v>
      </c>
      <c r="Y311" s="49">
        <f t="shared" si="13"/>
        <v>50.7</v>
      </c>
      <c r="Z311" s="49">
        <f t="shared" si="14"/>
        <v>126.75</v>
      </c>
      <c r="AA311" s="23" t="s">
        <v>116</v>
      </c>
      <c r="AB311" s="23">
        <v>1000</v>
      </c>
      <c r="AC311" s="23" t="s">
        <v>116</v>
      </c>
      <c r="AD311" s="23" t="s">
        <v>116</v>
      </c>
      <c r="AE311" s="23" t="s">
        <v>116</v>
      </c>
      <c r="AF311" s="23" t="s">
        <v>116</v>
      </c>
      <c r="AG311" s="23" t="s">
        <v>116</v>
      </c>
      <c r="AH311" s="23" t="s">
        <v>116</v>
      </c>
      <c r="AI311" s="52">
        <v>1000</v>
      </c>
      <c r="AJ311" s="51">
        <v>-842</v>
      </c>
    </row>
    <row r="312" spans="1:36" x14ac:dyDescent="0.2">
      <c r="A312" s="47">
        <v>44872</v>
      </c>
      <c r="B312" s="48">
        <v>7</v>
      </c>
      <c r="C312" s="48">
        <v>311</v>
      </c>
      <c r="D312" s="48">
        <v>2</v>
      </c>
      <c r="E312" s="48" t="s">
        <v>13</v>
      </c>
      <c r="F312" s="48">
        <v>45</v>
      </c>
      <c r="G312" s="48">
        <v>11</v>
      </c>
      <c r="H312" s="48" t="s">
        <v>27</v>
      </c>
      <c r="I312" s="48">
        <v>4</v>
      </c>
      <c r="J312" s="49">
        <v>12</v>
      </c>
      <c r="K312" s="49">
        <v>39</v>
      </c>
      <c r="L312" s="49">
        <v>467</v>
      </c>
      <c r="M312" s="50">
        <v>0.68</v>
      </c>
      <c r="N312" s="49">
        <v>317</v>
      </c>
      <c r="O312" s="49">
        <v>150</v>
      </c>
      <c r="P312" s="50">
        <v>1.68</v>
      </c>
      <c r="Q312" s="50">
        <v>0.31</v>
      </c>
      <c r="R312" s="50">
        <v>0.97</v>
      </c>
      <c r="S312" s="50">
        <v>0.44</v>
      </c>
      <c r="T312" s="50">
        <v>0.03</v>
      </c>
      <c r="U312" s="49">
        <v>27</v>
      </c>
      <c r="V312" s="50">
        <v>0.44</v>
      </c>
      <c r="W312" s="50">
        <v>0.1</v>
      </c>
      <c r="X312" s="49">
        <f t="shared" si="12"/>
        <v>46.7</v>
      </c>
      <c r="Y312" s="49">
        <f t="shared" si="13"/>
        <v>205.48</v>
      </c>
      <c r="Z312" s="49">
        <f t="shared" si="14"/>
        <v>214.82</v>
      </c>
      <c r="AA312" s="23" t="s">
        <v>116</v>
      </c>
      <c r="AB312" s="23" t="s">
        <v>116</v>
      </c>
      <c r="AC312" s="23" t="s">
        <v>116</v>
      </c>
      <c r="AD312" s="23" t="s">
        <v>116</v>
      </c>
      <c r="AE312" s="23" t="s">
        <v>116</v>
      </c>
      <c r="AF312" s="23" t="s">
        <v>116</v>
      </c>
      <c r="AG312" s="23" t="s">
        <v>116</v>
      </c>
      <c r="AH312" s="23" t="s">
        <v>116</v>
      </c>
      <c r="AI312" s="52">
        <v>0</v>
      </c>
      <c r="AJ312" s="51">
        <v>150</v>
      </c>
    </row>
    <row r="313" spans="1:36" x14ac:dyDescent="0.2">
      <c r="A313" s="47">
        <v>44873</v>
      </c>
      <c r="B313" s="48">
        <v>8</v>
      </c>
      <c r="C313" s="48">
        <v>312</v>
      </c>
      <c r="D313" s="48">
        <v>3</v>
      </c>
      <c r="E313" s="48" t="s">
        <v>14</v>
      </c>
      <c r="F313" s="48">
        <v>45</v>
      </c>
      <c r="G313" s="48">
        <v>11</v>
      </c>
      <c r="H313" s="48" t="s">
        <v>27</v>
      </c>
      <c r="I313" s="48">
        <v>4</v>
      </c>
      <c r="J313" s="49">
        <v>11</v>
      </c>
      <c r="K313" s="49">
        <v>63</v>
      </c>
      <c r="L313" s="49">
        <v>684</v>
      </c>
      <c r="M313" s="50">
        <v>0.45</v>
      </c>
      <c r="N313" s="49">
        <v>311</v>
      </c>
      <c r="O313" s="49">
        <v>373</v>
      </c>
      <c r="P313" s="50">
        <v>0.99</v>
      </c>
      <c r="Q313" s="50">
        <v>0.35</v>
      </c>
      <c r="R313" s="50">
        <v>0.65</v>
      </c>
      <c r="S313" s="50">
        <v>0.25</v>
      </c>
      <c r="T313" s="50">
        <v>0.02</v>
      </c>
      <c r="U313" s="49">
        <v>44</v>
      </c>
      <c r="V313" s="50">
        <v>0.23</v>
      </c>
      <c r="W313" s="50">
        <v>0.06</v>
      </c>
      <c r="X313" s="49">
        <f t="shared" si="12"/>
        <v>41.04</v>
      </c>
      <c r="Y313" s="49">
        <f t="shared" si="13"/>
        <v>171</v>
      </c>
      <c r="Z313" s="49">
        <f t="shared" si="14"/>
        <v>471.96000000000004</v>
      </c>
      <c r="AA313" s="23" t="s">
        <v>116</v>
      </c>
      <c r="AB313" s="23" t="s">
        <v>116</v>
      </c>
      <c r="AC313" s="23" t="s">
        <v>116</v>
      </c>
      <c r="AD313" s="23" t="s">
        <v>116</v>
      </c>
      <c r="AE313" s="23" t="s">
        <v>116</v>
      </c>
      <c r="AF313" s="23" t="s">
        <v>116</v>
      </c>
      <c r="AG313" s="23" t="s">
        <v>116</v>
      </c>
      <c r="AH313" s="23" t="s">
        <v>116</v>
      </c>
      <c r="AI313" s="52">
        <v>0</v>
      </c>
      <c r="AJ313" s="51">
        <v>373</v>
      </c>
    </row>
    <row r="314" spans="1:36" x14ac:dyDescent="0.2">
      <c r="A314" s="47">
        <v>44874</v>
      </c>
      <c r="B314" s="48">
        <v>9</v>
      </c>
      <c r="C314" s="48">
        <v>313</v>
      </c>
      <c r="D314" s="48">
        <v>4</v>
      </c>
      <c r="E314" s="48" t="s">
        <v>15</v>
      </c>
      <c r="F314" s="48">
        <v>45</v>
      </c>
      <c r="G314" s="48">
        <v>11</v>
      </c>
      <c r="H314" s="48" t="s">
        <v>27</v>
      </c>
      <c r="I314" s="48">
        <v>4</v>
      </c>
      <c r="J314" s="49">
        <v>18</v>
      </c>
      <c r="K314" s="49">
        <v>10</v>
      </c>
      <c r="L314" s="49">
        <v>179</v>
      </c>
      <c r="M314" s="50">
        <v>0.36</v>
      </c>
      <c r="N314" s="49">
        <v>65</v>
      </c>
      <c r="O314" s="49">
        <v>114</v>
      </c>
      <c r="P314" s="50">
        <v>8.8800000000000008</v>
      </c>
      <c r="Q314" s="50">
        <v>0.52</v>
      </c>
      <c r="R314" s="50">
        <v>0.52</v>
      </c>
      <c r="S314" s="50">
        <v>2.5099999999999998</v>
      </c>
      <c r="T314" s="50">
        <v>7.0000000000000007E-2</v>
      </c>
      <c r="U314" s="49">
        <v>7</v>
      </c>
      <c r="V314" s="50">
        <v>1.45</v>
      </c>
      <c r="W314" s="50">
        <v>0.35</v>
      </c>
      <c r="X314" s="49">
        <f t="shared" si="12"/>
        <v>62.65</v>
      </c>
      <c r="Y314" s="49">
        <f t="shared" si="13"/>
        <v>449.28999999999996</v>
      </c>
      <c r="Z314" s="49">
        <f t="shared" si="14"/>
        <v>-332.93999999999994</v>
      </c>
      <c r="AA314" s="23" t="s">
        <v>116</v>
      </c>
      <c r="AB314" s="23" t="s">
        <v>116</v>
      </c>
      <c r="AC314" s="23" t="s">
        <v>116</v>
      </c>
      <c r="AD314" s="23" t="s">
        <v>116</v>
      </c>
      <c r="AE314" s="23" t="s">
        <v>116</v>
      </c>
      <c r="AF314" s="23" t="s">
        <v>116</v>
      </c>
      <c r="AG314" s="23" t="s">
        <v>116</v>
      </c>
      <c r="AH314" s="23" t="s">
        <v>116</v>
      </c>
      <c r="AI314" s="52">
        <v>0</v>
      </c>
      <c r="AJ314" s="51">
        <v>114</v>
      </c>
    </row>
    <row r="315" spans="1:36" x14ac:dyDescent="0.2">
      <c r="A315" s="47">
        <v>44875</v>
      </c>
      <c r="B315" s="48">
        <v>10</v>
      </c>
      <c r="C315" s="48">
        <v>314</v>
      </c>
      <c r="D315" s="48">
        <v>5</v>
      </c>
      <c r="E315" s="48" t="s">
        <v>16</v>
      </c>
      <c r="F315" s="48">
        <v>45</v>
      </c>
      <c r="G315" s="48">
        <v>11</v>
      </c>
      <c r="H315" s="48" t="s">
        <v>27</v>
      </c>
      <c r="I315" s="48">
        <v>4</v>
      </c>
      <c r="J315" s="49">
        <v>20</v>
      </c>
      <c r="K315" s="49">
        <v>62</v>
      </c>
      <c r="L315" s="49">
        <v>1243</v>
      </c>
      <c r="M315" s="50">
        <v>0.36</v>
      </c>
      <c r="N315" s="49">
        <v>449</v>
      </c>
      <c r="O315" s="49">
        <v>794</v>
      </c>
      <c r="P315" s="50">
        <v>1.33</v>
      </c>
      <c r="Q315" s="50">
        <v>0.55000000000000004</v>
      </c>
      <c r="R315" s="50">
        <v>0.52</v>
      </c>
      <c r="S315" s="50">
        <v>0.47</v>
      </c>
      <c r="T315" s="50">
        <v>0.01</v>
      </c>
      <c r="U315" s="49">
        <v>43</v>
      </c>
      <c r="V315" s="50">
        <v>0.22</v>
      </c>
      <c r="W315" s="50">
        <v>0.05</v>
      </c>
      <c r="X315" s="49">
        <f t="shared" si="12"/>
        <v>62.150000000000006</v>
      </c>
      <c r="Y315" s="49">
        <f t="shared" si="13"/>
        <v>584.20999999999992</v>
      </c>
      <c r="Z315" s="49">
        <f t="shared" si="14"/>
        <v>596.6400000000001</v>
      </c>
      <c r="AA315" s="23" t="s">
        <v>116</v>
      </c>
      <c r="AB315" s="23" t="s">
        <v>116</v>
      </c>
      <c r="AC315" s="23" t="s">
        <v>116</v>
      </c>
      <c r="AD315" s="23">
        <v>300</v>
      </c>
      <c r="AE315" s="23" t="s">
        <v>116</v>
      </c>
      <c r="AF315" s="23" t="s">
        <v>116</v>
      </c>
      <c r="AG315" s="23" t="s">
        <v>116</v>
      </c>
      <c r="AH315" s="23" t="s">
        <v>116</v>
      </c>
      <c r="AI315" s="52">
        <v>300</v>
      </c>
      <c r="AJ315" s="51">
        <v>494</v>
      </c>
    </row>
    <row r="316" spans="1:36" x14ac:dyDescent="0.2">
      <c r="A316" s="47">
        <v>44876</v>
      </c>
      <c r="B316" s="48">
        <v>11</v>
      </c>
      <c r="C316" s="48">
        <v>315</v>
      </c>
      <c r="D316" s="48">
        <v>6</v>
      </c>
      <c r="E316" s="48" t="s">
        <v>17</v>
      </c>
      <c r="F316" s="48">
        <v>45</v>
      </c>
      <c r="G316" s="48">
        <v>11</v>
      </c>
      <c r="H316" s="48" t="s">
        <v>27</v>
      </c>
      <c r="I316" s="48">
        <v>4</v>
      </c>
      <c r="J316" s="49">
        <v>16</v>
      </c>
      <c r="K316" s="49">
        <v>36</v>
      </c>
      <c r="L316" s="49">
        <v>570</v>
      </c>
      <c r="M316" s="50">
        <v>0.74</v>
      </c>
      <c r="N316" s="49">
        <v>420</v>
      </c>
      <c r="O316" s="49">
        <v>150</v>
      </c>
      <c r="P316" s="50">
        <v>1.6</v>
      </c>
      <c r="Q316" s="50">
        <v>0.41</v>
      </c>
      <c r="R316" s="50">
        <v>1.05</v>
      </c>
      <c r="S316" s="50">
        <v>0.63</v>
      </c>
      <c r="T316" s="50">
        <v>0.02</v>
      </c>
      <c r="U316" s="49">
        <v>25</v>
      </c>
      <c r="V316" s="50">
        <v>0.45</v>
      </c>
      <c r="W316" s="50">
        <v>7.0000000000000007E-2</v>
      </c>
      <c r="X316" s="49">
        <f t="shared" si="12"/>
        <v>39.900000000000006</v>
      </c>
      <c r="Y316" s="49">
        <f t="shared" si="13"/>
        <v>359.1</v>
      </c>
      <c r="Z316" s="49">
        <f t="shared" si="14"/>
        <v>171</v>
      </c>
      <c r="AA316" s="23" t="s">
        <v>116</v>
      </c>
      <c r="AB316" s="23" t="s">
        <v>116</v>
      </c>
      <c r="AC316" s="23" t="s">
        <v>116</v>
      </c>
      <c r="AD316" s="23" t="s">
        <v>116</v>
      </c>
      <c r="AE316" s="23" t="s">
        <v>116</v>
      </c>
      <c r="AF316" s="23" t="s">
        <v>116</v>
      </c>
      <c r="AG316" s="23" t="s">
        <v>116</v>
      </c>
      <c r="AH316" s="23" t="s">
        <v>116</v>
      </c>
      <c r="AI316" s="52">
        <v>0</v>
      </c>
      <c r="AJ316" s="51">
        <v>150</v>
      </c>
    </row>
    <row r="317" spans="1:36" x14ac:dyDescent="0.2">
      <c r="A317" s="47">
        <v>44877</v>
      </c>
      <c r="B317" s="48">
        <v>12</v>
      </c>
      <c r="C317" s="48">
        <v>316</v>
      </c>
      <c r="D317" s="48">
        <v>7</v>
      </c>
      <c r="E317" s="48" t="s">
        <v>10</v>
      </c>
      <c r="F317" s="48">
        <v>45</v>
      </c>
      <c r="G317" s="48">
        <v>11</v>
      </c>
      <c r="H317" s="48" t="s">
        <v>27</v>
      </c>
      <c r="I317" s="48">
        <v>4</v>
      </c>
      <c r="J317" s="49">
        <v>9</v>
      </c>
      <c r="K317" s="49">
        <v>57</v>
      </c>
      <c r="L317" s="49">
        <v>511</v>
      </c>
      <c r="M317" s="50">
        <v>0.45</v>
      </c>
      <c r="N317" s="49">
        <v>230</v>
      </c>
      <c r="O317" s="49">
        <v>281</v>
      </c>
      <c r="P317" s="50">
        <v>0.93</v>
      </c>
      <c r="Q317" s="50">
        <v>0.27</v>
      </c>
      <c r="R317" s="50">
        <v>0.64</v>
      </c>
      <c r="S317" s="50">
        <v>0.23</v>
      </c>
      <c r="T317" s="50">
        <v>0.03</v>
      </c>
      <c r="U317" s="49">
        <v>40</v>
      </c>
      <c r="V317" s="50">
        <v>0.26</v>
      </c>
      <c r="W317" s="50">
        <v>7.0000000000000007E-2</v>
      </c>
      <c r="X317" s="49">
        <f t="shared" si="12"/>
        <v>35.770000000000003</v>
      </c>
      <c r="Y317" s="49">
        <f t="shared" si="13"/>
        <v>117.53</v>
      </c>
      <c r="Z317" s="49">
        <f t="shared" si="14"/>
        <v>357.7</v>
      </c>
      <c r="AA317" s="23" t="s">
        <v>116</v>
      </c>
      <c r="AB317" s="23" t="s">
        <v>116</v>
      </c>
      <c r="AC317" s="23" t="s">
        <v>116</v>
      </c>
      <c r="AD317" s="23" t="s">
        <v>116</v>
      </c>
      <c r="AE317" s="23" t="s">
        <v>116</v>
      </c>
      <c r="AF317" s="23">
        <v>480</v>
      </c>
      <c r="AG317" s="23" t="s">
        <v>116</v>
      </c>
      <c r="AH317" s="23" t="s">
        <v>116</v>
      </c>
      <c r="AI317" s="52">
        <v>480</v>
      </c>
      <c r="AJ317" s="51">
        <v>-199</v>
      </c>
    </row>
    <row r="318" spans="1:36" x14ac:dyDescent="0.2">
      <c r="A318" s="47">
        <v>44878</v>
      </c>
      <c r="B318" s="48">
        <v>13</v>
      </c>
      <c r="C318" s="48">
        <v>317</v>
      </c>
      <c r="D318" s="48">
        <v>1</v>
      </c>
      <c r="E318" s="48" t="s">
        <v>12</v>
      </c>
      <c r="F318" s="48">
        <v>46</v>
      </c>
      <c r="G318" s="48">
        <v>11</v>
      </c>
      <c r="H318" s="48" t="s">
        <v>27</v>
      </c>
      <c r="I318" s="48">
        <v>4</v>
      </c>
      <c r="J318" s="49">
        <v>5</v>
      </c>
      <c r="K318" s="49">
        <v>26</v>
      </c>
      <c r="L318" s="49">
        <v>139</v>
      </c>
      <c r="M318" s="50">
        <v>0.19</v>
      </c>
      <c r="N318" s="49">
        <v>27</v>
      </c>
      <c r="O318" s="49">
        <v>112</v>
      </c>
      <c r="P318" s="50">
        <v>1.01</v>
      </c>
      <c r="Q318" s="50">
        <v>0.35</v>
      </c>
      <c r="R318" s="50">
        <v>0.28000000000000003</v>
      </c>
      <c r="S318" s="50">
        <v>0.3</v>
      </c>
      <c r="T318" s="50">
        <v>0.21</v>
      </c>
      <c r="U318" s="49">
        <v>18</v>
      </c>
      <c r="V318" s="50">
        <v>0.27</v>
      </c>
      <c r="W318" s="50">
        <v>0.13</v>
      </c>
      <c r="X318" s="49">
        <f t="shared" si="12"/>
        <v>18.07</v>
      </c>
      <c r="Y318" s="49">
        <f t="shared" si="13"/>
        <v>41.699999999999996</v>
      </c>
      <c r="Z318" s="49">
        <f t="shared" si="14"/>
        <v>79.23</v>
      </c>
      <c r="AA318" s="23" t="s">
        <v>116</v>
      </c>
      <c r="AB318" s="23">
        <v>1000</v>
      </c>
      <c r="AC318" s="23" t="s">
        <v>116</v>
      </c>
      <c r="AD318" s="23" t="s">
        <v>116</v>
      </c>
      <c r="AE318" s="23" t="s">
        <v>116</v>
      </c>
      <c r="AF318" s="23" t="s">
        <v>116</v>
      </c>
      <c r="AG318" s="23" t="s">
        <v>116</v>
      </c>
      <c r="AH318" s="23" t="s">
        <v>116</v>
      </c>
      <c r="AI318" s="52">
        <v>1000</v>
      </c>
      <c r="AJ318" s="51">
        <v>-888</v>
      </c>
    </row>
    <row r="319" spans="1:36" x14ac:dyDescent="0.2">
      <c r="A319" s="47">
        <v>44879</v>
      </c>
      <c r="B319" s="48">
        <v>14</v>
      </c>
      <c r="C319" s="48">
        <v>318</v>
      </c>
      <c r="D319" s="48">
        <v>2</v>
      </c>
      <c r="E319" s="48" t="s">
        <v>13</v>
      </c>
      <c r="F319" s="48">
        <v>46</v>
      </c>
      <c r="G319" s="48">
        <v>11</v>
      </c>
      <c r="H319" s="48" t="s">
        <v>27</v>
      </c>
      <c r="I319" s="48">
        <v>4</v>
      </c>
      <c r="J319" s="49">
        <v>15</v>
      </c>
      <c r="K319" s="49">
        <v>24</v>
      </c>
      <c r="L319" s="49">
        <v>350</v>
      </c>
      <c r="M319" s="50">
        <v>1.02</v>
      </c>
      <c r="N319" s="49">
        <v>359</v>
      </c>
      <c r="O319" s="49">
        <v>-8</v>
      </c>
      <c r="P319" s="50">
        <v>2.04</v>
      </c>
      <c r="Q319" s="50">
        <v>0.38</v>
      </c>
      <c r="R319" s="50">
        <v>1.46</v>
      </c>
      <c r="S319" s="50">
        <v>0.89</v>
      </c>
      <c r="T319" s="50">
        <v>0.04</v>
      </c>
      <c r="U319" s="49">
        <v>17</v>
      </c>
      <c r="V319" s="50">
        <v>0.59</v>
      </c>
      <c r="W319" s="50">
        <v>0.1</v>
      </c>
      <c r="X319" s="49">
        <f t="shared" si="12"/>
        <v>35</v>
      </c>
      <c r="Y319" s="49">
        <f t="shared" si="13"/>
        <v>311.5</v>
      </c>
      <c r="Z319" s="49">
        <f t="shared" si="14"/>
        <v>3.5</v>
      </c>
      <c r="AA319" s="23" t="s">
        <v>116</v>
      </c>
      <c r="AB319" s="23" t="s">
        <v>116</v>
      </c>
      <c r="AC319" s="23" t="s">
        <v>116</v>
      </c>
      <c r="AD319" s="23" t="s">
        <v>116</v>
      </c>
      <c r="AE319" s="23" t="s">
        <v>116</v>
      </c>
      <c r="AF319" s="23" t="s">
        <v>116</v>
      </c>
      <c r="AG319" s="23" t="s">
        <v>116</v>
      </c>
      <c r="AH319" s="23" t="s">
        <v>116</v>
      </c>
      <c r="AI319" s="52">
        <v>0</v>
      </c>
      <c r="AJ319" s="51">
        <v>-8</v>
      </c>
    </row>
    <row r="320" spans="1:36" x14ac:dyDescent="0.2">
      <c r="A320" s="47">
        <v>44880</v>
      </c>
      <c r="B320" s="48">
        <v>15</v>
      </c>
      <c r="C320" s="48">
        <v>319</v>
      </c>
      <c r="D320" s="48">
        <v>3</v>
      </c>
      <c r="E320" s="48" t="s">
        <v>14</v>
      </c>
      <c r="F320" s="48">
        <v>46</v>
      </c>
      <c r="G320" s="48">
        <v>11</v>
      </c>
      <c r="H320" s="48" t="s">
        <v>27</v>
      </c>
      <c r="I320" s="48">
        <v>4</v>
      </c>
      <c r="J320" s="49">
        <v>7</v>
      </c>
      <c r="K320" s="49">
        <v>37</v>
      </c>
      <c r="L320" s="49">
        <v>269</v>
      </c>
      <c r="M320" s="50">
        <v>0.44</v>
      </c>
      <c r="N320" s="49">
        <v>117</v>
      </c>
      <c r="O320" s="49">
        <v>152</v>
      </c>
      <c r="P320" s="50">
        <v>1.1499999999999999</v>
      </c>
      <c r="Q320" s="50">
        <v>0.2</v>
      </c>
      <c r="R320" s="50">
        <v>0.62</v>
      </c>
      <c r="S320" s="50">
        <v>0.28999999999999998</v>
      </c>
      <c r="T320" s="50">
        <v>0.05</v>
      </c>
      <c r="U320" s="49">
        <v>26</v>
      </c>
      <c r="V320" s="50">
        <v>0.4</v>
      </c>
      <c r="W320" s="50">
        <v>0.11</v>
      </c>
      <c r="X320" s="49">
        <f t="shared" si="12"/>
        <v>29.59</v>
      </c>
      <c r="Y320" s="49">
        <f t="shared" si="13"/>
        <v>78.009999999999991</v>
      </c>
      <c r="Z320" s="49">
        <f t="shared" si="14"/>
        <v>161.4</v>
      </c>
      <c r="AA320" s="23" t="s">
        <v>116</v>
      </c>
      <c r="AB320" s="23" t="s">
        <v>116</v>
      </c>
      <c r="AC320" s="23">
        <v>300</v>
      </c>
      <c r="AD320" s="23" t="s">
        <v>116</v>
      </c>
      <c r="AE320" s="23" t="s">
        <v>116</v>
      </c>
      <c r="AF320" s="23" t="s">
        <v>116</v>
      </c>
      <c r="AG320" s="23" t="s">
        <v>116</v>
      </c>
      <c r="AH320" s="23" t="s">
        <v>116</v>
      </c>
      <c r="AI320" s="52">
        <v>300</v>
      </c>
      <c r="AJ320" s="51">
        <v>-148</v>
      </c>
    </row>
    <row r="321" spans="1:36" x14ac:dyDescent="0.2">
      <c r="A321" s="47">
        <v>44881</v>
      </c>
      <c r="B321" s="48">
        <v>16</v>
      </c>
      <c r="C321" s="48">
        <v>320</v>
      </c>
      <c r="D321" s="48">
        <v>4</v>
      </c>
      <c r="E321" s="48" t="s">
        <v>15</v>
      </c>
      <c r="F321" s="48">
        <v>46</v>
      </c>
      <c r="G321" s="48">
        <v>11</v>
      </c>
      <c r="H321" s="48" t="s">
        <v>27</v>
      </c>
      <c r="I321" s="48">
        <v>4</v>
      </c>
      <c r="J321" s="49">
        <v>14</v>
      </c>
      <c r="K321" s="49">
        <v>54</v>
      </c>
      <c r="L321" s="49">
        <v>763</v>
      </c>
      <c r="M321" s="50">
        <v>0.54</v>
      </c>
      <c r="N321" s="49">
        <v>409</v>
      </c>
      <c r="O321" s="49">
        <v>354</v>
      </c>
      <c r="P321" s="50">
        <v>1.1299999999999999</v>
      </c>
      <c r="Q321" s="50">
        <v>0.38</v>
      </c>
      <c r="R321" s="50">
        <v>0.77</v>
      </c>
      <c r="S321" s="50">
        <v>0.37</v>
      </c>
      <c r="T321" s="50">
        <v>0.02</v>
      </c>
      <c r="U321" s="49">
        <v>38</v>
      </c>
      <c r="V321" s="50">
        <v>0.37</v>
      </c>
      <c r="W321" s="50">
        <v>0.06</v>
      </c>
      <c r="X321" s="49">
        <f t="shared" si="12"/>
        <v>45.78</v>
      </c>
      <c r="Y321" s="49">
        <f t="shared" si="13"/>
        <v>282.31</v>
      </c>
      <c r="Z321" s="49">
        <f t="shared" si="14"/>
        <v>434.90999999999997</v>
      </c>
      <c r="AA321" s="23" t="s">
        <v>116</v>
      </c>
      <c r="AB321" s="23" t="s">
        <v>116</v>
      </c>
      <c r="AC321" s="23" t="s">
        <v>116</v>
      </c>
      <c r="AD321" s="23" t="s">
        <v>116</v>
      </c>
      <c r="AE321" s="23" t="s">
        <v>116</v>
      </c>
      <c r="AF321" s="23" t="s">
        <v>116</v>
      </c>
      <c r="AG321" s="23" t="s">
        <v>116</v>
      </c>
      <c r="AH321" s="23" t="s">
        <v>116</v>
      </c>
      <c r="AI321" s="52">
        <v>0</v>
      </c>
      <c r="AJ321" s="51">
        <v>354</v>
      </c>
    </row>
    <row r="322" spans="1:36" x14ac:dyDescent="0.2">
      <c r="A322" s="47">
        <v>44882</v>
      </c>
      <c r="B322" s="48">
        <v>17</v>
      </c>
      <c r="C322" s="48">
        <v>321</v>
      </c>
      <c r="D322" s="48">
        <v>5</v>
      </c>
      <c r="E322" s="48" t="s">
        <v>16</v>
      </c>
      <c r="F322" s="48">
        <v>46</v>
      </c>
      <c r="G322" s="48">
        <v>11</v>
      </c>
      <c r="H322" s="48" t="s">
        <v>27</v>
      </c>
      <c r="I322" s="48">
        <v>4</v>
      </c>
      <c r="J322" s="49">
        <v>6</v>
      </c>
      <c r="K322" s="49">
        <v>72</v>
      </c>
      <c r="L322" s="49">
        <v>457</v>
      </c>
      <c r="M322" s="50">
        <v>0.52</v>
      </c>
      <c r="N322" s="49">
        <v>239</v>
      </c>
      <c r="O322" s="49">
        <v>218</v>
      </c>
      <c r="P322" s="50">
        <v>0.52</v>
      </c>
      <c r="Q322" s="50">
        <v>0.21</v>
      </c>
      <c r="R322" s="50">
        <v>0.75</v>
      </c>
      <c r="S322" s="50">
        <v>0.13</v>
      </c>
      <c r="T322" s="50">
        <v>0.03</v>
      </c>
      <c r="U322" s="49">
        <v>50</v>
      </c>
      <c r="V322" s="50">
        <v>0.28000000000000003</v>
      </c>
      <c r="W322" s="50">
        <v>0.06</v>
      </c>
      <c r="X322" s="49">
        <f t="shared" si="12"/>
        <v>27.419999999999998</v>
      </c>
      <c r="Y322" s="49">
        <f t="shared" si="13"/>
        <v>59.410000000000004</v>
      </c>
      <c r="Z322" s="49">
        <f t="shared" si="14"/>
        <v>370.17</v>
      </c>
      <c r="AA322" s="23" t="s">
        <v>116</v>
      </c>
      <c r="AB322" s="23" t="s">
        <v>116</v>
      </c>
      <c r="AC322" s="23" t="s">
        <v>116</v>
      </c>
      <c r="AD322" s="23" t="s">
        <v>116</v>
      </c>
      <c r="AE322" s="23" t="s">
        <v>116</v>
      </c>
      <c r="AF322" s="23" t="s">
        <v>116</v>
      </c>
      <c r="AG322" s="23" t="s">
        <v>116</v>
      </c>
      <c r="AH322" s="23" t="s">
        <v>116</v>
      </c>
      <c r="AI322" s="52">
        <v>0</v>
      </c>
      <c r="AJ322" s="51">
        <v>218</v>
      </c>
    </row>
    <row r="323" spans="1:36" x14ac:dyDescent="0.2">
      <c r="A323" s="47">
        <v>44883</v>
      </c>
      <c r="B323" s="48">
        <v>18</v>
      </c>
      <c r="C323" s="48">
        <v>322</v>
      </c>
      <c r="D323" s="48">
        <v>6</v>
      </c>
      <c r="E323" s="48" t="s">
        <v>17</v>
      </c>
      <c r="F323" s="48">
        <v>46</v>
      </c>
      <c r="G323" s="48">
        <v>11</v>
      </c>
      <c r="H323" s="48" t="s">
        <v>27</v>
      </c>
      <c r="I323" s="48">
        <v>4</v>
      </c>
      <c r="J323" s="49">
        <v>18</v>
      </c>
      <c r="K323" s="49">
        <v>33</v>
      </c>
      <c r="L323" s="49">
        <v>583</v>
      </c>
      <c r="M323" s="50">
        <v>0.61</v>
      </c>
      <c r="N323" s="49">
        <v>356</v>
      </c>
      <c r="O323" s="49">
        <v>227</v>
      </c>
      <c r="P323" s="50">
        <v>2.16</v>
      </c>
      <c r="Q323" s="50">
        <v>0.54</v>
      </c>
      <c r="R323" s="50">
        <v>0.87</v>
      </c>
      <c r="S323" s="50">
        <v>0.75</v>
      </c>
      <c r="T323" s="50">
        <v>0.02</v>
      </c>
      <c r="U323" s="49">
        <v>23</v>
      </c>
      <c r="V323" s="50">
        <v>0.79</v>
      </c>
      <c r="W323" s="50">
        <v>0.09</v>
      </c>
      <c r="X323" s="49">
        <f t="shared" ref="X323:X367" si="15">L323*W323</f>
        <v>52.47</v>
      </c>
      <c r="Y323" s="49">
        <f t="shared" ref="Y323:Y367" si="16">S323*L323</f>
        <v>437.25</v>
      </c>
      <c r="Z323" s="49">
        <f t="shared" ref="Z323:Z367" si="17">L323-(X323+Y323)</f>
        <v>93.279999999999973</v>
      </c>
      <c r="AA323" s="23" t="s">
        <v>116</v>
      </c>
      <c r="AB323" s="23" t="s">
        <v>116</v>
      </c>
      <c r="AC323" s="23" t="s">
        <v>116</v>
      </c>
      <c r="AD323" s="23" t="s">
        <v>116</v>
      </c>
      <c r="AE323" s="23" t="s">
        <v>116</v>
      </c>
      <c r="AF323" s="23" t="s">
        <v>116</v>
      </c>
      <c r="AG323" s="23" t="s">
        <v>116</v>
      </c>
      <c r="AH323" s="23" t="s">
        <v>116</v>
      </c>
      <c r="AI323" s="52">
        <v>0</v>
      </c>
      <c r="AJ323" s="51">
        <v>227</v>
      </c>
    </row>
    <row r="324" spans="1:36" x14ac:dyDescent="0.2">
      <c r="A324" s="47">
        <v>44884</v>
      </c>
      <c r="B324" s="48">
        <v>19</v>
      </c>
      <c r="C324" s="48">
        <v>323</v>
      </c>
      <c r="D324" s="48">
        <v>7</v>
      </c>
      <c r="E324" s="48" t="s">
        <v>10</v>
      </c>
      <c r="F324" s="48">
        <v>46</v>
      </c>
      <c r="G324" s="48">
        <v>11</v>
      </c>
      <c r="H324" s="48" t="s">
        <v>27</v>
      </c>
      <c r="I324" s="48">
        <v>4</v>
      </c>
      <c r="J324" s="49">
        <v>21</v>
      </c>
      <c r="K324" s="49">
        <v>24</v>
      </c>
      <c r="L324" s="49">
        <v>514</v>
      </c>
      <c r="M324" s="50">
        <v>0.52</v>
      </c>
      <c r="N324" s="49">
        <v>270</v>
      </c>
      <c r="O324" s="49">
        <v>244</v>
      </c>
      <c r="P324" s="50">
        <v>1.68</v>
      </c>
      <c r="Q324" s="50">
        <v>0.66</v>
      </c>
      <c r="R324" s="50">
        <v>0.75</v>
      </c>
      <c r="S324" s="50">
        <v>1.24</v>
      </c>
      <c r="T324" s="50">
        <v>0.03</v>
      </c>
      <c r="U324" s="49">
        <v>17</v>
      </c>
      <c r="V324" s="50">
        <v>0.78</v>
      </c>
      <c r="W324" s="50">
        <v>0.06</v>
      </c>
      <c r="X324" s="49">
        <f t="shared" si="15"/>
        <v>30.84</v>
      </c>
      <c r="Y324" s="49">
        <f t="shared" si="16"/>
        <v>637.36</v>
      </c>
      <c r="Z324" s="49">
        <f t="shared" si="17"/>
        <v>-154.20000000000005</v>
      </c>
      <c r="AA324" s="23" t="s">
        <v>116</v>
      </c>
      <c r="AB324" s="23" t="s">
        <v>116</v>
      </c>
      <c r="AC324" s="23" t="s">
        <v>116</v>
      </c>
      <c r="AD324" s="23" t="s">
        <v>116</v>
      </c>
      <c r="AE324" s="23" t="s">
        <v>116</v>
      </c>
      <c r="AF324" s="23" t="s">
        <v>116</v>
      </c>
      <c r="AG324" s="23" t="s">
        <v>116</v>
      </c>
      <c r="AH324" s="23" t="s">
        <v>116</v>
      </c>
      <c r="AI324" s="52">
        <v>0</v>
      </c>
      <c r="AJ324" s="51">
        <v>244</v>
      </c>
    </row>
    <row r="325" spans="1:36" x14ac:dyDescent="0.2">
      <c r="A325" s="47">
        <v>44885</v>
      </c>
      <c r="B325" s="48">
        <v>20</v>
      </c>
      <c r="C325" s="48">
        <v>324</v>
      </c>
      <c r="D325" s="48">
        <v>1</v>
      </c>
      <c r="E325" s="48" t="s">
        <v>12</v>
      </c>
      <c r="F325" s="48">
        <v>47</v>
      </c>
      <c r="G325" s="48">
        <v>11</v>
      </c>
      <c r="H325" s="48" t="s">
        <v>27</v>
      </c>
      <c r="I325" s="48">
        <v>4</v>
      </c>
      <c r="J325" s="49">
        <v>4</v>
      </c>
      <c r="K325" s="49">
        <v>27</v>
      </c>
      <c r="L325" s="49">
        <v>103</v>
      </c>
      <c r="M325" s="50">
        <v>0.24</v>
      </c>
      <c r="N325" s="49">
        <v>25</v>
      </c>
      <c r="O325" s="49">
        <v>78</v>
      </c>
      <c r="P325" s="50">
        <v>1</v>
      </c>
      <c r="Q325" s="50">
        <v>0.23</v>
      </c>
      <c r="R325" s="50">
        <v>0.34</v>
      </c>
      <c r="S325" s="50">
        <v>0.21</v>
      </c>
      <c r="T325" s="50">
        <v>0.28000000000000003</v>
      </c>
      <c r="U325" s="49">
        <v>19</v>
      </c>
      <c r="V325" s="50">
        <v>0.28999999999999998</v>
      </c>
      <c r="W325" s="50">
        <v>0.18</v>
      </c>
      <c r="X325" s="49">
        <f t="shared" si="15"/>
        <v>18.54</v>
      </c>
      <c r="Y325" s="49">
        <f t="shared" si="16"/>
        <v>21.63</v>
      </c>
      <c r="Z325" s="49">
        <f t="shared" si="17"/>
        <v>62.83</v>
      </c>
      <c r="AA325" s="23" t="s">
        <v>116</v>
      </c>
      <c r="AB325" s="23">
        <v>1000</v>
      </c>
      <c r="AC325" s="23" t="s">
        <v>116</v>
      </c>
      <c r="AD325" s="23" t="s">
        <v>116</v>
      </c>
      <c r="AE325" s="23">
        <v>100</v>
      </c>
      <c r="AF325" s="23" t="s">
        <v>116</v>
      </c>
      <c r="AG325" s="23" t="s">
        <v>116</v>
      </c>
      <c r="AH325" s="23" t="s">
        <v>116</v>
      </c>
      <c r="AI325" s="52">
        <v>1100</v>
      </c>
      <c r="AJ325" s="51">
        <v>-1022</v>
      </c>
    </row>
    <row r="326" spans="1:36" x14ac:dyDescent="0.2">
      <c r="A326" s="47">
        <v>44886</v>
      </c>
      <c r="B326" s="48">
        <v>21</v>
      </c>
      <c r="C326" s="48">
        <v>325</v>
      </c>
      <c r="D326" s="48">
        <v>2</v>
      </c>
      <c r="E326" s="48" t="s">
        <v>13</v>
      </c>
      <c r="F326" s="48">
        <v>47</v>
      </c>
      <c r="G326" s="48">
        <v>11</v>
      </c>
      <c r="H326" s="48" t="s">
        <v>27</v>
      </c>
      <c r="I326" s="48">
        <v>4</v>
      </c>
      <c r="J326" s="49">
        <v>25</v>
      </c>
      <c r="K326" s="49">
        <v>37</v>
      </c>
      <c r="L326" s="49">
        <v>944</v>
      </c>
      <c r="M326" s="50">
        <v>0.68</v>
      </c>
      <c r="N326" s="49">
        <v>640</v>
      </c>
      <c r="O326" s="49">
        <v>304</v>
      </c>
      <c r="P326" s="50">
        <v>1.5</v>
      </c>
      <c r="Q326" s="50">
        <v>0.7</v>
      </c>
      <c r="R326" s="50">
        <v>0.97</v>
      </c>
      <c r="S326" s="50">
        <v>0.97</v>
      </c>
      <c r="T326" s="50">
        <v>0.01</v>
      </c>
      <c r="U326" s="49">
        <v>26</v>
      </c>
      <c r="V326" s="50">
        <v>0.28000000000000003</v>
      </c>
      <c r="W326" s="50">
        <v>0.04</v>
      </c>
      <c r="X326" s="49">
        <f t="shared" si="15"/>
        <v>37.76</v>
      </c>
      <c r="Y326" s="49">
        <f t="shared" si="16"/>
        <v>915.68</v>
      </c>
      <c r="Z326" s="49">
        <f t="shared" si="17"/>
        <v>-9.4399999999999409</v>
      </c>
      <c r="AA326" s="23" t="s">
        <v>116</v>
      </c>
      <c r="AB326" s="23" t="s">
        <v>116</v>
      </c>
      <c r="AC326" s="23" t="s">
        <v>116</v>
      </c>
      <c r="AD326" s="23" t="s">
        <v>116</v>
      </c>
      <c r="AE326" s="23" t="s">
        <v>116</v>
      </c>
      <c r="AF326" s="23" t="s">
        <v>116</v>
      </c>
      <c r="AG326" s="23" t="s">
        <v>116</v>
      </c>
      <c r="AH326" s="23" t="s">
        <v>116</v>
      </c>
      <c r="AI326" s="52">
        <v>0</v>
      </c>
      <c r="AJ326" s="51">
        <v>304</v>
      </c>
    </row>
    <row r="327" spans="1:36" x14ac:dyDescent="0.2">
      <c r="A327" s="47">
        <v>44887</v>
      </c>
      <c r="B327" s="48">
        <v>22</v>
      </c>
      <c r="C327" s="48">
        <v>326</v>
      </c>
      <c r="D327" s="48">
        <v>3</v>
      </c>
      <c r="E327" s="48" t="s">
        <v>14</v>
      </c>
      <c r="F327" s="48">
        <v>47</v>
      </c>
      <c r="G327" s="48">
        <v>11</v>
      </c>
      <c r="H327" s="48" t="s">
        <v>27</v>
      </c>
      <c r="I327" s="48">
        <v>4</v>
      </c>
      <c r="J327" s="49">
        <v>24</v>
      </c>
      <c r="K327" s="49">
        <v>8</v>
      </c>
      <c r="L327" s="49">
        <v>184</v>
      </c>
      <c r="M327" s="50">
        <v>0.56000000000000005</v>
      </c>
      <c r="N327" s="49">
        <v>103</v>
      </c>
      <c r="O327" s="49">
        <v>80</v>
      </c>
      <c r="P327" s="50">
        <v>7.79</v>
      </c>
      <c r="Q327" s="50">
        <v>0.88</v>
      </c>
      <c r="R327" s="50">
        <v>0.8</v>
      </c>
      <c r="S327" s="50">
        <v>4.57</v>
      </c>
      <c r="T327" s="50">
        <v>7.0000000000000007E-2</v>
      </c>
      <c r="U327" s="49">
        <v>5</v>
      </c>
      <c r="V327" s="50">
        <v>2.31</v>
      </c>
      <c r="W327" s="50">
        <v>0.23</v>
      </c>
      <c r="X327" s="49">
        <f t="shared" si="15"/>
        <v>42.32</v>
      </c>
      <c r="Y327" s="49">
        <f t="shared" si="16"/>
        <v>840.88000000000011</v>
      </c>
      <c r="Z327" s="49">
        <f t="shared" si="17"/>
        <v>-699.20000000000016</v>
      </c>
      <c r="AA327" s="23" t="s">
        <v>116</v>
      </c>
      <c r="AB327" s="23" t="s">
        <v>116</v>
      </c>
      <c r="AC327" s="23" t="s">
        <v>116</v>
      </c>
      <c r="AD327" s="23" t="s">
        <v>116</v>
      </c>
      <c r="AE327" s="23" t="s">
        <v>116</v>
      </c>
      <c r="AF327" s="23" t="s">
        <v>116</v>
      </c>
      <c r="AG327" s="23" t="s">
        <v>116</v>
      </c>
      <c r="AH327" s="23" t="s">
        <v>116</v>
      </c>
      <c r="AI327" s="52">
        <v>0</v>
      </c>
      <c r="AJ327" s="51">
        <v>80</v>
      </c>
    </row>
    <row r="328" spans="1:36" x14ac:dyDescent="0.2">
      <c r="A328" s="47">
        <v>44888</v>
      </c>
      <c r="B328" s="48">
        <v>23</v>
      </c>
      <c r="C328" s="48">
        <v>327</v>
      </c>
      <c r="D328" s="48">
        <v>4</v>
      </c>
      <c r="E328" s="48" t="s">
        <v>15</v>
      </c>
      <c r="F328" s="48">
        <v>47</v>
      </c>
      <c r="G328" s="48">
        <v>11</v>
      </c>
      <c r="H328" s="48" t="s">
        <v>27</v>
      </c>
      <c r="I328" s="48">
        <v>4</v>
      </c>
      <c r="J328" s="49">
        <v>13</v>
      </c>
      <c r="K328" s="49">
        <v>92</v>
      </c>
      <c r="L328" s="49">
        <v>1177</v>
      </c>
      <c r="M328" s="50">
        <v>0.56999999999999995</v>
      </c>
      <c r="N328" s="49">
        <v>675</v>
      </c>
      <c r="O328" s="49">
        <v>502</v>
      </c>
      <c r="P328" s="50">
        <v>0.68</v>
      </c>
      <c r="Q328" s="50">
        <v>0.4</v>
      </c>
      <c r="R328" s="50">
        <v>0.82</v>
      </c>
      <c r="S328" s="50">
        <v>0.2</v>
      </c>
      <c r="T328" s="50">
        <v>0.01</v>
      </c>
      <c r="U328" s="49">
        <v>64</v>
      </c>
      <c r="V328" s="50">
        <v>0.13</v>
      </c>
      <c r="W328" s="50">
        <v>0.04</v>
      </c>
      <c r="X328" s="49">
        <f t="shared" si="15"/>
        <v>47.08</v>
      </c>
      <c r="Y328" s="49">
        <f t="shared" si="16"/>
        <v>235.4</v>
      </c>
      <c r="Z328" s="49">
        <f t="shared" si="17"/>
        <v>894.52</v>
      </c>
      <c r="AA328" s="23" t="s">
        <v>116</v>
      </c>
      <c r="AB328" s="23" t="s">
        <v>116</v>
      </c>
      <c r="AC328" s="23" t="s">
        <v>116</v>
      </c>
      <c r="AD328" s="23" t="s">
        <v>116</v>
      </c>
      <c r="AE328" s="23" t="s">
        <v>116</v>
      </c>
      <c r="AF328" s="23" t="s">
        <v>116</v>
      </c>
      <c r="AG328" s="23" t="s">
        <v>116</v>
      </c>
      <c r="AH328" s="23" t="s">
        <v>116</v>
      </c>
      <c r="AI328" s="52">
        <v>0</v>
      </c>
      <c r="AJ328" s="51">
        <v>502</v>
      </c>
    </row>
    <row r="329" spans="1:36" x14ac:dyDescent="0.2">
      <c r="A329" s="47">
        <v>44889</v>
      </c>
      <c r="B329" s="48">
        <v>24</v>
      </c>
      <c r="C329" s="48">
        <v>328</v>
      </c>
      <c r="D329" s="48">
        <v>5</v>
      </c>
      <c r="E329" s="48" t="s">
        <v>16</v>
      </c>
      <c r="F329" s="48">
        <v>47</v>
      </c>
      <c r="G329" s="48">
        <v>11</v>
      </c>
      <c r="H329" s="48" t="s">
        <v>27</v>
      </c>
      <c r="I329" s="48">
        <v>4</v>
      </c>
      <c r="J329" s="49">
        <v>21</v>
      </c>
      <c r="K329" s="49">
        <v>51</v>
      </c>
      <c r="L329" s="49">
        <v>1060</v>
      </c>
      <c r="M329" s="50">
        <v>0.66</v>
      </c>
      <c r="N329" s="49">
        <v>704</v>
      </c>
      <c r="O329" s="49">
        <v>356</v>
      </c>
      <c r="P329" s="50">
        <v>1.06</v>
      </c>
      <c r="Q329" s="50">
        <v>0.49</v>
      </c>
      <c r="R329" s="50">
        <v>0.95</v>
      </c>
      <c r="S329" s="50">
        <v>0.56999999999999995</v>
      </c>
      <c r="T329" s="50">
        <v>0.01</v>
      </c>
      <c r="U329" s="49">
        <v>36</v>
      </c>
      <c r="V329" s="50">
        <v>0.22</v>
      </c>
      <c r="W329" s="50">
        <v>0.04</v>
      </c>
      <c r="X329" s="49">
        <f t="shared" si="15"/>
        <v>42.4</v>
      </c>
      <c r="Y329" s="49">
        <f t="shared" si="16"/>
        <v>604.19999999999993</v>
      </c>
      <c r="Z329" s="49">
        <f t="shared" si="17"/>
        <v>413.40000000000009</v>
      </c>
      <c r="AA329" s="23" t="s">
        <v>116</v>
      </c>
      <c r="AB329" s="23" t="s">
        <v>116</v>
      </c>
      <c r="AC329" s="23" t="s">
        <v>116</v>
      </c>
      <c r="AD329" s="23" t="s">
        <v>116</v>
      </c>
      <c r="AE329" s="23" t="s">
        <v>116</v>
      </c>
      <c r="AF329" s="23" t="s">
        <v>116</v>
      </c>
      <c r="AG329" s="23" t="s">
        <v>116</v>
      </c>
      <c r="AH329" s="23" t="s">
        <v>116</v>
      </c>
      <c r="AI329" s="52">
        <v>0</v>
      </c>
      <c r="AJ329" s="51">
        <v>356</v>
      </c>
    </row>
    <row r="330" spans="1:36" x14ac:dyDescent="0.2">
      <c r="A330" s="47">
        <v>44890</v>
      </c>
      <c r="B330" s="48">
        <v>25</v>
      </c>
      <c r="C330" s="48">
        <v>329</v>
      </c>
      <c r="D330" s="48">
        <v>6</v>
      </c>
      <c r="E330" s="48" t="s">
        <v>17</v>
      </c>
      <c r="F330" s="48">
        <v>47</v>
      </c>
      <c r="G330" s="48">
        <v>11</v>
      </c>
      <c r="H330" s="48" t="s">
        <v>27</v>
      </c>
      <c r="I330" s="48">
        <v>4</v>
      </c>
      <c r="J330" s="49">
        <v>22</v>
      </c>
      <c r="K330" s="49">
        <v>64</v>
      </c>
      <c r="L330" s="49">
        <v>1386</v>
      </c>
      <c r="M330" s="50">
        <v>0.72</v>
      </c>
      <c r="N330" s="49">
        <v>996</v>
      </c>
      <c r="O330" s="49">
        <v>390</v>
      </c>
      <c r="P330" s="50">
        <v>0.89</v>
      </c>
      <c r="Q330" s="50">
        <v>0.52</v>
      </c>
      <c r="R330" s="50">
        <v>1.03</v>
      </c>
      <c r="S330" s="50">
        <v>0.48</v>
      </c>
      <c r="T330" s="50">
        <v>0.01</v>
      </c>
      <c r="U330" s="49">
        <v>45</v>
      </c>
      <c r="V330" s="50">
        <v>0.21</v>
      </c>
      <c r="W330" s="50">
        <v>0.03</v>
      </c>
      <c r="X330" s="49">
        <f t="shared" si="15"/>
        <v>41.58</v>
      </c>
      <c r="Y330" s="49">
        <f t="shared" si="16"/>
        <v>665.28</v>
      </c>
      <c r="Z330" s="49">
        <f t="shared" si="17"/>
        <v>679.14</v>
      </c>
      <c r="AA330" s="23" t="s">
        <v>116</v>
      </c>
      <c r="AB330" s="23" t="s">
        <v>116</v>
      </c>
      <c r="AC330" s="23" t="s">
        <v>116</v>
      </c>
      <c r="AD330" s="23" t="s">
        <v>116</v>
      </c>
      <c r="AE330" s="23" t="s">
        <v>116</v>
      </c>
      <c r="AF330" s="23" t="s">
        <v>116</v>
      </c>
      <c r="AG330" s="23">
        <v>83</v>
      </c>
      <c r="AH330" s="23" t="s">
        <v>116</v>
      </c>
      <c r="AI330" s="52">
        <v>83</v>
      </c>
      <c r="AJ330" s="51">
        <v>307</v>
      </c>
    </row>
    <row r="331" spans="1:36" x14ac:dyDescent="0.2">
      <c r="A331" s="47">
        <v>44891</v>
      </c>
      <c r="B331" s="48">
        <v>26</v>
      </c>
      <c r="C331" s="48">
        <v>330</v>
      </c>
      <c r="D331" s="48">
        <v>7</v>
      </c>
      <c r="E331" s="48" t="s">
        <v>10</v>
      </c>
      <c r="F331" s="48">
        <v>47</v>
      </c>
      <c r="G331" s="48">
        <v>11</v>
      </c>
      <c r="H331" s="48" t="s">
        <v>27</v>
      </c>
      <c r="I331" s="48">
        <v>4</v>
      </c>
      <c r="J331" s="49">
        <v>20</v>
      </c>
      <c r="K331" s="49">
        <v>97</v>
      </c>
      <c r="L331" s="49">
        <v>1921</v>
      </c>
      <c r="M331" s="50">
        <v>0.27</v>
      </c>
      <c r="N331" s="49">
        <v>513</v>
      </c>
      <c r="O331" s="49">
        <v>1408</v>
      </c>
      <c r="P331" s="50">
        <v>0.67</v>
      </c>
      <c r="Q331" s="50">
        <v>0.59</v>
      </c>
      <c r="R331" s="50">
        <v>0.38</v>
      </c>
      <c r="S331" s="50">
        <v>0.28999999999999998</v>
      </c>
      <c r="T331" s="50">
        <v>0.01</v>
      </c>
      <c r="U331" s="49">
        <v>68</v>
      </c>
      <c r="V331" s="50">
        <v>0.14000000000000001</v>
      </c>
      <c r="W331" s="50">
        <v>0.02</v>
      </c>
      <c r="X331" s="49">
        <f t="shared" si="15"/>
        <v>38.42</v>
      </c>
      <c r="Y331" s="49">
        <f t="shared" si="16"/>
        <v>557.08999999999992</v>
      </c>
      <c r="Z331" s="49">
        <f t="shared" si="17"/>
        <v>1325.4900000000002</v>
      </c>
      <c r="AA331" s="23" t="s">
        <v>116</v>
      </c>
      <c r="AB331" s="23" t="s">
        <v>116</v>
      </c>
      <c r="AC331" s="23" t="s">
        <v>116</v>
      </c>
      <c r="AD331" s="23" t="s">
        <v>116</v>
      </c>
      <c r="AE331" s="23" t="s">
        <v>116</v>
      </c>
      <c r="AF331" s="23" t="s">
        <v>116</v>
      </c>
      <c r="AG331" s="23" t="s">
        <v>116</v>
      </c>
      <c r="AH331" s="23" t="s">
        <v>116</v>
      </c>
      <c r="AI331" s="52">
        <v>0</v>
      </c>
      <c r="AJ331" s="51">
        <v>1408</v>
      </c>
    </row>
    <row r="332" spans="1:36" x14ac:dyDescent="0.2">
      <c r="A332" s="47">
        <v>44892</v>
      </c>
      <c r="B332" s="48">
        <v>27</v>
      </c>
      <c r="C332" s="48">
        <v>331</v>
      </c>
      <c r="D332" s="48">
        <v>1</v>
      </c>
      <c r="E332" s="48" t="s">
        <v>12</v>
      </c>
      <c r="F332" s="48">
        <v>48</v>
      </c>
      <c r="G332" s="48">
        <v>11</v>
      </c>
      <c r="H332" s="48" t="s">
        <v>27</v>
      </c>
      <c r="I332" s="48">
        <v>4</v>
      </c>
      <c r="J332" s="49">
        <v>9</v>
      </c>
      <c r="K332" s="49">
        <v>31</v>
      </c>
      <c r="L332" s="49">
        <v>285</v>
      </c>
      <c r="M332" s="50">
        <v>0.22</v>
      </c>
      <c r="N332" s="49">
        <v>62</v>
      </c>
      <c r="O332" s="49">
        <v>223</v>
      </c>
      <c r="P332" s="50">
        <v>0.86</v>
      </c>
      <c r="Q332" s="50">
        <v>0.52</v>
      </c>
      <c r="R332" s="50">
        <v>0.31</v>
      </c>
      <c r="S332" s="50">
        <v>0.43</v>
      </c>
      <c r="T332" s="50">
        <v>0.1</v>
      </c>
      <c r="U332" s="49">
        <v>22</v>
      </c>
      <c r="V332" s="50">
        <v>0.26</v>
      </c>
      <c r="W332" s="50">
        <v>0.06</v>
      </c>
      <c r="X332" s="49">
        <f t="shared" si="15"/>
        <v>17.099999999999998</v>
      </c>
      <c r="Y332" s="49">
        <f t="shared" si="16"/>
        <v>122.55</v>
      </c>
      <c r="Z332" s="49">
        <f t="shared" si="17"/>
        <v>145.35</v>
      </c>
      <c r="AA332" s="23" t="s">
        <v>116</v>
      </c>
      <c r="AB332" s="23">
        <v>1000</v>
      </c>
      <c r="AC332" s="23" t="s">
        <v>116</v>
      </c>
      <c r="AD332" s="23" t="s">
        <v>116</v>
      </c>
      <c r="AE332" s="23" t="s">
        <v>116</v>
      </c>
      <c r="AF332" s="23" t="s">
        <v>116</v>
      </c>
      <c r="AG332" s="23" t="s">
        <v>116</v>
      </c>
      <c r="AH332" s="23" t="s">
        <v>116</v>
      </c>
      <c r="AI332" s="52">
        <v>1000</v>
      </c>
      <c r="AJ332" s="51">
        <v>-777</v>
      </c>
    </row>
    <row r="333" spans="1:36" x14ac:dyDescent="0.2">
      <c r="A333" s="47">
        <v>44893</v>
      </c>
      <c r="B333" s="48">
        <v>28</v>
      </c>
      <c r="C333" s="48">
        <v>332</v>
      </c>
      <c r="D333" s="48">
        <v>2</v>
      </c>
      <c r="E333" s="48" t="s">
        <v>13</v>
      </c>
      <c r="F333" s="48">
        <v>48</v>
      </c>
      <c r="G333" s="48">
        <v>11</v>
      </c>
      <c r="H333" s="48" t="s">
        <v>27</v>
      </c>
      <c r="I333" s="48">
        <v>4</v>
      </c>
      <c r="J333" s="49">
        <v>25</v>
      </c>
      <c r="K333" s="49">
        <v>72</v>
      </c>
      <c r="L333" s="49">
        <v>1778</v>
      </c>
      <c r="M333" s="50">
        <v>0.42</v>
      </c>
      <c r="N333" s="49">
        <v>747</v>
      </c>
      <c r="O333" s="49">
        <v>1031</v>
      </c>
      <c r="P333" s="50">
        <v>0.77</v>
      </c>
      <c r="Q333" s="50">
        <v>0.63</v>
      </c>
      <c r="R333" s="50">
        <v>0.6</v>
      </c>
      <c r="S333" s="50">
        <v>0.49</v>
      </c>
      <c r="T333" s="50">
        <v>0.01</v>
      </c>
      <c r="U333" s="49">
        <v>51</v>
      </c>
      <c r="V333" s="50">
        <v>0.18</v>
      </c>
      <c r="W333" s="50">
        <v>0.02</v>
      </c>
      <c r="X333" s="49">
        <f t="shared" si="15"/>
        <v>35.56</v>
      </c>
      <c r="Y333" s="49">
        <f t="shared" si="16"/>
        <v>871.22</v>
      </c>
      <c r="Z333" s="49">
        <f t="shared" si="17"/>
        <v>871.22</v>
      </c>
      <c r="AA333" s="23" t="s">
        <v>116</v>
      </c>
      <c r="AB333" s="23" t="s">
        <v>116</v>
      </c>
      <c r="AC333" s="23" t="s">
        <v>116</v>
      </c>
      <c r="AD333" s="23" t="s">
        <v>116</v>
      </c>
      <c r="AE333" s="23" t="s">
        <v>116</v>
      </c>
      <c r="AF333" s="23" t="s">
        <v>116</v>
      </c>
      <c r="AG333" s="23" t="s">
        <v>116</v>
      </c>
      <c r="AH333" s="23" t="s">
        <v>116</v>
      </c>
      <c r="AI333" s="52">
        <v>0</v>
      </c>
      <c r="AJ333" s="51">
        <v>1031</v>
      </c>
    </row>
    <row r="334" spans="1:36" x14ac:dyDescent="0.2">
      <c r="A334" s="47">
        <v>44894</v>
      </c>
      <c r="B334" s="48">
        <v>29</v>
      </c>
      <c r="C334" s="48">
        <v>333</v>
      </c>
      <c r="D334" s="48">
        <v>3</v>
      </c>
      <c r="E334" s="48" t="s">
        <v>14</v>
      </c>
      <c r="F334" s="48">
        <v>48</v>
      </c>
      <c r="G334" s="48">
        <v>11</v>
      </c>
      <c r="H334" s="48" t="s">
        <v>27</v>
      </c>
      <c r="I334" s="48">
        <v>4</v>
      </c>
      <c r="J334" s="49">
        <v>13</v>
      </c>
      <c r="K334" s="49">
        <v>38</v>
      </c>
      <c r="L334" s="49">
        <v>492</v>
      </c>
      <c r="M334" s="50">
        <v>0.67</v>
      </c>
      <c r="N334" s="49">
        <v>330</v>
      </c>
      <c r="O334" s="49">
        <v>162</v>
      </c>
      <c r="P334" s="50">
        <v>1.65</v>
      </c>
      <c r="Q334" s="50">
        <v>0.37</v>
      </c>
      <c r="R334" s="50">
        <v>0.96</v>
      </c>
      <c r="S334" s="50">
        <v>0.49</v>
      </c>
      <c r="T334" s="50">
        <v>0.03</v>
      </c>
      <c r="U334" s="49">
        <v>27</v>
      </c>
      <c r="V334" s="50">
        <v>0.42</v>
      </c>
      <c r="W334" s="50">
        <v>0.09</v>
      </c>
      <c r="X334" s="49">
        <f t="shared" si="15"/>
        <v>44.28</v>
      </c>
      <c r="Y334" s="49">
        <f t="shared" si="16"/>
        <v>241.07999999999998</v>
      </c>
      <c r="Z334" s="49">
        <f t="shared" si="17"/>
        <v>206.64</v>
      </c>
      <c r="AA334" s="23" t="s">
        <v>116</v>
      </c>
      <c r="AB334" s="23" t="s">
        <v>116</v>
      </c>
      <c r="AC334" s="23" t="s">
        <v>116</v>
      </c>
      <c r="AD334" s="23" t="s">
        <v>116</v>
      </c>
      <c r="AE334" s="23" t="s">
        <v>116</v>
      </c>
      <c r="AF334" s="23" t="s">
        <v>116</v>
      </c>
      <c r="AG334" s="23" t="s">
        <v>116</v>
      </c>
      <c r="AH334" s="23" t="s">
        <v>116</v>
      </c>
      <c r="AI334" s="52">
        <v>0</v>
      </c>
      <c r="AJ334" s="51">
        <v>162</v>
      </c>
    </row>
    <row r="335" spans="1:36" x14ac:dyDescent="0.2">
      <c r="A335" s="47">
        <v>44895</v>
      </c>
      <c r="B335" s="48">
        <v>30</v>
      </c>
      <c r="C335" s="48">
        <v>334</v>
      </c>
      <c r="D335" s="48">
        <v>4</v>
      </c>
      <c r="E335" s="48" t="s">
        <v>15</v>
      </c>
      <c r="F335" s="48">
        <v>48</v>
      </c>
      <c r="G335" s="48">
        <v>11</v>
      </c>
      <c r="H335" s="48" t="s">
        <v>27</v>
      </c>
      <c r="I335" s="48">
        <v>4</v>
      </c>
      <c r="J335" s="49">
        <v>16</v>
      </c>
      <c r="K335" s="49">
        <v>125</v>
      </c>
      <c r="L335" s="49">
        <v>2013</v>
      </c>
      <c r="M335" s="50">
        <v>0.68</v>
      </c>
      <c r="N335" s="49">
        <v>1375</v>
      </c>
      <c r="O335" s="49">
        <v>638</v>
      </c>
      <c r="P335" s="50">
        <v>0.44</v>
      </c>
      <c r="Q335" s="50">
        <v>0.5</v>
      </c>
      <c r="R335" s="50">
        <v>0.98</v>
      </c>
      <c r="S335" s="50">
        <v>0.18</v>
      </c>
      <c r="T335" s="50">
        <v>0.01</v>
      </c>
      <c r="U335" s="49">
        <v>88</v>
      </c>
      <c r="V335" s="50">
        <v>0.14000000000000001</v>
      </c>
      <c r="W335" s="50">
        <v>0.02</v>
      </c>
      <c r="X335" s="49">
        <f t="shared" si="15"/>
        <v>40.26</v>
      </c>
      <c r="Y335" s="49">
        <f t="shared" si="16"/>
        <v>362.34</v>
      </c>
      <c r="Z335" s="49">
        <f t="shared" si="17"/>
        <v>1610.4</v>
      </c>
      <c r="AA335" s="23" t="s">
        <v>116</v>
      </c>
      <c r="AB335" s="23" t="s">
        <v>116</v>
      </c>
      <c r="AC335" s="23" t="s">
        <v>116</v>
      </c>
      <c r="AD335" s="23" t="s">
        <v>116</v>
      </c>
      <c r="AE335" s="23" t="s">
        <v>116</v>
      </c>
      <c r="AF335" s="23" t="s">
        <v>116</v>
      </c>
      <c r="AG335" s="23" t="s">
        <v>116</v>
      </c>
      <c r="AH335" s="23" t="s">
        <v>116</v>
      </c>
      <c r="AI335" s="52">
        <v>0</v>
      </c>
      <c r="AJ335" s="51">
        <v>638</v>
      </c>
    </row>
    <row r="336" spans="1:36" x14ac:dyDescent="0.2">
      <c r="A336" s="47">
        <v>44896</v>
      </c>
      <c r="B336" s="48">
        <v>1</v>
      </c>
      <c r="C336" s="48">
        <v>335</v>
      </c>
      <c r="D336" s="48">
        <v>5</v>
      </c>
      <c r="E336" s="48" t="s">
        <v>16</v>
      </c>
      <c r="F336" s="48">
        <v>48</v>
      </c>
      <c r="G336" s="48">
        <v>12</v>
      </c>
      <c r="H336" s="48" t="s">
        <v>28</v>
      </c>
      <c r="I336" s="48">
        <v>4</v>
      </c>
      <c r="J336" s="49">
        <v>13</v>
      </c>
      <c r="K336" s="49">
        <v>86</v>
      </c>
      <c r="L336" s="49">
        <v>1124</v>
      </c>
      <c r="M336" s="50">
        <v>0.38</v>
      </c>
      <c r="N336" s="49">
        <v>425</v>
      </c>
      <c r="O336" s="49">
        <v>699</v>
      </c>
      <c r="P336" s="50">
        <v>0.77</v>
      </c>
      <c r="Q336" s="50">
        <v>0.47</v>
      </c>
      <c r="R336" s="50">
        <v>0.54</v>
      </c>
      <c r="S336" s="50">
        <v>0.22</v>
      </c>
      <c r="T336" s="50">
        <v>0.01</v>
      </c>
      <c r="U336" s="49">
        <v>60</v>
      </c>
      <c r="V336" s="50">
        <v>0.13</v>
      </c>
      <c r="W336" s="50">
        <v>0.04</v>
      </c>
      <c r="X336" s="49">
        <f t="shared" si="15"/>
        <v>44.96</v>
      </c>
      <c r="Y336" s="49">
        <f t="shared" si="16"/>
        <v>247.28</v>
      </c>
      <c r="Z336" s="49">
        <f t="shared" si="17"/>
        <v>831.76</v>
      </c>
      <c r="AA336" s="23">
        <v>3000</v>
      </c>
      <c r="AB336" s="23" t="s">
        <v>116</v>
      </c>
      <c r="AC336" s="23" t="s">
        <v>116</v>
      </c>
      <c r="AD336" s="23" t="s">
        <v>116</v>
      </c>
      <c r="AE336" s="23" t="s">
        <v>116</v>
      </c>
      <c r="AF336" s="23" t="s">
        <v>116</v>
      </c>
      <c r="AG336" s="23" t="s">
        <v>116</v>
      </c>
      <c r="AH336" s="23" t="s">
        <v>116</v>
      </c>
      <c r="AI336" s="52">
        <v>3000</v>
      </c>
      <c r="AJ336" s="51">
        <v>-2301</v>
      </c>
    </row>
    <row r="337" spans="1:36" x14ac:dyDescent="0.2">
      <c r="A337" s="47">
        <v>44897</v>
      </c>
      <c r="B337" s="48">
        <v>2</v>
      </c>
      <c r="C337" s="48">
        <v>336</v>
      </c>
      <c r="D337" s="48">
        <v>6</v>
      </c>
      <c r="E337" s="48" t="s">
        <v>17</v>
      </c>
      <c r="F337" s="48">
        <v>48</v>
      </c>
      <c r="G337" s="48">
        <v>12</v>
      </c>
      <c r="H337" s="48" t="s">
        <v>28</v>
      </c>
      <c r="I337" s="48">
        <v>4</v>
      </c>
      <c r="J337" s="49">
        <v>8</v>
      </c>
      <c r="K337" s="49">
        <v>87</v>
      </c>
      <c r="L337" s="49">
        <v>721</v>
      </c>
      <c r="M337" s="50">
        <v>0.79</v>
      </c>
      <c r="N337" s="49">
        <v>571</v>
      </c>
      <c r="O337" s="49">
        <v>150</v>
      </c>
      <c r="P337" s="50">
        <v>0.76</v>
      </c>
      <c r="Q337" s="50">
        <v>0.24</v>
      </c>
      <c r="R337" s="50">
        <v>1.1299999999999999</v>
      </c>
      <c r="S337" s="50">
        <v>0.14000000000000001</v>
      </c>
      <c r="T337" s="50">
        <v>0.02</v>
      </c>
      <c r="U337" s="49">
        <v>61</v>
      </c>
      <c r="V337" s="50">
        <v>0.17</v>
      </c>
      <c r="W337" s="50">
        <v>0.06</v>
      </c>
      <c r="X337" s="49">
        <f t="shared" si="15"/>
        <v>43.26</v>
      </c>
      <c r="Y337" s="49">
        <f t="shared" si="16"/>
        <v>100.94000000000001</v>
      </c>
      <c r="Z337" s="49">
        <f t="shared" si="17"/>
        <v>576.79999999999995</v>
      </c>
      <c r="AA337" s="23" t="s">
        <v>116</v>
      </c>
      <c r="AB337" s="23" t="s">
        <v>116</v>
      </c>
      <c r="AC337" s="23" t="s">
        <v>116</v>
      </c>
      <c r="AD337" s="23" t="s">
        <v>116</v>
      </c>
      <c r="AE337" s="23" t="s">
        <v>116</v>
      </c>
      <c r="AF337" s="23" t="s">
        <v>116</v>
      </c>
      <c r="AG337" s="23" t="s">
        <v>116</v>
      </c>
      <c r="AH337" s="23" t="s">
        <v>116</v>
      </c>
      <c r="AI337" s="52">
        <v>0</v>
      </c>
      <c r="AJ337" s="51">
        <v>150</v>
      </c>
    </row>
    <row r="338" spans="1:36" x14ac:dyDescent="0.2">
      <c r="A338" s="47">
        <v>44898</v>
      </c>
      <c r="B338" s="48">
        <v>3</v>
      </c>
      <c r="C338" s="48">
        <v>337</v>
      </c>
      <c r="D338" s="48">
        <v>7</v>
      </c>
      <c r="E338" s="48" t="s">
        <v>10</v>
      </c>
      <c r="F338" s="48">
        <v>48</v>
      </c>
      <c r="G338" s="48">
        <v>12</v>
      </c>
      <c r="H338" s="48" t="s">
        <v>28</v>
      </c>
      <c r="I338" s="48">
        <v>4</v>
      </c>
      <c r="J338" s="49">
        <v>8</v>
      </c>
      <c r="K338" s="49">
        <v>23</v>
      </c>
      <c r="L338" s="49">
        <v>188</v>
      </c>
      <c r="M338" s="50">
        <v>0.66</v>
      </c>
      <c r="N338" s="49">
        <v>124</v>
      </c>
      <c r="O338" s="49">
        <v>64</v>
      </c>
      <c r="P338" s="50">
        <v>2.0499999999999998</v>
      </c>
      <c r="Q338" s="50">
        <v>0.28000000000000003</v>
      </c>
      <c r="R338" s="50">
        <v>0.94</v>
      </c>
      <c r="S338" s="50">
        <v>0.51</v>
      </c>
      <c r="T338" s="50">
        <v>7.0000000000000007E-2</v>
      </c>
      <c r="U338" s="49">
        <v>16</v>
      </c>
      <c r="V338" s="50">
        <v>0.52</v>
      </c>
      <c r="W338" s="50">
        <v>0.17</v>
      </c>
      <c r="X338" s="49">
        <f t="shared" si="15"/>
        <v>31.96</v>
      </c>
      <c r="Y338" s="49">
        <f t="shared" si="16"/>
        <v>95.88</v>
      </c>
      <c r="Z338" s="49">
        <f t="shared" si="17"/>
        <v>60.16</v>
      </c>
      <c r="AA338" s="23" t="s">
        <v>116</v>
      </c>
      <c r="AB338" s="23" t="s">
        <v>116</v>
      </c>
      <c r="AC338" s="23" t="s">
        <v>116</v>
      </c>
      <c r="AD338" s="23" t="s">
        <v>116</v>
      </c>
      <c r="AE338" s="23" t="s">
        <v>116</v>
      </c>
      <c r="AF338" s="23" t="s">
        <v>116</v>
      </c>
      <c r="AG338" s="23" t="s">
        <v>116</v>
      </c>
      <c r="AH338" s="23" t="s">
        <v>116</v>
      </c>
      <c r="AI338" s="52">
        <v>0</v>
      </c>
      <c r="AJ338" s="51">
        <v>64</v>
      </c>
    </row>
    <row r="339" spans="1:36" x14ac:dyDescent="0.2">
      <c r="A339" s="47">
        <v>44899</v>
      </c>
      <c r="B339" s="48">
        <v>4</v>
      </c>
      <c r="C339" s="48">
        <v>338</v>
      </c>
      <c r="D339" s="48">
        <v>1</v>
      </c>
      <c r="E339" s="48" t="s">
        <v>12</v>
      </c>
      <c r="F339" s="48">
        <v>49</v>
      </c>
      <c r="G339" s="48">
        <v>12</v>
      </c>
      <c r="H339" s="48" t="s">
        <v>28</v>
      </c>
      <c r="I339" s="48">
        <v>4</v>
      </c>
      <c r="J339" s="49">
        <v>3</v>
      </c>
      <c r="K339" s="49">
        <v>26</v>
      </c>
      <c r="L339" s="49">
        <v>80</v>
      </c>
      <c r="M339" s="50">
        <v>0.13</v>
      </c>
      <c r="N339" s="49">
        <v>11</v>
      </c>
      <c r="O339" s="49">
        <v>70</v>
      </c>
      <c r="P339" s="50">
        <v>0.98</v>
      </c>
      <c r="Q339" s="50">
        <v>0.18</v>
      </c>
      <c r="R339" s="50">
        <v>0.19</v>
      </c>
      <c r="S339" s="50">
        <v>0.17</v>
      </c>
      <c r="T339" s="50">
        <v>0.36</v>
      </c>
      <c r="U339" s="49">
        <v>18</v>
      </c>
      <c r="V339" s="50">
        <v>0.28999999999999998</v>
      </c>
      <c r="W339" s="50">
        <v>0.22</v>
      </c>
      <c r="X339" s="49">
        <f t="shared" si="15"/>
        <v>17.600000000000001</v>
      </c>
      <c r="Y339" s="49">
        <f t="shared" si="16"/>
        <v>13.600000000000001</v>
      </c>
      <c r="Z339" s="49">
        <f t="shared" si="17"/>
        <v>48.8</v>
      </c>
      <c r="AA339" s="23" t="s">
        <v>116</v>
      </c>
      <c r="AB339" s="23">
        <v>1000</v>
      </c>
      <c r="AC339" s="23" t="s">
        <v>116</v>
      </c>
      <c r="AD339" s="23" t="s">
        <v>116</v>
      </c>
      <c r="AE339" s="23" t="s">
        <v>116</v>
      </c>
      <c r="AF339" s="23" t="s">
        <v>116</v>
      </c>
      <c r="AG339" s="23" t="s">
        <v>116</v>
      </c>
      <c r="AH339" s="23" t="s">
        <v>116</v>
      </c>
      <c r="AI339" s="52">
        <v>1000</v>
      </c>
      <c r="AJ339" s="51">
        <v>-930</v>
      </c>
    </row>
    <row r="340" spans="1:36" x14ac:dyDescent="0.2">
      <c r="A340" s="47">
        <v>44900</v>
      </c>
      <c r="B340" s="48">
        <v>5</v>
      </c>
      <c r="C340" s="48">
        <v>339</v>
      </c>
      <c r="D340" s="48">
        <v>2</v>
      </c>
      <c r="E340" s="48" t="s">
        <v>13</v>
      </c>
      <c r="F340" s="48">
        <v>49</v>
      </c>
      <c r="G340" s="48">
        <v>12</v>
      </c>
      <c r="H340" s="48" t="s">
        <v>28</v>
      </c>
      <c r="I340" s="48">
        <v>4</v>
      </c>
      <c r="J340" s="49">
        <v>18</v>
      </c>
      <c r="K340" s="49">
        <v>84</v>
      </c>
      <c r="L340" s="49">
        <v>1531</v>
      </c>
      <c r="M340" s="50">
        <v>0.57999999999999996</v>
      </c>
      <c r="N340" s="49">
        <v>892</v>
      </c>
      <c r="O340" s="49">
        <v>640</v>
      </c>
      <c r="P340" s="50">
        <v>0.61</v>
      </c>
      <c r="Q340" s="50">
        <v>0.49</v>
      </c>
      <c r="R340" s="50">
        <v>0.83</v>
      </c>
      <c r="S340" s="50">
        <v>0.31</v>
      </c>
      <c r="T340" s="50">
        <v>0.01</v>
      </c>
      <c r="U340" s="49">
        <v>59</v>
      </c>
      <c r="V340" s="50">
        <v>0.16</v>
      </c>
      <c r="W340" s="50">
        <v>0.02</v>
      </c>
      <c r="X340" s="49">
        <f t="shared" si="15"/>
        <v>30.62</v>
      </c>
      <c r="Y340" s="49">
        <f t="shared" si="16"/>
        <v>474.61</v>
      </c>
      <c r="Z340" s="49">
        <f t="shared" si="17"/>
        <v>1025.77</v>
      </c>
      <c r="AA340" s="23" t="s">
        <v>116</v>
      </c>
      <c r="AB340" s="23" t="s">
        <v>116</v>
      </c>
      <c r="AC340" s="23" t="s">
        <v>116</v>
      </c>
      <c r="AD340" s="23" t="s">
        <v>116</v>
      </c>
      <c r="AE340" s="23" t="s">
        <v>116</v>
      </c>
      <c r="AF340" s="23" t="s">
        <v>116</v>
      </c>
      <c r="AG340" s="23" t="s">
        <v>116</v>
      </c>
      <c r="AH340" s="23">
        <v>1000</v>
      </c>
      <c r="AI340" s="52">
        <v>1000</v>
      </c>
      <c r="AJ340" s="51">
        <v>-360</v>
      </c>
    </row>
    <row r="341" spans="1:36" x14ac:dyDescent="0.2">
      <c r="A341" s="47">
        <v>44901</v>
      </c>
      <c r="B341" s="48">
        <v>6</v>
      </c>
      <c r="C341" s="48">
        <v>340</v>
      </c>
      <c r="D341" s="48">
        <v>3</v>
      </c>
      <c r="E341" s="48" t="s">
        <v>14</v>
      </c>
      <c r="F341" s="48">
        <v>49</v>
      </c>
      <c r="G341" s="48">
        <v>12</v>
      </c>
      <c r="H341" s="48" t="s">
        <v>28</v>
      </c>
      <c r="I341" s="48">
        <v>4</v>
      </c>
      <c r="J341" s="49">
        <v>18</v>
      </c>
      <c r="K341" s="49">
        <v>22</v>
      </c>
      <c r="L341" s="49">
        <v>390</v>
      </c>
      <c r="M341" s="50">
        <v>0.46</v>
      </c>
      <c r="N341" s="49">
        <v>181</v>
      </c>
      <c r="O341" s="49">
        <v>209</v>
      </c>
      <c r="P341" s="50">
        <v>2.87</v>
      </c>
      <c r="Q341" s="50">
        <v>0.6</v>
      </c>
      <c r="R341" s="50">
        <v>0.66</v>
      </c>
      <c r="S341" s="50">
        <v>1.1399999999999999</v>
      </c>
      <c r="T341" s="50">
        <v>0.03</v>
      </c>
      <c r="U341" s="49">
        <v>15</v>
      </c>
      <c r="V341" s="50">
        <v>0.38</v>
      </c>
      <c r="W341" s="50">
        <v>0.11</v>
      </c>
      <c r="X341" s="49">
        <f t="shared" si="15"/>
        <v>42.9</v>
      </c>
      <c r="Y341" s="49">
        <f t="shared" si="16"/>
        <v>444.59999999999997</v>
      </c>
      <c r="Z341" s="49">
        <f t="shared" si="17"/>
        <v>-97.499999999999943</v>
      </c>
      <c r="AA341" s="23" t="s">
        <v>116</v>
      </c>
      <c r="AB341" s="23" t="s">
        <v>116</v>
      </c>
      <c r="AC341" s="23" t="s">
        <v>116</v>
      </c>
      <c r="AD341" s="23" t="s">
        <v>116</v>
      </c>
      <c r="AE341" s="23" t="s">
        <v>116</v>
      </c>
      <c r="AF341" s="23" t="s">
        <v>116</v>
      </c>
      <c r="AG341" s="23" t="s">
        <v>116</v>
      </c>
      <c r="AH341" s="23" t="s">
        <v>116</v>
      </c>
      <c r="AI341" s="52">
        <v>0</v>
      </c>
      <c r="AJ341" s="51">
        <v>209</v>
      </c>
    </row>
    <row r="342" spans="1:36" x14ac:dyDescent="0.2">
      <c r="A342" s="47">
        <v>44902</v>
      </c>
      <c r="B342" s="48">
        <v>7</v>
      </c>
      <c r="C342" s="48">
        <v>341</v>
      </c>
      <c r="D342" s="48">
        <v>4</v>
      </c>
      <c r="E342" s="48" t="s">
        <v>15</v>
      </c>
      <c r="F342" s="48">
        <v>49</v>
      </c>
      <c r="G342" s="48">
        <v>12</v>
      </c>
      <c r="H342" s="48" t="s">
        <v>28</v>
      </c>
      <c r="I342" s="48">
        <v>4</v>
      </c>
      <c r="J342" s="49">
        <v>6</v>
      </c>
      <c r="K342" s="49">
        <v>79</v>
      </c>
      <c r="L342" s="49">
        <v>486</v>
      </c>
      <c r="M342" s="50">
        <v>0.98</v>
      </c>
      <c r="N342" s="49">
        <v>478</v>
      </c>
      <c r="O342" s="49">
        <v>8</v>
      </c>
      <c r="P342" s="50">
        <v>0.72</v>
      </c>
      <c r="Q342" s="50">
        <v>0.17</v>
      </c>
      <c r="R342" s="50">
        <v>1.41</v>
      </c>
      <c r="S342" s="50">
        <v>0.11</v>
      </c>
      <c r="T342" s="50">
        <v>0.03</v>
      </c>
      <c r="U342" s="49">
        <v>56</v>
      </c>
      <c r="V342" s="50">
        <v>0.18</v>
      </c>
      <c r="W342" s="50">
        <v>0.08</v>
      </c>
      <c r="X342" s="49">
        <f t="shared" si="15"/>
        <v>38.880000000000003</v>
      </c>
      <c r="Y342" s="49">
        <f t="shared" si="16"/>
        <v>53.46</v>
      </c>
      <c r="Z342" s="49">
        <f t="shared" si="17"/>
        <v>393.65999999999997</v>
      </c>
      <c r="AA342" s="23" t="s">
        <v>116</v>
      </c>
      <c r="AB342" s="23" t="s">
        <v>116</v>
      </c>
      <c r="AC342" s="23" t="s">
        <v>116</v>
      </c>
      <c r="AD342" s="23" t="s">
        <v>116</v>
      </c>
      <c r="AE342" s="23" t="s">
        <v>116</v>
      </c>
      <c r="AF342" s="23" t="s">
        <v>116</v>
      </c>
      <c r="AG342" s="23" t="s">
        <v>116</v>
      </c>
      <c r="AH342" s="23" t="s">
        <v>116</v>
      </c>
      <c r="AI342" s="52">
        <v>0</v>
      </c>
      <c r="AJ342" s="51">
        <v>8</v>
      </c>
    </row>
    <row r="343" spans="1:36" x14ac:dyDescent="0.2">
      <c r="A343" s="47">
        <v>44903</v>
      </c>
      <c r="B343" s="48">
        <v>8</v>
      </c>
      <c r="C343" s="48">
        <v>342</v>
      </c>
      <c r="D343" s="48">
        <v>5</v>
      </c>
      <c r="E343" s="48" t="s">
        <v>16</v>
      </c>
      <c r="F343" s="48">
        <v>49</v>
      </c>
      <c r="G343" s="48">
        <v>12</v>
      </c>
      <c r="H343" s="48" t="s">
        <v>28</v>
      </c>
      <c r="I343" s="48">
        <v>4</v>
      </c>
      <c r="J343" s="49">
        <v>18</v>
      </c>
      <c r="K343" s="49">
        <v>45</v>
      </c>
      <c r="L343" s="49">
        <v>824</v>
      </c>
      <c r="M343" s="50">
        <v>0.39</v>
      </c>
      <c r="N343" s="49">
        <v>322</v>
      </c>
      <c r="O343" s="49">
        <v>501</v>
      </c>
      <c r="P343" s="50">
        <v>1.1499999999999999</v>
      </c>
      <c r="Q343" s="50">
        <v>0.38</v>
      </c>
      <c r="R343" s="50">
        <v>0.56000000000000005</v>
      </c>
      <c r="S343" s="50">
        <v>0.57999999999999996</v>
      </c>
      <c r="T343" s="50">
        <v>0.02</v>
      </c>
      <c r="U343" s="49">
        <v>32</v>
      </c>
      <c r="V343" s="50">
        <v>0.28999999999999998</v>
      </c>
      <c r="W343" s="50">
        <v>0.04</v>
      </c>
      <c r="X343" s="49">
        <f t="shared" si="15"/>
        <v>32.96</v>
      </c>
      <c r="Y343" s="49">
        <f t="shared" si="16"/>
        <v>477.91999999999996</v>
      </c>
      <c r="Z343" s="49">
        <f t="shared" si="17"/>
        <v>313.12000000000006</v>
      </c>
      <c r="AA343" s="23" t="s">
        <v>116</v>
      </c>
      <c r="AB343" s="23" t="s">
        <v>116</v>
      </c>
      <c r="AC343" s="23" t="s">
        <v>116</v>
      </c>
      <c r="AD343" s="23" t="s">
        <v>116</v>
      </c>
      <c r="AE343" s="23" t="s">
        <v>116</v>
      </c>
      <c r="AF343" s="23" t="s">
        <v>116</v>
      </c>
      <c r="AG343" s="23" t="s">
        <v>116</v>
      </c>
      <c r="AH343" s="23" t="s">
        <v>116</v>
      </c>
      <c r="AI343" s="52">
        <v>0</v>
      </c>
      <c r="AJ343" s="51">
        <v>501</v>
      </c>
    </row>
    <row r="344" spans="1:36" x14ac:dyDescent="0.2">
      <c r="A344" s="47">
        <v>44904</v>
      </c>
      <c r="B344" s="48">
        <v>9</v>
      </c>
      <c r="C344" s="48">
        <v>343</v>
      </c>
      <c r="D344" s="48">
        <v>6</v>
      </c>
      <c r="E344" s="48" t="s">
        <v>17</v>
      </c>
      <c r="F344" s="48">
        <v>49</v>
      </c>
      <c r="G344" s="48">
        <v>12</v>
      </c>
      <c r="H344" s="48" t="s">
        <v>28</v>
      </c>
      <c r="I344" s="48">
        <v>4</v>
      </c>
      <c r="J344" s="49">
        <v>24</v>
      </c>
      <c r="K344" s="49">
        <v>92</v>
      </c>
      <c r="L344" s="49">
        <v>2250</v>
      </c>
      <c r="M344" s="50">
        <v>0.88</v>
      </c>
      <c r="N344" s="49">
        <v>1989</v>
      </c>
      <c r="O344" s="49">
        <v>261</v>
      </c>
      <c r="P344" s="50">
        <v>0.64</v>
      </c>
      <c r="Q344" s="50">
        <v>0.69</v>
      </c>
      <c r="R344" s="50">
        <v>1.26</v>
      </c>
      <c r="S344" s="50">
        <v>0.38</v>
      </c>
      <c r="T344" s="50">
        <v>0.01</v>
      </c>
      <c r="U344" s="49">
        <v>65</v>
      </c>
      <c r="V344" s="50">
        <v>0.17</v>
      </c>
      <c r="W344" s="50">
        <v>0.02</v>
      </c>
      <c r="X344" s="49">
        <f t="shared" si="15"/>
        <v>45</v>
      </c>
      <c r="Y344" s="49">
        <f t="shared" si="16"/>
        <v>855</v>
      </c>
      <c r="Z344" s="49">
        <f t="shared" si="17"/>
        <v>1350</v>
      </c>
      <c r="AA344" s="23" t="s">
        <v>116</v>
      </c>
      <c r="AB344" s="23" t="s">
        <v>116</v>
      </c>
      <c r="AC344" s="23" t="s">
        <v>116</v>
      </c>
      <c r="AD344" s="23" t="s">
        <v>116</v>
      </c>
      <c r="AE344" s="23" t="s">
        <v>116</v>
      </c>
      <c r="AF344" s="23" t="s">
        <v>116</v>
      </c>
      <c r="AG344" s="23" t="s">
        <v>116</v>
      </c>
      <c r="AH344" s="23" t="s">
        <v>116</v>
      </c>
      <c r="AI344" s="52">
        <v>0</v>
      </c>
      <c r="AJ344" s="51">
        <v>261</v>
      </c>
    </row>
    <row r="345" spans="1:36" x14ac:dyDescent="0.2">
      <c r="A345" s="47">
        <v>44905</v>
      </c>
      <c r="B345" s="48">
        <v>10</v>
      </c>
      <c r="C345" s="48">
        <v>344</v>
      </c>
      <c r="D345" s="48">
        <v>7</v>
      </c>
      <c r="E345" s="48" t="s">
        <v>10</v>
      </c>
      <c r="F345" s="48">
        <v>49</v>
      </c>
      <c r="G345" s="48">
        <v>12</v>
      </c>
      <c r="H345" s="48" t="s">
        <v>28</v>
      </c>
      <c r="I345" s="48">
        <v>4</v>
      </c>
      <c r="J345" s="49">
        <v>13</v>
      </c>
      <c r="K345" s="49">
        <v>105</v>
      </c>
      <c r="L345" s="49">
        <v>1393</v>
      </c>
      <c r="M345" s="50">
        <v>0.6</v>
      </c>
      <c r="N345" s="49">
        <v>829</v>
      </c>
      <c r="O345" s="49">
        <v>563</v>
      </c>
      <c r="P345" s="50">
        <v>0.54</v>
      </c>
      <c r="Q345" s="50">
        <v>0.34</v>
      </c>
      <c r="R345" s="50">
        <v>0.85</v>
      </c>
      <c r="S345" s="50">
        <v>0.18</v>
      </c>
      <c r="T345" s="50">
        <v>0.01</v>
      </c>
      <c r="U345" s="49">
        <v>74</v>
      </c>
      <c r="V345" s="50">
        <v>0.16</v>
      </c>
      <c r="W345" s="50">
        <v>0.03</v>
      </c>
      <c r="X345" s="49">
        <f t="shared" si="15"/>
        <v>41.79</v>
      </c>
      <c r="Y345" s="49">
        <f t="shared" si="16"/>
        <v>250.73999999999998</v>
      </c>
      <c r="Z345" s="49">
        <f t="shared" si="17"/>
        <v>1100.47</v>
      </c>
      <c r="AA345" s="23" t="s">
        <v>116</v>
      </c>
      <c r="AB345" s="23" t="s">
        <v>116</v>
      </c>
      <c r="AC345" s="23" t="s">
        <v>116</v>
      </c>
      <c r="AD345" s="23">
        <v>300</v>
      </c>
      <c r="AE345" s="23" t="s">
        <v>116</v>
      </c>
      <c r="AF345" s="23" t="s">
        <v>116</v>
      </c>
      <c r="AG345" s="23" t="s">
        <v>116</v>
      </c>
      <c r="AH345" s="23" t="s">
        <v>116</v>
      </c>
      <c r="AI345" s="52">
        <v>300</v>
      </c>
      <c r="AJ345" s="51">
        <v>263</v>
      </c>
    </row>
    <row r="346" spans="1:36" x14ac:dyDescent="0.2">
      <c r="A346" s="47">
        <v>44906</v>
      </c>
      <c r="B346" s="48">
        <v>11</v>
      </c>
      <c r="C346" s="48">
        <v>345</v>
      </c>
      <c r="D346" s="48">
        <v>1</v>
      </c>
      <c r="E346" s="48" t="s">
        <v>12</v>
      </c>
      <c r="F346" s="48">
        <v>50</v>
      </c>
      <c r="G346" s="48">
        <v>12</v>
      </c>
      <c r="H346" s="48" t="s">
        <v>28</v>
      </c>
      <c r="I346" s="48">
        <v>4</v>
      </c>
      <c r="J346" s="49">
        <v>7</v>
      </c>
      <c r="K346" s="49">
        <v>41</v>
      </c>
      <c r="L346" s="49">
        <v>278</v>
      </c>
      <c r="M346" s="50">
        <v>0.43</v>
      </c>
      <c r="N346" s="49">
        <v>121</v>
      </c>
      <c r="O346" s="49">
        <v>158</v>
      </c>
      <c r="P346" s="50">
        <v>0.82</v>
      </c>
      <c r="Q346" s="50">
        <v>0.37</v>
      </c>
      <c r="R346" s="50">
        <v>0.62</v>
      </c>
      <c r="S346" s="50">
        <v>0.24</v>
      </c>
      <c r="T346" s="50">
        <v>0.1</v>
      </c>
      <c r="U346" s="49">
        <v>29</v>
      </c>
      <c r="V346" s="50">
        <v>0.16</v>
      </c>
      <c r="W346" s="50">
        <v>0.08</v>
      </c>
      <c r="X346" s="49">
        <f t="shared" si="15"/>
        <v>22.240000000000002</v>
      </c>
      <c r="Y346" s="49">
        <f t="shared" si="16"/>
        <v>66.72</v>
      </c>
      <c r="Z346" s="49">
        <f t="shared" si="17"/>
        <v>189.04</v>
      </c>
      <c r="AA346" s="23" t="s">
        <v>116</v>
      </c>
      <c r="AB346" s="23">
        <v>1000</v>
      </c>
      <c r="AC346" s="23" t="s">
        <v>116</v>
      </c>
      <c r="AD346" s="23" t="s">
        <v>116</v>
      </c>
      <c r="AE346" s="23" t="s">
        <v>116</v>
      </c>
      <c r="AF346" s="23" t="s">
        <v>116</v>
      </c>
      <c r="AG346" s="23" t="s">
        <v>116</v>
      </c>
      <c r="AH346" s="23" t="s">
        <v>116</v>
      </c>
      <c r="AI346" s="52">
        <v>1000</v>
      </c>
      <c r="AJ346" s="51">
        <v>-842</v>
      </c>
    </row>
    <row r="347" spans="1:36" x14ac:dyDescent="0.2">
      <c r="A347" s="47">
        <v>44907</v>
      </c>
      <c r="B347" s="48">
        <v>12</v>
      </c>
      <c r="C347" s="48">
        <v>346</v>
      </c>
      <c r="D347" s="48">
        <v>2</v>
      </c>
      <c r="E347" s="48" t="s">
        <v>13</v>
      </c>
      <c r="F347" s="48">
        <v>50</v>
      </c>
      <c r="G347" s="48">
        <v>12</v>
      </c>
      <c r="H347" s="48" t="s">
        <v>28</v>
      </c>
      <c r="I347" s="48">
        <v>4</v>
      </c>
      <c r="J347" s="49">
        <v>24</v>
      </c>
      <c r="K347" s="49">
        <v>75</v>
      </c>
      <c r="L347" s="49">
        <v>1766</v>
      </c>
      <c r="M347" s="50">
        <v>0.65</v>
      </c>
      <c r="N347" s="49">
        <v>1147</v>
      </c>
      <c r="O347" s="49">
        <v>619</v>
      </c>
      <c r="P347" s="50">
        <v>0.77</v>
      </c>
      <c r="Q347" s="50">
        <v>0.59</v>
      </c>
      <c r="R347" s="50">
        <v>0.93</v>
      </c>
      <c r="S347" s="50">
        <v>0.45</v>
      </c>
      <c r="T347" s="50">
        <v>0.01</v>
      </c>
      <c r="U347" s="49">
        <v>52</v>
      </c>
      <c r="V347" s="50">
        <v>0.28999999999999998</v>
      </c>
      <c r="W347" s="50">
        <v>0.02</v>
      </c>
      <c r="X347" s="49">
        <f t="shared" si="15"/>
        <v>35.32</v>
      </c>
      <c r="Y347" s="49">
        <f t="shared" si="16"/>
        <v>794.7</v>
      </c>
      <c r="Z347" s="49">
        <f t="shared" si="17"/>
        <v>935.9799999999999</v>
      </c>
      <c r="AA347" s="23" t="s">
        <v>116</v>
      </c>
      <c r="AB347" s="23" t="s">
        <v>116</v>
      </c>
      <c r="AC347" s="23" t="s">
        <v>116</v>
      </c>
      <c r="AD347" s="23" t="s">
        <v>116</v>
      </c>
      <c r="AE347" s="23" t="s">
        <v>116</v>
      </c>
      <c r="AF347" s="23">
        <v>480</v>
      </c>
      <c r="AG347" s="23" t="s">
        <v>116</v>
      </c>
      <c r="AH347" s="23" t="s">
        <v>116</v>
      </c>
      <c r="AI347" s="52">
        <v>480</v>
      </c>
      <c r="AJ347" s="51">
        <v>139</v>
      </c>
    </row>
    <row r="348" spans="1:36" x14ac:dyDescent="0.2">
      <c r="A348" s="47">
        <v>44908</v>
      </c>
      <c r="B348" s="48">
        <v>13</v>
      </c>
      <c r="C348" s="48">
        <v>347</v>
      </c>
      <c r="D348" s="48">
        <v>3</v>
      </c>
      <c r="E348" s="48" t="s">
        <v>14</v>
      </c>
      <c r="F348" s="48">
        <v>50</v>
      </c>
      <c r="G348" s="48">
        <v>12</v>
      </c>
      <c r="H348" s="48" t="s">
        <v>28</v>
      </c>
      <c r="I348" s="48">
        <v>4</v>
      </c>
      <c r="J348" s="49">
        <v>15</v>
      </c>
      <c r="K348" s="49">
        <v>79</v>
      </c>
      <c r="L348" s="49">
        <v>1227</v>
      </c>
      <c r="M348" s="50">
        <v>0.73</v>
      </c>
      <c r="N348" s="49">
        <v>900</v>
      </c>
      <c r="O348" s="49">
        <v>327</v>
      </c>
      <c r="P348" s="50">
        <v>0.8</v>
      </c>
      <c r="Q348" s="50">
        <v>0.35</v>
      </c>
      <c r="R348" s="50">
        <v>1.05</v>
      </c>
      <c r="S348" s="50">
        <v>0.28000000000000003</v>
      </c>
      <c r="T348" s="50">
        <v>0.01</v>
      </c>
      <c r="U348" s="49">
        <v>55</v>
      </c>
      <c r="V348" s="50">
        <v>0.17</v>
      </c>
      <c r="W348" s="50">
        <v>0.04</v>
      </c>
      <c r="X348" s="49">
        <f t="shared" si="15"/>
        <v>49.08</v>
      </c>
      <c r="Y348" s="49">
        <f t="shared" si="16"/>
        <v>343.56000000000006</v>
      </c>
      <c r="Z348" s="49">
        <f t="shared" si="17"/>
        <v>834.3599999999999</v>
      </c>
      <c r="AA348" s="23" t="s">
        <v>116</v>
      </c>
      <c r="AB348" s="23" t="s">
        <v>116</v>
      </c>
      <c r="AC348" s="23" t="s">
        <v>116</v>
      </c>
      <c r="AD348" s="23" t="s">
        <v>116</v>
      </c>
      <c r="AE348" s="23" t="s">
        <v>116</v>
      </c>
      <c r="AF348" s="23" t="s">
        <v>116</v>
      </c>
      <c r="AG348" s="23" t="s">
        <v>116</v>
      </c>
      <c r="AH348" s="23" t="s">
        <v>116</v>
      </c>
      <c r="AI348" s="52">
        <v>0</v>
      </c>
      <c r="AJ348" s="51">
        <v>327</v>
      </c>
    </row>
    <row r="349" spans="1:36" x14ac:dyDescent="0.2">
      <c r="A349" s="47">
        <v>44909</v>
      </c>
      <c r="B349" s="48">
        <v>14</v>
      </c>
      <c r="C349" s="48">
        <v>348</v>
      </c>
      <c r="D349" s="48">
        <v>4</v>
      </c>
      <c r="E349" s="48" t="s">
        <v>15</v>
      </c>
      <c r="F349" s="48">
        <v>50</v>
      </c>
      <c r="G349" s="48">
        <v>12</v>
      </c>
      <c r="H349" s="48" t="s">
        <v>28</v>
      </c>
      <c r="I349" s="48">
        <v>4</v>
      </c>
      <c r="J349" s="49">
        <v>31</v>
      </c>
      <c r="K349" s="49">
        <v>59</v>
      </c>
      <c r="L349" s="49">
        <v>1822</v>
      </c>
      <c r="M349" s="50">
        <v>0.51</v>
      </c>
      <c r="N349" s="49">
        <v>931</v>
      </c>
      <c r="O349" s="49">
        <v>891</v>
      </c>
      <c r="P349" s="50">
        <v>0.5</v>
      </c>
      <c r="Q349" s="50">
        <v>0.71</v>
      </c>
      <c r="R349" s="50">
        <v>0.73</v>
      </c>
      <c r="S349" s="50">
        <v>0.75</v>
      </c>
      <c r="T349" s="50">
        <v>0.01</v>
      </c>
      <c r="U349" s="49">
        <v>41</v>
      </c>
      <c r="V349" s="50">
        <v>0.33</v>
      </c>
      <c r="W349" s="50">
        <v>0.01</v>
      </c>
      <c r="X349" s="49">
        <f t="shared" si="15"/>
        <v>18.22</v>
      </c>
      <c r="Y349" s="49">
        <f t="shared" si="16"/>
        <v>1366.5</v>
      </c>
      <c r="Z349" s="49">
        <f t="shared" si="17"/>
        <v>437.28</v>
      </c>
      <c r="AA349" s="23" t="s">
        <v>116</v>
      </c>
      <c r="AB349" s="23" t="s">
        <v>116</v>
      </c>
      <c r="AC349" s="23" t="s">
        <v>116</v>
      </c>
      <c r="AD349" s="23" t="s">
        <v>116</v>
      </c>
      <c r="AE349" s="23" t="s">
        <v>116</v>
      </c>
      <c r="AF349" s="23" t="s">
        <v>116</v>
      </c>
      <c r="AG349" s="23" t="s">
        <v>116</v>
      </c>
      <c r="AH349" s="23" t="s">
        <v>116</v>
      </c>
      <c r="AI349" s="52">
        <v>0</v>
      </c>
      <c r="AJ349" s="51">
        <v>891</v>
      </c>
    </row>
    <row r="350" spans="1:36" x14ac:dyDescent="0.2">
      <c r="A350" s="47">
        <v>44910</v>
      </c>
      <c r="B350" s="48">
        <v>15</v>
      </c>
      <c r="C350" s="48">
        <v>349</v>
      </c>
      <c r="D350" s="48">
        <v>5</v>
      </c>
      <c r="E350" s="48" t="s">
        <v>16</v>
      </c>
      <c r="F350" s="48">
        <v>50</v>
      </c>
      <c r="G350" s="48">
        <v>12</v>
      </c>
      <c r="H350" s="48" t="s">
        <v>28</v>
      </c>
      <c r="I350" s="48">
        <v>4</v>
      </c>
      <c r="J350" s="49">
        <v>15</v>
      </c>
      <c r="K350" s="49">
        <v>159</v>
      </c>
      <c r="L350" s="49">
        <v>2430</v>
      </c>
      <c r="M350" s="50">
        <v>0.79</v>
      </c>
      <c r="N350" s="49">
        <v>1922</v>
      </c>
      <c r="O350" s="49">
        <v>508</v>
      </c>
      <c r="P350" s="50">
        <v>0.42</v>
      </c>
      <c r="Q350" s="50">
        <v>0.35</v>
      </c>
      <c r="R350" s="50">
        <v>1.1299999999999999</v>
      </c>
      <c r="S350" s="50">
        <v>0.14000000000000001</v>
      </c>
      <c r="T350" s="50">
        <v>0.01</v>
      </c>
      <c r="U350" s="49">
        <v>111</v>
      </c>
      <c r="V350" s="50">
        <v>0.11</v>
      </c>
      <c r="W350" s="50">
        <v>0.02</v>
      </c>
      <c r="X350" s="49">
        <f t="shared" si="15"/>
        <v>48.6</v>
      </c>
      <c r="Y350" s="49">
        <f t="shared" si="16"/>
        <v>340.20000000000005</v>
      </c>
      <c r="Z350" s="49">
        <f t="shared" si="17"/>
        <v>2041.1999999999998</v>
      </c>
      <c r="AA350" s="23" t="s">
        <v>116</v>
      </c>
      <c r="AB350" s="23" t="s">
        <v>116</v>
      </c>
      <c r="AC350" s="23">
        <v>300</v>
      </c>
      <c r="AD350" s="23" t="s">
        <v>116</v>
      </c>
      <c r="AE350" s="23" t="s">
        <v>116</v>
      </c>
      <c r="AF350" s="23" t="s">
        <v>116</v>
      </c>
      <c r="AG350" s="23" t="s">
        <v>116</v>
      </c>
      <c r="AH350" s="23" t="s">
        <v>116</v>
      </c>
      <c r="AI350" s="52">
        <v>300</v>
      </c>
      <c r="AJ350" s="51">
        <v>208</v>
      </c>
    </row>
    <row r="351" spans="1:36" x14ac:dyDescent="0.2">
      <c r="A351" s="47">
        <v>44911</v>
      </c>
      <c r="B351" s="48">
        <v>16</v>
      </c>
      <c r="C351" s="48">
        <v>350</v>
      </c>
      <c r="D351" s="48">
        <v>6</v>
      </c>
      <c r="E351" s="48" t="s">
        <v>17</v>
      </c>
      <c r="F351" s="48">
        <v>50</v>
      </c>
      <c r="G351" s="48">
        <v>12</v>
      </c>
      <c r="H351" s="48" t="s">
        <v>28</v>
      </c>
      <c r="I351" s="48">
        <v>4</v>
      </c>
      <c r="J351" s="49">
        <v>2</v>
      </c>
      <c r="K351" s="49">
        <v>58</v>
      </c>
      <c r="L351" s="49">
        <v>137</v>
      </c>
      <c r="M351" s="50">
        <v>0.83</v>
      </c>
      <c r="N351" s="49">
        <v>114</v>
      </c>
      <c r="O351" s="49">
        <v>23</v>
      </c>
      <c r="P351" s="50">
        <v>1.64</v>
      </c>
      <c r="Q351" s="50">
        <v>7.0000000000000007E-2</v>
      </c>
      <c r="R351" s="50">
        <v>1.19</v>
      </c>
      <c r="S351" s="50">
        <v>0.06</v>
      </c>
      <c r="T351" s="50">
        <v>0.09</v>
      </c>
      <c r="U351" s="49">
        <v>40</v>
      </c>
      <c r="V351" s="50">
        <v>0.41</v>
      </c>
      <c r="W351" s="50">
        <v>0.48</v>
      </c>
      <c r="X351" s="49">
        <f t="shared" si="15"/>
        <v>65.759999999999991</v>
      </c>
      <c r="Y351" s="49">
        <f t="shared" si="16"/>
        <v>8.2199999999999989</v>
      </c>
      <c r="Z351" s="49">
        <f t="shared" si="17"/>
        <v>63.02000000000001</v>
      </c>
      <c r="AA351" s="23" t="s">
        <v>116</v>
      </c>
      <c r="AB351" s="23" t="s">
        <v>116</v>
      </c>
      <c r="AC351" s="23" t="s">
        <v>116</v>
      </c>
      <c r="AD351" s="23" t="s">
        <v>116</v>
      </c>
      <c r="AE351" s="23" t="s">
        <v>116</v>
      </c>
      <c r="AF351" s="23" t="s">
        <v>116</v>
      </c>
      <c r="AG351" s="23" t="s">
        <v>116</v>
      </c>
      <c r="AH351" s="23" t="s">
        <v>116</v>
      </c>
      <c r="AI351" s="52">
        <v>0</v>
      </c>
      <c r="AJ351" s="51">
        <v>23</v>
      </c>
    </row>
    <row r="352" spans="1:36" x14ac:dyDescent="0.2">
      <c r="A352" s="47">
        <v>44912</v>
      </c>
      <c r="B352" s="48">
        <v>17</v>
      </c>
      <c r="C352" s="48">
        <v>351</v>
      </c>
      <c r="D352" s="48">
        <v>7</v>
      </c>
      <c r="E352" s="48" t="s">
        <v>10</v>
      </c>
      <c r="F352" s="48">
        <v>50</v>
      </c>
      <c r="G352" s="48">
        <v>12</v>
      </c>
      <c r="H352" s="48" t="s">
        <v>28</v>
      </c>
      <c r="I352" s="48">
        <v>4</v>
      </c>
      <c r="J352" s="49">
        <v>33</v>
      </c>
      <c r="K352" s="49">
        <v>72</v>
      </c>
      <c r="L352" s="49">
        <v>2345</v>
      </c>
      <c r="M352" s="50">
        <v>0.67</v>
      </c>
      <c r="N352" s="49">
        <v>1572</v>
      </c>
      <c r="O352" s="49">
        <v>773</v>
      </c>
      <c r="P352" s="50">
        <v>0.79</v>
      </c>
      <c r="Q352" s="50">
        <v>0.66</v>
      </c>
      <c r="R352" s="50">
        <v>0.96</v>
      </c>
      <c r="S352" s="50">
        <v>0.65</v>
      </c>
      <c r="T352" s="50">
        <v>0.01</v>
      </c>
      <c r="U352" s="49">
        <v>50</v>
      </c>
      <c r="V352" s="50">
        <v>0.18</v>
      </c>
      <c r="W352" s="50">
        <v>0.02</v>
      </c>
      <c r="X352" s="49">
        <f t="shared" si="15"/>
        <v>46.9</v>
      </c>
      <c r="Y352" s="49">
        <f t="shared" si="16"/>
        <v>1524.25</v>
      </c>
      <c r="Z352" s="49">
        <f t="shared" si="17"/>
        <v>773.84999999999991</v>
      </c>
      <c r="AA352" s="23" t="s">
        <v>116</v>
      </c>
      <c r="AB352" s="23" t="s">
        <v>116</v>
      </c>
      <c r="AC352" s="23" t="s">
        <v>116</v>
      </c>
      <c r="AD352" s="23" t="s">
        <v>116</v>
      </c>
      <c r="AE352" s="23" t="s">
        <v>116</v>
      </c>
      <c r="AF352" s="23" t="s">
        <v>116</v>
      </c>
      <c r="AG352" s="23" t="s">
        <v>116</v>
      </c>
      <c r="AH352" s="23" t="s">
        <v>116</v>
      </c>
      <c r="AI352" s="52">
        <v>0</v>
      </c>
      <c r="AJ352" s="51">
        <v>773</v>
      </c>
    </row>
    <row r="353" spans="1:36" x14ac:dyDescent="0.2">
      <c r="A353" s="47">
        <v>44913</v>
      </c>
      <c r="B353" s="48">
        <v>18</v>
      </c>
      <c r="C353" s="48">
        <v>352</v>
      </c>
      <c r="D353" s="48">
        <v>1</v>
      </c>
      <c r="E353" s="48" t="s">
        <v>12</v>
      </c>
      <c r="F353" s="48">
        <v>51</v>
      </c>
      <c r="G353" s="48">
        <v>12</v>
      </c>
      <c r="H353" s="48" t="s">
        <v>28</v>
      </c>
      <c r="I353" s="48">
        <v>4</v>
      </c>
      <c r="J353" s="49">
        <v>6</v>
      </c>
      <c r="K353" s="49">
        <v>14</v>
      </c>
      <c r="L353" s="49">
        <v>87</v>
      </c>
      <c r="M353" s="50">
        <v>0.34</v>
      </c>
      <c r="N353" s="49">
        <v>30</v>
      </c>
      <c r="O353" s="49">
        <v>58</v>
      </c>
      <c r="P353" s="50">
        <v>2.4500000000000002</v>
      </c>
      <c r="Q353" s="50">
        <v>0.34</v>
      </c>
      <c r="R353" s="50">
        <v>0.49</v>
      </c>
      <c r="S353" s="50">
        <v>0.67</v>
      </c>
      <c r="T353" s="50">
        <v>0.33</v>
      </c>
      <c r="U353" s="49">
        <v>10</v>
      </c>
      <c r="V353" s="50">
        <v>0.77</v>
      </c>
      <c r="W353" s="50">
        <v>0.27</v>
      </c>
      <c r="X353" s="49">
        <f t="shared" si="15"/>
        <v>23.490000000000002</v>
      </c>
      <c r="Y353" s="49">
        <f t="shared" si="16"/>
        <v>58.290000000000006</v>
      </c>
      <c r="Z353" s="49">
        <f t="shared" si="17"/>
        <v>5.2199999999999989</v>
      </c>
      <c r="AA353" s="23" t="s">
        <v>116</v>
      </c>
      <c r="AB353" s="23">
        <v>1000</v>
      </c>
      <c r="AC353" s="23" t="s">
        <v>116</v>
      </c>
      <c r="AD353" s="23" t="s">
        <v>116</v>
      </c>
      <c r="AE353" s="23" t="s">
        <v>116</v>
      </c>
      <c r="AF353" s="23" t="s">
        <v>116</v>
      </c>
      <c r="AG353" s="23" t="s">
        <v>116</v>
      </c>
      <c r="AH353" s="23" t="s">
        <v>116</v>
      </c>
      <c r="AI353" s="52">
        <v>1000</v>
      </c>
      <c r="AJ353" s="51">
        <v>-942</v>
      </c>
    </row>
    <row r="354" spans="1:36" x14ac:dyDescent="0.2">
      <c r="A354" s="47">
        <v>44914</v>
      </c>
      <c r="B354" s="48">
        <v>19</v>
      </c>
      <c r="C354" s="48">
        <v>353</v>
      </c>
      <c r="D354" s="48">
        <v>2</v>
      </c>
      <c r="E354" s="48" t="s">
        <v>13</v>
      </c>
      <c r="F354" s="48">
        <v>51</v>
      </c>
      <c r="G354" s="48">
        <v>12</v>
      </c>
      <c r="H354" s="48" t="s">
        <v>28</v>
      </c>
      <c r="I354" s="48">
        <v>4</v>
      </c>
      <c r="J354" s="49">
        <v>7</v>
      </c>
      <c r="K354" s="49">
        <v>29</v>
      </c>
      <c r="L354" s="49">
        <v>194</v>
      </c>
      <c r="M354" s="50">
        <v>0.48</v>
      </c>
      <c r="N354" s="49">
        <v>94</v>
      </c>
      <c r="O354" s="49">
        <v>100</v>
      </c>
      <c r="P354" s="50">
        <v>1.76</v>
      </c>
      <c r="Q354" s="50">
        <v>0.15</v>
      </c>
      <c r="R354" s="50">
        <v>0.69</v>
      </c>
      <c r="S354" s="50">
        <v>0.34</v>
      </c>
      <c r="T354" s="50">
        <v>7.0000000000000007E-2</v>
      </c>
      <c r="U354" s="49">
        <v>20</v>
      </c>
      <c r="V354" s="50">
        <v>0.79</v>
      </c>
      <c r="W354" s="50">
        <v>0.18</v>
      </c>
      <c r="X354" s="49">
        <f t="shared" si="15"/>
        <v>34.92</v>
      </c>
      <c r="Y354" s="49">
        <f t="shared" si="16"/>
        <v>65.960000000000008</v>
      </c>
      <c r="Z354" s="49">
        <f t="shared" si="17"/>
        <v>93.11999999999999</v>
      </c>
      <c r="AA354" s="23" t="s">
        <v>116</v>
      </c>
      <c r="AB354" s="23" t="s">
        <v>116</v>
      </c>
      <c r="AC354" s="23" t="s">
        <v>116</v>
      </c>
      <c r="AD354" s="23" t="s">
        <v>116</v>
      </c>
      <c r="AE354" s="23" t="s">
        <v>116</v>
      </c>
      <c r="AF354" s="23" t="s">
        <v>116</v>
      </c>
      <c r="AG354" s="23" t="s">
        <v>116</v>
      </c>
      <c r="AH354" s="23" t="s">
        <v>116</v>
      </c>
      <c r="AI354" s="52">
        <v>0</v>
      </c>
      <c r="AJ354" s="51">
        <v>100</v>
      </c>
    </row>
    <row r="355" spans="1:36" x14ac:dyDescent="0.2">
      <c r="A355" s="47">
        <v>44915</v>
      </c>
      <c r="B355" s="48">
        <v>20</v>
      </c>
      <c r="C355" s="48">
        <v>354</v>
      </c>
      <c r="D355" s="48">
        <v>3</v>
      </c>
      <c r="E355" s="48" t="s">
        <v>14</v>
      </c>
      <c r="F355" s="48">
        <v>51</v>
      </c>
      <c r="G355" s="48">
        <v>12</v>
      </c>
      <c r="H355" s="48" t="s">
        <v>28</v>
      </c>
      <c r="I355" s="48">
        <v>4</v>
      </c>
      <c r="J355" s="49">
        <v>35</v>
      </c>
      <c r="K355" s="49">
        <v>88</v>
      </c>
      <c r="L355" s="49">
        <v>2700</v>
      </c>
      <c r="M355" s="50">
        <v>0.38</v>
      </c>
      <c r="N355" s="49">
        <v>1030</v>
      </c>
      <c r="O355" s="49">
        <v>1670</v>
      </c>
      <c r="P355" s="50">
        <v>1.1299999999999999</v>
      </c>
      <c r="Q355" s="50">
        <v>0.66</v>
      </c>
      <c r="R355" s="50">
        <v>0.54</v>
      </c>
      <c r="S355" s="50">
        <v>0.64</v>
      </c>
      <c r="T355" s="50">
        <v>0</v>
      </c>
      <c r="U355" s="49">
        <v>54</v>
      </c>
      <c r="V355" s="50">
        <v>0.11</v>
      </c>
      <c r="W355" s="50">
        <v>0.02</v>
      </c>
      <c r="X355" s="49">
        <f t="shared" si="15"/>
        <v>54</v>
      </c>
      <c r="Y355" s="49">
        <f t="shared" si="16"/>
        <v>1728</v>
      </c>
      <c r="Z355" s="49">
        <f t="shared" si="17"/>
        <v>918</v>
      </c>
      <c r="AA355" s="23" t="s">
        <v>116</v>
      </c>
      <c r="AB355" s="23" t="s">
        <v>116</v>
      </c>
      <c r="AC355" s="23" t="s">
        <v>116</v>
      </c>
      <c r="AD355" s="23" t="s">
        <v>116</v>
      </c>
      <c r="AE355" s="23">
        <v>100</v>
      </c>
      <c r="AF355" s="23" t="s">
        <v>116</v>
      </c>
      <c r="AG355" s="23" t="s">
        <v>116</v>
      </c>
      <c r="AH355" s="23" t="s">
        <v>116</v>
      </c>
      <c r="AI355" s="52">
        <v>100</v>
      </c>
      <c r="AJ355" s="51">
        <v>1570</v>
      </c>
    </row>
    <row r="356" spans="1:36" x14ac:dyDescent="0.2">
      <c r="A356" s="47">
        <v>44916</v>
      </c>
      <c r="B356" s="48">
        <v>21</v>
      </c>
      <c r="C356" s="48">
        <v>355</v>
      </c>
      <c r="D356" s="48">
        <v>4</v>
      </c>
      <c r="E356" s="48" t="s">
        <v>15</v>
      </c>
      <c r="F356" s="48">
        <v>51</v>
      </c>
      <c r="G356" s="48">
        <v>12</v>
      </c>
      <c r="H356" s="48" t="s">
        <v>28</v>
      </c>
      <c r="I356" s="48">
        <v>4</v>
      </c>
      <c r="J356" s="49">
        <v>10</v>
      </c>
      <c r="K356" s="49">
        <v>96</v>
      </c>
      <c r="L356" s="49">
        <v>984</v>
      </c>
      <c r="M356" s="50">
        <v>0.72</v>
      </c>
      <c r="N356" s="49">
        <v>707</v>
      </c>
      <c r="O356" s="49">
        <v>276</v>
      </c>
      <c r="P356" s="50">
        <v>0.45</v>
      </c>
      <c r="Q356" s="50">
        <v>0.27</v>
      </c>
      <c r="R356" s="50">
        <v>1.03</v>
      </c>
      <c r="S356" s="50">
        <v>0.15</v>
      </c>
      <c r="T356" s="50">
        <v>0.01</v>
      </c>
      <c r="U356" s="49">
        <v>67</v>
      </c>
      <c r="V356" s="50">
        <v>0.26</v>
      </c>
      <c r="W356" s="50">
        <v>0.03</v>
      </c>
      <c r="X356" s="49">
        <f t="shared" si="15"/>
        <v>29.52</v>
      </c>
      <c r="Y356" s="49">
        <f t="shared" si="16"/>
        <v>147.6</v>
      </c>
      <c r="Z356" s="49">
        <f t="shared" si="17"/>
        <v>806.88</v>
      </c>
      <c r="AA356" s="23" t="s">
        <v>116</v>
      </c>
      <c r="AB356" s="23" t="s">
        <v>116</v>
      </c>
      <c r="AC356" s="23" t="s">
        <v>116</v>
      </c>
      <c r="AD356" s="23" t="s">
        <v>116</v>
      </c>
      <c r="AE356" s="23" t="s">
        <v>116</v>
      </c>
      <c r="AF356" s="23" t="s">
        <v>116</v>
      </c>
      <c r="AG356" s="23" t="s">
        <v>116</v>
      </c>
      <c r="AH356" s="23" t="s">
        <v>116</v>
      </c>
      <c r="AI356" s="52">
        <v>0</v>
      </c>
      <c r="AJ356" s="51">
        <v>276</v>
      </c>
    </row>
    <row r="357" spans="1:36" x14ac:dyDescent="0.2">
      <c r="A357" s="47">
        <v>44917</v>
      </c>
      <c r="B357" s="48">
        <v>22</v>
      </c>
      <c r="C357" s="48">
        <v>356</v>
      </c>
      <c r="D357" s="48">
        <v>5</v>
      </c>
      <c r="E357" s="48" t="s">
        <v>16</v>
      </c>
      <c r="F357" s="48">
        <v>51</v>
      </c>
      <c r="G357" s="48">
        <v>12</v>
      </c>
      <c r="H357" s="48" t="s">
        <v>28</v>
      </c>
      <c r="I357" s="48">
        <v>4</v>
      </c>
      <c r="J357" s="49">
        <v>20</v>
      </c>
      <c r="K357" s="49">
        <v>9</v>
      </c>
      <c r="L357" s="49">
        <v>175</v>
      </c>
      <c r="M357" s="50">
        <v>0.35</v>
      </c>
      <c r="N357" s="49">
        <v>60</v>
      </c>
      <c r="O357" s="49">
        <v>114</v>
      </c>
      <c r="P357" s="50">
        <v>8.7899999999999991</v>
      </c>
      <c r="Q357" s="50">
        <v>0.48</v>
      </c>
      <c r="R357" s="50">
        <v>0.49</v>
      </c>
      <c r="S357" s="50">
        <v>3.38</v>
      </c>
      <c r="T357" s="50">
        <v>7.0000000000000007E-2</v>
      </c>
      <c r="U357" s="49">
        <v>6</v>
      </c>
      <c r="V357" s="50">
        <v>2.17</v>
      </c>
      <c r="W357" s="50">
        <v>0.3</v>
      </c>
      <c r="X357" s="49">
        <f t="shared" si="15"/>
        <v>52.5</v>
      </c>
      <c r="Y357" s="49">
        <f t="shared" si="16"/>
        <v>591.5</v>
      </c>
      <c r="Z357" s="49">
        <f t="shared" si="17"/>
        <v>-469</v>
      </c>
      <c r="AA357" s="23" t="s">
        <v>116</v>
      </c>
      <c r="AB357" s="23" t="s">
        <v>116</v>
      </c>
      <c r="AC357" s="23" t="s">
        <v>116</v>
      </c>
      <c r="AD357" s="23" t="s">
        <v>116</v>
      </c>
      <c r="AE357" s="23" t="s">
        <v>116</v>
      </c>
      <c r="AF357" s="23" t="s">
        <v>116</v>
      </c>
      <c r="AG357" s="23" t="s">
        <v>116</v>
      </c>
      <c r="AH357" s="23" t="s">
        <v>116</v>
      </c>
      <c r="AI357" s="52">
        <v>0</v>
      </c>
      <c r="AJ357" s="51">
        <v>114</v>
      </c>
    </row>
    <row r="358" spans="1:36" x14ac:dyDescent="0.2">
      <c r="A358" s="47">
        <v>44918</v>
      </c>
      <c r="B358" s="48">
        <v>23</v>
      </c>
      <c r="C358" s="48">
        <v>357</v>
      </c>
      <c r="D358" s="48">
        <v>6</v>
      </c>
      <c r="E358" s="48" t="s">
        <v>17</v>
      </c>
      <c r="F358" s="48">
        <v>51</v>
      </c>
      <c r="G358" s="48">
        <v>12</v>
      </c>
      <c r="H358" s="48" t="s">
        <v>28</v>
      </c>
      <c r="I358" s="48">
        <v>4</v>
      </c>
      <c r="J358" s="49">
        <v>27</v>
      </c>
      <c r="K358" s="49">
        <v>54</v>
      </c>
      <c r="L358" s="49">
        <v>1454</v>
      </c>
      <c r="M358" s="50">
        <v>0.63</v>
      </c>
      <c r="N358" s="49">
        <v>909</v>
      </c>
      <c r="O358" s="49">
        <v>545</v>
      </c>
      <c r="P358" s="50">
        <v>1.5</v>
      </c>
      <c r="Q358" s="50">
        <v>0.63</v>
      </c>
      <c r="R358" s="50">
        <v>0.89</v>
      </c>
      <c r="S358" s="50">
        <v>0.72</v>
      </c>
      <c r="T358" s="50">
        <v>0.01</v>
      </c>
      <c r="U358" s="49">
        <v>38</v>
      </c>
      <c r="V358" s="50">
        <v>0.4</v>
      </c>
      <c r="W358" s="50">
        <v>0.04</v>
      </c>
      <c r="X358" s="49">
        <f t="shared" si="15"/>
        <v>58.160000000000004</v>
      </c>
      <c r="Y358" s="49">
        <f t="shared" si="16"/>
        <v>1046.8799999999999</v>
      </c>
      <c r="Z358" s="49">
        <f t="shared" si="17"/>
        <v>348.96000000000004</v>
      </c>
      <c r="AA358" s="23" t="s">
        <v>116</v>
      </c>
      <c r="AB358" s="23" t="s">
        <v>116</v>
      </c>
      <c r="AC358" s="23" t="s">
        <v>116</v>
      </c>
      <c r="AD358" s="23" t="s">
        <v>116</v>
      </c>
      <c r="AE358" s="23" t="s">
        <v>116</v>
      </c>
      <c r="AF358" s="23" t="s">
        <v>116</v>
      </c>
      <c r="AG358" s="23" t="s">
        <v>116</v>
      </c>
      <c r="AH358" s="23" t="s">
        <v>116</v>
      </c>
      <c r="AI358" s="52">
        <v>0</v>
      </c>
      <c r="AJ358" s="51">
        <v>545</v>
      </c>
    </row>
    <row r="359" spans="1:36" x14ac:dyDescent="0.2">
      <c r="A359" s="47">
        <v>44919</v>
      </c>
      <c r="B359" s="48">
        <v>24</v>
      </c>
      <c r="C359" s="48">
        <v>358</v>
      </c>
      <c r="D359" s="48">
        <v>7</v>
      </c>
      <c r="E359" s="48" t="s">
        <v>10</v>
      </c>
      <c r="F359" s="48">
        <v>51</v>
      </c>
      <c r="G359" s="48">
        <v>12</v>
      </c>
      <c r="H359" s="48" t="s">
        <v>28</v>
      </c>
      <c r="I359" s="48">
        <v>4</v>
      </c>
      <c r="J359" s="49">
        <v>24</v>
      </c>
      <c r="K359" s="49">
        <v>85</v>
      </c>
      <c r="L359" s="49">
        <v>2039</v>
      </c>
      <c r="M359" s="50">
        <v>0.55000000000000004</v>
      </c>
      <c r="N359" s="49">
        <v>1121</v>
      </c>
      <c r="O359" s="49">
        <v>918</v>
      </c>
      <c r="P359" s="50">
        <v>0.72</v>
      </c>
      <c r="Q359" s="50">
        <v>0.61</v>
      </c>
      <c r="R359" s="50">
        <v>0.79</v>
      </c>
      <c r="S359" s="50">
        <v>0.4</v>
      </c>
      <c r="T359" s="50">
        <v>0.01</v>
      </c>
      <c r="U359" s="49">
        <v>60</v>
      </c>
      <c r="V359" s="50">
        <v>0.31</v>
      </c>
      <c r="W359" s="50">
        <v>0.02</v>
      </c>
      <c r="X359" s="49">
        <f t="shared" si="15"/>
        <v>40.78</v>
      </c>
      <c r="Y359" s="49">
        <f t="shared" si="16"/>
        <v>815.6</v>
      </c>
      <c r="Z359" s="49">
        <f t="shared" si="17"/>
        <v>1182.6199999999999</v>
      </c>
      <c r="AA359" s="23" t="s">
        <v>116</v>
      </c>
      <c r="AB359" s="23" t="s">
        <v>116</v>
      </c>
      <c r="AC359" s="23" t="s">
        <v>116</v>
      </c>
      <c r="AD359" s="23" t="s">
        <v>116</v>
      </c>
      <c r="AE359" s="23" t="s">
        <v>116</v>
      </c>
      <c r="AF359" s="23" t="s">
        <v>116</v>
      </c>
      <c r="AG359" s="23" t="s">
        <v>116</v>
      </c>
      <c r="AH359" s="23" t="s">
        <v>116</v>
      </c>
      <c r="AI359" s="52">
        <v>0</v>
      </c>
      <c r="AJ359" s="51">
        <v>918</v>
      </c>
    </row>
    <row r="360" spans="1:36" x14ac:dyDescent="0.2">
      <c r="A360" s="47">
        <v>44920</v>
      </c>
      <c r="B360" s="48">
        <v>25</v>
      </c>
      <c r="C360" s="48">
        <v>359</v>
      </c>
      <c r="D360" s="48">
        <v>1</v>
      </c>
      <c r="E360" s="48" t="s">
        <v>12</v>
      </c>
      <c r="F360" s="48">
        <v>52</v>
      </c>
      <c r="G360" s="48">
        <v>12</v>
      </c>
      <c r="H360" s="48" t="s">
        <v>28</v>
      </c>
      <c r="I360" s="48">
        <v>4</v>
      </c>
      <c r="J360" s="49">
        <v>2</v>
      </c>
      <c r="K360" s="49">
        <v>13</v>
      </c>
      <c r="L360" s="49">
        <v>20</v>
      </c>
      <c r="M360" s="50">
        <v>0.3</v>
      </c>
      <c r="N360" s="49">
        <v>6</v>
      </c>
      <c r="O360" s="49">
        <v>14</v>
      </c>
      <c r="P360" s="50">
        <v>1.71</v>
      </c>
      <c r="Q360" s="50">
        <v>0.1</v>
      </c>
      <c r="R360" s="50">
        <v>0.42</v>
      </c>
      <c r="S360" s="50">
        <v>0.18</v>
      </c>
      <c r="T360" s="50">
        <v>1.42</v>
      </c>
      <c r="U360" s="49">
        <v>9</v>
      </c>
      <c r="V360" s="50">
        <v>0.3</v>
      </c>
      <c r="W360" s="50">
        <v>0.75</v>
      </c>
      <c r="X360" s="49">
        <f t="shared" si="15"/>
        <v>15</v>
      </c>
      <c r="Y360" s="49">
        <f t="shared" si="16"/>
        <v>3.5999999999999996</v>
      </c>
      <c r="Z360" s="49">
        <f t="shared" si="17"/>
        <v>1.3999999999999986</v>
      </c>
      <c r="AA360" s="23" t="s">
        <v>116</v>
      </c>
      <c r="AB360" s="23">
        <v>1000</v>
      </c>
      <c r="AC360" s="23" t="s">
        <v>116</v>
      </c>
      <c r="AD360" s="23" t="s">
        <v>116</v>
      </c>
      <c r="AE360" s="23" t="s">
        <v>116</v>
      </c>
      <c r="AF360" s="23" t="s">
        <v>116</v>
      </c>
      <c r="AG360" s="23">
        <v>83</v>
      </c>
      <c r="AH360" s="23" t="s">
        <v>116</v>
      </c>
      <c r="AI360" s="52">
        <v>1083</v>
      </c>
      <c r="AJ360" s="51">
        <v>-1069</v>
      </c>
    </row>
    <row r="361" spans="1:36" x14ac:dyDescent="0.2">
      <c r="A361" s="47">
        <v>44921</v>
      </c>
      <c r="B361" s="48">
        <v>26</v>
      </c>
      <c r="C361" s="48">
        <v>360</v>
      </c>
      <c r="D361" s="48">
        <v>2</v>
      </c>
      <c r="E361" s="48" t="s">
        <v>13</v>
      </c>
      <c r="F361" s="48">
        <v>52</v>
      </c>
      <c r="G361" s="48">
        <v>12</v>
      </c>
      <c r="H361" s="48" t="s">
        <v>28</v>
      </c>
      <c r="I361" s="48">
        <v>4</v>
      </c>
      <c r="J361" s="49">
        <v>5</v>
      </c>
      <c r="K361" s="49">
        <v>112</v>
      </c>
      <c r="L361" s="49">
        <v>522</v>
      </c>
      <c r="M361" s="50">
        <v>0.49</v>
      </c>
      <c r="N361" s="49">
        <v>254</v>
      </c>
      <c r="O361" s="49">
        <v>268</v>
      </c>
      <c r="P361" s="50">
        <v>0.56999999999999995</v>
      </c>
      <c r="Q361" s="50">
        <v>0.16</v>
      </c>
      <c r="R361" s="50">
        <v>0.69</v>
      </c>
      <c r="S361" s="50">
        <v>0.06</v>
      </c>
      <c r="T361" s="50">
        <v>0.02</v>
      </c>
      <c r="U361" s="49">
        <v>78</v>
      </c>
      <c r="V361" s="50">
        <v>0.13</v>
      </c>
      <c r="W361" s="50">
        <v>0.08</v>
      </c>
      <c r="X361" s="49">
        <f t="shared" si="15"/>
        <v>41.76</v>
      </c>
      <c r="Y361" s="49">
        <f t="shared" si="16"/>
        <v>31.32</v>
      </c>
      <c r="Z361" s="49">
        <f t="shared" si="17"/>
        <v>448.92</v>
      </c>
      <c r="AA361" s="23" t="s">
        <v>116</v>
      </c>
      <c r="AB361" s="23" t="s">
        <v>116</v>
      </c>
      <c r="AC361" s="23" t="s">
        <v>116</v>
      </c>
      <c r="AD361" s="23" t="s">
        <v>116</v>
      </c>
      <c r="AE361" s="23" t="s">
        <v>116</v>
      </c>
      <c r="AF361" s="23" t="s">
        <v>116</v>
      </c>
      <c r="AG361" s="23" t="s">
        <v>116</v>
      </c>
      <c r="AH361" s="23" t="s">
        <v>116</v>
      </c>
      <c r="AI361" s="52">
        <v>0</v>
      </c>
      <c r="AJ361" s="51">
        <v>268</v>
      </c>
    </row>
    <row r="362" spans="1:36" x14ac:dyDescent="0.2">
      <c r="A362" s="47">
        <v>44922</v>
      </c>
      <c r="B362" s="48">
        <v>27</v>
      </c>
      <c r="C362" s="48">
        <v>361</v>
      </c>
      <c r="D362" s="48">
        <v>3</v>
      </c>
      <c r="E362" s="48" t="s">
        <v>14</v>
      </c>
      <c r="F362" s="48">
        <v>52</v>
      </c>
      <c r="G362" s="48">
        <v>12</v>
      </c>
      <c r="H362" s="48" t="s">
        <v>28</v>
      </c>
      <c r="I362" s="48">
        <v>4</v>
      </c>
      <c r="J362" s="49">
        <v>13</v>
      </c>
      <c r="K362" s="49">
        <v>80</v>
      </c>
      <c r="L362" s="49">
        <v>1009</v>
      </c>
      <c r="M362" s="50">
        <v>0.76</v>
      </c>
      <c r="N362" s="49">
        <v>762</v>
      </c>
      <c r="O362" s="49">
        <v>246</v>
      </c>
      <c r="P362" s="50">
        <v>0.77</v>
      </c>
      <c r="Q362" s="50">
        <v>0.34</v>
      </c>
      <c r="R362" s="50">
        <v>1.08</v>
      </c>
      <c r="S362" s="50">
        <v>0.23</v>
      </c>
      <c r="T362" s="50">
        <v>0.01</v>
      </c>
      <c r="U362" s="49">
        <v>56</v>
      </c>
      <c r="V362" s="50">
        <v>0.26</v>
      </c>
      <c r="W362" s="50">
        <v>0.04</v>
      </c>
      <c r="X362" s="49">
        <f t="shared" si="15"/>
        <v>40.36</v>
      </c>
      <c r="Y362" s="49">
        <f t="shared" si="16"/>
        <v>232.07000000000002</v>
      </c>
      <c r="Z362" s="49">
        <f t="shared" si="17"/>
        <v>736.56999999999994</v>
      </c>
      <c r="AA362" s="23" t="s">
        <v>116</v>
      </c>
      <c r="AB362" s="23" t="s">
        <v>116</v>
      </c>
      <c r="AC362" s="23" t="s">
        <v>116</v>
      </c>
      <c r="AD362" s="23" t="s">
        <v>116</v>
      </c>
      <c r="AE362" s="23" t="s">
        <v>116</v>
      </c>
      <c r="AF362" s="23" t="s">
        <v>116</v>
      </c>
      <c r="AG362" s="23" t="s">
        <v>116</v>
      </c>
      <c r="AH362" s="23" t="s">
        <v>116</v>
      </c>
      <c r="AI362" s="52">
        <v>0</v>
      </c>
      <c r="AJ362" s="51">
        <v>246</v>
      </c>
    </row>
    <row r="363" spans="1:36" x14ac:dyDescent="0.2">
      <c r="A363" s="47">
        <v>44923</v>
      </c>
      <c r="B363" s="48">
        <v>28</v>
      </c>
      <c r="C363" s="48">
        <v>362</v>
      </c>
      <c r="D363" s="48">
        <v>4</v>
      </c>
      <c r="E363" s="48" t="s">
        <v>15</v>
      </c>
      <c r="F363" s="48">
        <v>52</v>
      </c>
      <c r="G363" s="48">
        <v>12</v>
      </c>
      <c r="H363" s="48" t="s">
        <v>28</v>
      </c>
      <c r="I363" s="48">
        <v>4</v>
      </c>
      <c r="J363" s="49">
        <v>17</v>
      </c>
      <c r="K363" s="49">
        <v>46</v>
      </c>
      <c r="L363" s="49">
        <v>782</v>
      </c>
      <c r="M363" s="50">
        <v>0.83</v>
      </c>
      <c r="N363" s="49">
        <v>653</v>
      </c>
      <c r="O363" s="49">
        <v>129</v>
      </c>
      <c r="P363" s="50">
        <v>1.02</v>
      </c>
      <c r="Q363" s="50">
        <v>0.44</v>
      </c>
      <c r="R363" s="50">
        <v>1.19</v>
      </c>
      <c r="S363" s="50">
        <v>0.53</v>
      </c>
      <c r="T363" s="50">
        <v>0.02</v>
      </c>
      <c r="U363" s="49">
        <v>32</v>
      </c>
      <c r="V363" s="50">
        <v>0.36</v>
      </c>
      <c r="W363" s="50">
        <v>0.04</v>
      </c>
      <c r="X363" s="49">
        <f t="shared" si="15"/>
        <v>31.28</v>
      </c>
      <c r="Y363" s="49">
        <f t="shared" si="16"/>
        <v>414.46000000000004</v>
      </c>
      <c r="Z363" s="49">
        <f t="shared" si="17"/>
        <v>336.26</v>
      </c>
      <c r="AA363" s="23" t="s">
        <v>116</v>
      </c>
      <c r="AB363" s="23" t="s">
        <v>116</v>
      </c>
      <c r="AC363" s="23" t="s">
        <v>116</v>
      </c>
      <c r="AD363" s="23" t="s">
        <v>116</v>
      </c>
      <c r="AE363" s="23" t="s">
        <v>116</v>
      </c>
      <c r="AF363" s="23" t="s">
        <v>116</v>
      </c>
      <c r="AG363" s="23" t="s">
        <v>116</v>
      </c>
      <c r="AH363" s="23" t="s">
        <v>116</v>
      </c>
      <c r="AI363" s="52">
        <v>0</v>
      </c>
      <c r="AJ363" s="51">
        <v>129</v>
      </c>
    </row>
    <row r="364" spans="1:36" x14ac:dyDescent="0.2">
      <c r="A364" s="47">
        <v>44924</v>
      </c>
      <c r="B364" s="48">
        <v>29</v>
      </c>
      <c r="C364" s="48">
        <v>363</v>
      </c>
      <c r="D364" s="48">
        <v>5</v>
      </c>
      <c r="E364" s="48" t="s">
        <v>16</v>
      </c>
      <c r="F364" s="48">
        <v>52</v>
      </c>
      <c r="G364" s="48">
        <v>12</v>
      </c>
      <c r="H364" s="48" t="s">
        <v>28</v>
      </c>
      <c r="I364" s="48">
        <v>4</v>
      </c>
      <c r="J364" s="49">
        <v>20</v>
      </c>
      <c r="K364" s="49">
        <v>57</v>
      </c>
      <c r="L364" s="49">
        <v>1157</v>
      </c>
      <c r="M364" s="50">
        <v>0.51</v>
      </c>
      <c r="N364" s="49">
        <v>593</v>
      </c>
      <c r="O364" s="49">
        <v>564</v>
      </c>
      <c r="P364" s="50">
        <v>0.97</v>
      </c>
      <c r="Q364" s="50">
        <v>0.56000000000000005</v>
      </c>
      <c r="R364" s="50">
        <v>0.73</v>
      </c>
      <c r="S364" s="50">
        <v>0.51</v>
      </c>
      <c r="T364" s="50">
        <v>0.01</v>
      </c>
      <c r="U364" s="49">
        <v>40</v>
      </c>
      <c r="V364" s="50">
        <v>0.3</v>
      </c>
      <c r="W364" s="50">
        <v>0.03</v>
      </c>
      <c r="X364" s="49">
        <f t="shared" si="15"/>
        <v>34.71</v>
      </c>
      <c r="Y364" s="49">
        <f t="shared" si="16"/>
        <v>590.07000000000005</v>
      </c>
      <c r="Z364" s="49">
        <f t="shared" si="17"/>
        <v>532.21999999999991</v>
      </c>
      <c r="AA364" s="23" t="s">
        <v>116</v>
      </c>
      <c r="AB364" s="23" t="s">
        <v>116</v>
      </c>
      <c r="AC364" s="23" t="s">
        <v>116</v>
      </c>
      <c r="AD364" s="23" t="s">
        <v>116</v>
      </c>
      <c r="AE364" s="23" t="s">
        <v>116</v>
      </c>
      <c r="AF364" s="23" t="s">
        <v>116</v>
      </c>
      <c r="AG364" s="23" t="s">
        <v>116</v>
      </c>
      <c r="AH364" s="23" t="s">
        <v>116</v>
      </c>
      <c r="AI364" s="52">
        <v>0</v>
      </c>
      <c r="AJ364" s="51">
        <v>564</v>
      </c>
    </row>
    <row r="365" spans="1:36" x14ac:dyDescent="0.2">
      <c r="A365" s="47">
        <v>44925</v>
      </c>
      <c r="B365" s="48">
        <v>30</v>
      </c>
      <c r="C365" s="48">
        <v>364</v>
      </c>
      <c r="D365" s="48">
        <v>6</v>
      </c>
      <c r="E365" s="48" t="s">
        <v>17</v>
      </c>
      <c r="F365" s="48">
        <v>52</v>
      </c>
      <c r="G365" s="48">
        <v>12</v>
      </c>
      <c r="H365" s="48" t="s">
        <v>28</v>
      </c>
      <c r="I365" s="48">
        <v>4</v>
      </c>
      <c r="J365" s="49">
        <v>21</v>
      </c>
      <c r="K365" s="49">
        <v>34</v>
      </c>
      <c r="L365" s="49">
        <v>719</v>
      </c>
      <c r="M365" s="50">
        <v>0.66</v>
      </c>
      <c r="N365" s="49">
        <v>474</v>
      </c>
      <c r="O365" s="49">
        <v>245</v>
      </c>
      <c r="P365" s="50">
        <v>2.02</v>
      </c>
      <c r="Q365" s="50">
        <v>0.46</v>
      </c>
      <c r="R365" s="50">
        <v>0.94</v>
      </c>
      <c r="S365" s="50">
        <v>0.91</v>
      </c>
      <c r="T365" s="50">
        <v>0.02</v>
      </c>
      <c r="U365" s="49">
        <v>24</v>
      </c>
      <c r="V365" s="50">
        <v>0.33</v>
      </c>
      <c r="W365" s="50">
        <v>7.0000000000000007E-2</v>
      </c>
      <c r="X365" s="49">
        <f t="shared" si="15"/>
        <v>50.330000000000005</v>
      </c>
      <c r="Y365" s="49">
        <f t="shared" si="16"/>
        <v>654.29000000000008</v>
      </c>
      <c r="Z365" s="49">
        <f t="shared" si="17"/>
        <v>14.379999999999882</v>
      </c>
      <c r="AA365" s="23" t="s">
        <v>116</v>
      </c>
      <c r="AB365" s="23" t="s">
        <v>116</v>
      </c>
      <c r="AC365" s="23" t="s">
        <v>116</v>
      </c>
      <c r="AD365" s="23" t="s">
        <v>116</v>
      </c>
      <c r="AE365" s="23" t="s">
        <v>116</v>
      </c>
      <c r="AF365" s="23" t="s">
        <v>116</v>
      </c>
      <c r="AG365" s="23" t="s">
        <v>116</v>
      </c>
      <c r="AH365" s="23" t="s">
        <v>116</v>
      </c>
      <c r="AI365" s="52">
        <v>0</v>
      </c>
      <c r="AJ365" s="51">
        <v>245</v>
      </c>
    </row>
    <row r="366" spans="1:36" x14ac:dyDescent="0.2">
      <c r="A366" s="47">
        <v>44926</v>
      </c>
      <c r="B366" s="48">
        <v>31</v>
      </c>
      <c r="C366" s="48">
        <v>365</v>
      </c>
      <c r="D366" s="48">
        <v>7</v>
      </c>
      <c r="E366" s="48" t="s">
        <v>10</v>
      </c>
      <c r="F366" s="48">
        <v>52</v>
      </c>
      <c r="G366" s="48">
        <v>12</v>
      </c>
      <c r="H366" s="48" t="s">
        <v>28</v>
      </c>
      <c r="I366" s="48">
        <v>4</v>
      </c>
      <c r="J366" s="49">
        <v>6</v>
      </c>
      <c r="K366" s="49">
        <v>55</v>
      </c>
      <c r="L366" s="49">
        <v>353</v>
      </c>
      <c r="M366" s="50">
        <v>0.73</v>
      </c>
      <c r="N366" s="49">
        <v>258</v>
      </c>
      <c r="O366" s="49">
        <v>95</v>
      </c>
      <c r="P366" s="50">
        <v>1.1299999999999999</v>
      </c>
      <c r="Q366" s="50">
        <v>0.17</v>
      </c>
      <c r="R366" s="50">
        <v>1.04</v>
      </c>
      <c r="S366" s="50">
        <v>0.17</v>
      </c>
      <c r="T366" s="50">
        <v>0.04</v>
      </c>
      <c r="U366" s="49">
        <v>39</v>
      </c>
      <c r="V366" s="50">
        <v>0.19</v>
      </c>
      <c r="W366" s="50">
        <v>0.12</v>
      </c>
      <c r="X366" s="49">
        <f t="shared" si="15"/>
        <v>42.36</v>
      </c>
      <c r="Y366" s="49">
        <f t="shared" si="16"/>
        <v>60.010000000000005</v>
      </c>
      <c r="Z366" s="49">
        <f t="shared" si="17"/>
        <v>250.63</v>
      </c>
      <c r="AA366" s="23" t="s">
        <v>116</v>
      </c>
      <c r="AB366" s="23" t="s">
        <v>116</v>
      </c>
      <c r="AC366" s="23" t="s">
        <v>116</v>
      </c>
      <c r="AD366" s="23" t="s">
        <v>116</v>
      </c>
      <c r="AE366" s="23" t="s">
        <v>116</v>
      </c>
      <c r="AF366" s="23" t="s">
        <v>116</v>
      </c>
      <c r="AG366" s="23" t="s">
        <v>116</v>
      </c>
      <c r="AH366" s="23" t="s">
        <v>116</v>
      </c>
      <c r="AI366" s="52">
        <v>0</v>
      </c>
      <c r="AJ366" s="51">
        <v>95</v>
      </c>
    </row>
    <row r="367" spans="1:36" x14ac:dyDescent="0.2">
      <c r="A367" s="47">
        <v>44927</v>
      </c>
      <c r="B367" s="48">
        <v>1</v>
      </c>
      <c r="C367" s="48">
        <v>366</v>
      </c>
      <c r="D367" s="48">
        <v>1</v>
      </c>
      <c r="E367" s="48" t="s">
        <v>12</v>
      </c>
      <c r="F367" s="48">
        <v>52</v>
      </c>
      <c r="G367" s="48">
        <v>1</v>
      </c>
      <c r="H367" s="48" t="s">
        <v>11</v>
      </c>
      <c r="I367" s="48">
        <v>4</v>
      </c>
      <c r="J367" s="49">
        <v>14</v>
      </c>
      <c r="K367" s="49">
        <v>28</v>
      </c>
      <c r="L367" s="49">
        <v>382</v>
      </c>
      <c r="M367" s="50">
        <v>0.17</v>
      </c>
      <c r="N367" s="49">
        <v>66</v>
      </c>
      <c r="O367" s="49">
        <v>317</v>
      </c>
      <c r="P367" s="50">
        <v>1.47</v>
      </c>
      <c r="Q367" s="50">
        <v>0.7</v>
      </c>
      <c r="R367" s="50">
        <v>0.25</v>
      </c>
      <c r="S367" s="50">
        <v>0.69</v>
      </c>
      <c r="T367" s="50">
        <v>7.0000000000000007E-2</v>
      </c>
      <c r="U367" s="49">
        <v>20</v>
      </c>
      <c r="V367" s="50">
        <v>0.2</v>
      </c>
      <c r="W367" s="50">
        <v>0.08</v>
      </c>
      <c r="X367" s="49">
        <f t="shared" si="15"/>
        <v>30.560000000000002</v>
      </c>
      <c r="Y367" s="49">
        <f t="shared" si="16"/>
        <v>263.58</v>
      </c>
      <c r="Z367" s="49">
        <f t="shared" si="17"/>
        <v>87.860000000000014</v>
      </c>
      <c r="AA367" s="23">
        <v>3000</v>
      </c>
      <c r="AB367" s="23">
        <v>1000</v>
      </c>
      <c r="AC367" s="23" t="s">
        <v>116</v>
      </c>
      <c r="AD367" s="23" t="s">
        <v>116</v>
      </c>
      <c r="AE367" s="23" t="s">
        <v>116</v>
      </c>
      <c r="AF367" s="23" t="s">
        <v>116</v>
      </c>
      <c r="AG367" s="23" t="s">
        <v>116</v>
      </c>
      <c r="AH367" s="23" t="s">
        <v>116</v>
      </c>
      <c r="AI367" s="52">
        <v>4000</v>
      </c>
      <c r="AJ367" s="51">
        <v>-3683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C71D-EF53-F64B-B95A-6C9DB363807C}">
  <dimension ref="A1:AQ373"/>
  <sheetViews>
    <sheetView workbookViewId="0">
      <selection activeCell="H5" sqref="H5"/>
    </sheetView>
  </sheetViews>
  <sheetFormatPr baseColWidth="10" defaultColWidth="8.83203125" defaultRowHeight="15" x14ac:dyDescent="0.2"/>
  <cols>
    <col min="1" max="1" width="11.5" customWidth="1"/>
    <col min="6" max="6" width="11.83203125" customWidth="1"/>
    <col min="10" max="11" width="12.5" customWidth="1"/>
    <col min="12" max="12" width="10.6640625" customWidth="1"/>
    <col min="14" max="14" width="12.1640625" bestFit="1" customWidth="1"/>
    <col min="16" max="16" width="20.6640625" customWidth="1"/>
    <col min="17" max="17" width="9.6640625" hidden="1" customWidth="1"/>
    <col min="18" max="18" width="10.1640625" hidden="1" customWidth="1"/>
    <col min="19" max="19" width="8.6640625" hidden="1" customWidth="1"/>
    <col min="20" max="20" width="13.1640625" hidden="1" customWidth="1"/>
    <col min="21" max="21" width="6.83203125" hidden="1" customWidth="1"/>
    <col min="22" max="22" width="9.83203125" hidden="1" customWidth="1"/>
    <col min="23" max="23" width="12" hidden="1" customWidth="1"/>
    <col min="24" max="24" width="8.33203125" hidden="1" customWidth="1"/>
    <col min="25" max="25" width="4.5" hidden="1" customWidth="1"/>
    <col min="26" max="26" width="12.33203125" hidden="1" customWidth="1"/>
    <col min="27" max="27" width="6.6640625" hidden="1" customWidth="1"/>
    <col min="28" max="29" width="22.83203125" hidden="1" customWidth="1"/>
    <col min="30" max="30" width="26.6640625" hidden="1" customWidth="1"/>
    <col min="31" max="31" width="63.83203125" hidden="1" customWidth="1"/>
    <col min="32" max="32" width="10.83203125" hidden="1" customWidth="1"/>
    <col min="33" max="33" width="15.6640625" hidden="1" customWidth="1"/>
    <col min="34" max="34" width="6.5" hidden="1" customWidth="1"/>
    <col min="35" max="35" width="7.33203125" hidden="1" customWidth="1"/>
    <col min="36" max="36" width="6.6640625" hidden="1" customWidth="1"/>
    <col min="37" max="38" width="8.83203125" hidden="1" customWidth="1"/>
    <col min="39" max="39" width="6.83203125" hidden="1" customWidth="1"/>
    <col min="40" max="40" width="11.1640625" bestFit="1" customWidth="1"/>
    <col min="41" max="41" width="11.6640625" bestFit="1" customWidth="1"/>
    <col min="42" max="42" width="12.6640625" bestFit="1" customWidth="1"/>
  </cols>
  <sheetData>
    <row r="1" spans="1:43" ht="16" thickBot="1" x14ac:dyDescent="0.25">
      <c r="A1" s="1" t="s">
        <v>0</v>
      </c>
      <c r="D1" s="3" t="s">
        <v>40</v>
      </c>
      <c r="E1" s="4"/>
      <c r="F1" s="5"/>
    </row>
    <row r="2" spans="1:43" x14ac:dyDescent="0.2">
      <c r="I2" s="14"/>
      <c r="L2" s="11"/>
      <c r="S2" s="25">
        <f>AG9/7</f>
        <v>142.85714285714286</v>
      </c>
      <c r="T2" s="25"/>
      <c r="U2" s="25"/>
      <c r="V2" s="25"/>
      <c r="W2" s="25"/>
      <c r="X2" s="25"/>
      <c r="Y2" s="25"/>
      <c r="Z2" s="25"/>
      <c r="AA2" s="25"/>
      <c r="AB2" s="25"/>
    </row>
    <row r="3" spans="1:43" x14ac:dyDescent="0.2">
      <c r="O3" s="14"/>
    </row>
    <row r="4" spans="1:43" x14ac:dyDescent="0.2">
      <c r="I4" s="8"/>
      <c r="N4" s="8"/>
      <c r="AG4" s="36">
        <f>AG5+200</f>
        <v>1200</v>
      </c>
    </row>
    <row r="5" spans="1:43" x14ac:dyDescent="0.2">
      <c r="J5" s="14"/>
      <c r="K5" s="14"/>
      <c r="L5" s="14"/>
      <c r="AF5">
        <v>3000</v>
      </c>
      <c r="AG5" s="19">
        <v>1000</v>
      </c>
      <c r="AH5" s="20">
        <v>300</v>
      </c>
      <c r="AI5" s="21">
        <v>300</v>
      </c>
      <c r="AJ5" s="21">
        <v>100</v>
      </c>
      <c r="AK5" s="21">
        <v>480</v>
      </c>
      <c r="AL5" s="21">
        <v>83</v>
      </c>
      <c r="AM5" s="21">
        <v>1000</v>
      </c>
      <c r="AP5" s="25"/>
    </row>
    <row r="6" spans="1:43" x14ac:dyDescent="0.2">
      <c r="N6" s="15"/>
      <c r="Q6" s="35"/>
      <c r="R6" s="35"/>
      <c r="S6" s="35"/>
      <c r="T6" s="35"/>
      <c r="U6" s="35"/>
      <c r="V6" s="35"/>
      <c r="W6" s="35" t="s">
        <v>92</v>
      </c>
      <c r="X6" s="35"/>
      <c r="Y6" s="35"/>
      <c r="Z6" s="35"/>
      <c r="AA6" s="35"/>
      <c r="AB6" s="35"/>
      <c r="AC6" s="35"/>
      <c r="AD6" s="35"/>
      <c r="AE6" s="35"/>
      <c r="AF6">
        <v>1</v>
      </c>
      <c r="AG6" t="s">
        <v>12</v>
      </c>
      <c r="AH6">
        <v>15</v>
      </c>
      <c r="AI6">
        <v>10</v>
      </c>
      <c r="AJ6">
        <v>20</v>
      </c>
      <c r="AK6">
        <v>12</v>
      </c>
      <c r="AL6">
        <v>25</v>
      </c>
      <c r="AM6">
        <v>5</v>
      </c>
    </row>
    <row r="7" spans="1:43" s="2" customFormat="1" ht="64" x14ac:dyDescent="0.2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9" t="s">
        <v>29</v>
      </c>
      <c r="K7" s="9" t="s">
        <v>93</v>
      </c>
      <c r="L7" s="10" t="s">
        <v>30</v>
      </c>
      <c r="M7" s="10" t="s">
        <v>31</v>
      </c>
      <c r="N7" s="17" t="s">
        <v>41</v>
      </c>
      <c r="O7" s="17" t="s">
        <v>42</v>
      </c>
      <c r="P7" s="9" t="s">
        <v>43</v>
      </c>
      <c r="Q7" s="33" t="s">
        <v>78</v>
      </c>
      <c r="R7" s="33" t="s">
        <v>79</v>
      </c>
      <c r="S7" s="33" t="s">
        <v>82</v>
      </c>
      <c r="T7" s="33" t="s">
        <v>87</v>
      </c>
      <c r="U7" s="33" t="s">
        <v>83</v>
      </c>
      <c r="V7" s="33" t="s">
        <v>85</v>
      </c>
      <c r="W7" s="33" t="s">
        <v>90</v>
      </c>
      <c r="X7" s="34" t="s">
        <v>91</v>
      </c>
      <c r="Y7" s="34" t="s">
        <v>89</v>
      </c>
      <c r="Z7" s="34" t="s">
        <v>86</v>
      </c>
      <c r="AA7" s="34" t="s">
        <v>84</v>
      </c>
      <c r="AB7" s="34" t="s">
        <v>81</v>
      </c>
      <c r="AC7" s="34" t="s">
        <v>88</v>
      </c>
      <c r="AD7" s="34" t="s">
        <v>80</v>
      </c>
      <c r="AE7" s="34" t="s">
        <v>77</v>
      </c>
      <c r="AF7" s="22" t="s">
        <v>45</v>
      </c>
      <c r="AG7" s="22" t="s">
        <v>46</v>
      </c>
      <c r="AH7" s="22" t="s">
        <v>47</v>
      </c>
      <c r="AI7" s="22" t="s">
        <v>48</v>
      </c>
      <c r="AJ7" s="22" t="s">
        <v>49</v>
      </c>
      <c r="AK7" s="22" t="s">
        <v>52</v>
      </c>
      <c r="AL7" s="22" t="s">
        <v>50</v>
      </c>
      <c r="AM7" s="1" t="s">
        <v>53</v>
      </c>
      <c r="AN7" s="22" t="s">
        <v>51</v>
      </c>
      <c r="AO7" s="24" t="s">
        <v>54</v>
      </c>
      <c r="AQ7"/>
    </row>
    <row r="8" spans="1:43" x14ac:dyDescent="0.2">
      <c r="A8" s="12">
        <v>44562</v>
      </c>
      <c r="B8" s="6">
        <v>1</v>
      </c>
      <c r="C8" s="6">
        <v>1</v>
      </c>
      <c r="D8" s="6">
        <v>7</v>
      </c>
      <c r="E8" s="6" t="s">
        <v>10</v>
      </c>
      <c r="F8" s="6">
        <v>1</v>
      </c>
      <c r="G8" s="6">
        <v>1</v>
      </c>
      <c r="H8" s="6" t="s">
        <v>11</v>
      </c>
      <c r="I8" s="6">
        <v>1</v>
      </c>
      <c r="J8" s="14">
        <v>18.248423200876413</v>
      </c>
      <c r="K8" s="14">
        <f>J8</f>
        <v>18.248423200876413</v>
      </c>
      <c r="L8" s="14">
        <v>63.210072575258103</v>
      </c>
      <c r="M8" s="14">
        <f>K8*L8</f>
        <v>1153.4841549114219</v>
      </c>
      <c r="N8" s="16">
        <v>0.3887682269525603</v>
      </c>
      <c r="O8" s="14">
        <f>M8*N8</f>
        <v>448.43798972278591</v>
      </c>
      <c r="P8" s="14">
        <f>M8-O8</f>
        <v>705.046165188636</v>
      </c>
      <c r="Q8" s="14">
        <v>43.748146994482568</v>
      </c>
      <c r="R8" s="14">
        <v>6.6793626767927403</v>
      </c>
      <c r="S8" s="14">
        <f t="shared" ref="S8:S71" si="0">IF(E8=$AG$6,$S$2/5,$S$2/11)</f>
        <v>12.987012987012987</v>
      </c>
      <c r="T8" s="14">
        <v>28.155117721735419</v>
      </c>
      <c r="U8" s="14">
        <f>M8*0.7</f>
        <v>807.43890843799534</v>
      </c>
      <c r="V8" s="14">
        <f>U8/K8</f>
        <v>44.247050802680675</v>
      </c>
      <c r="W8" s="14">
        <v>26.3343514059349</v>
      </c>
      <c r="X8" s="16">
        <f>Q8/V8</f>
        <v>0.98872458617811698</v>
      </c>
      <c r="Y8" s="16">
        <f>J8/W8</f>
        <v>0.69295130605585431</v>
      </c>
      <c r="Z8" s="16">
        <f>O8/U8</f>
        <v>0.55538318136080045</v>
      </c>
      <c r="AA8" s="16">
        <f>K8/V8</f>
        <v>0.41242123192018137</v>
      </c>
      <c r="AB8" s="16">
        <f t="shared" ref="AB8:AB71" si="1">S8/M8</f>
        <v>1.1258943550906673E-2</v>
      </c>
      <c r="AC8" s="14">
        <f>U8/J8</f>
        <v>44.247050802680675</v>
      </c>
      <c r="AD8" s="16">
        <f t="shared" ref="AD8:AD71" si="2">R8/L8</f>
        <v>0.10566927713680871</v>
      </c>
      <c r="AE8" s="16">
        <f t="shared" ref="AE8:AE71" si="3">Q8/M8</f>
        <v>3.7926959645008793E-2</v>
      </c>
      <c r="AF8" s="23">
        <f>IF(B8=$AF$6,$AF$5, )</f>
        <v>3000</v>
      </c>
      <c r="AG8" s="23" t="str">
        <f t="shared" ref="AG8:AG71" si="4">IF(E8=$AG$6,$AG$5,"")</f>
        <v/>
      </c>
      <c r="AH8" s="23" t="str">
        <f t="shared" ref="AH8:AH71" si="5">IF(B8=$AH$6,$AH$5,"")</f>
        <v/>
      </c>
      <c r="AI8" s="23" t="str">
        <f>IF($B$8=AI6,AI5,"")</f>
        <v/>
      </c>
      <c r="AJ8" s="23" t="str">
        <f t="shared" ref="AJ8:AJ71" si="6">IF($B8=$AJ$6,$AJ$5,"")</f>
        <v/>
      </c>
      <c r="AK8" s="23" t="str">
        <f t="shared" ref="AK8:AK71" si="7">IF($B8=$AK$6,$AK$5,"")</f>
        <v/>
      </c>
      <c r="AL8" s="23" t="str">
        <f t="shared" ref="AL8:AL71" si="8">IF($B8=$AL$6,$AL$5,"")</f>
        <v/>
      </c>
      <c r="AM8" s="23" t="str">
        <f t="shared" ref="AM8:AM71" si="9">IF($B8=$AM$6,$AM$5,"")</f>
        <v/>
      </c>
      <c r="AN8" s="19">
        <f t="shared" ref="AN8:AN71" si="10">SUM(AF8:AM8)</f>
        <v>3000</v>
      </c>
      <c r="AO8" s="26">
        <f t="shared" ref="AO8:AO71" si="11">P8-AN8</f>
        <v>-2294.9538348113638</v>
      </c>
    </row>
    <row r="9" spans="1:43" x14ac:dyDescent="0.2">
      <c r="A9" s="12">
        <v>44563</v>
      </c>
      <c r="B9" s="6">
        <v>2</v>
      </c>
      <c r="C9" s="6">
        <v>2</v>
      </c>
      <c r="D9" s="6">
        <v>1</v>
      </c>
      <c r="E9" s="6" t="s">
        <v>12</v>
      </c>
      <c r="F9" s="6">
        <v>1</v>
      </c>
      <c r="G9" s="6">
        <v>1</v>
      </c>
      <c r="H9" s="6" t="s">
        <v>11</v>
      </c>
      <c r="I9" s="6">
        <v>1</v>
      </c>
      <c r="J9" s="14">
        <v>5.6481891661753183</v>
      </c>
      <c r="K9" s="14">
        <f t="shared" ref="K9:K72" si="12">J9</f>
        <v>5.6481891661753183</v>
      </c>
      <c r="L9" s="14">
        <v>37.006370224370663</v>
      </c>
      <c r="M9" s="14">
        <f t="shared" ref="M9:M72" si="13">K9*L9</f>
        <v>209.01897938076326</v>
      </c>
      <c r="N9" s="16">
        <v>0.21121234991947319</v>
      </c>
      <c r="O9" s="14">
        <f t="shared" ref="O9:O72" si="14">M9*N9</f>
        <v>44.147389812780922</v>
      </c>
      <c r="P9" s="14">
        <f t="shared" ref="P9:P72" si="15">M9-O9</f>
        <v>164.87158956798234</v>
      </c>
      <c r="Q9" s="14">
        <v>15.607485284482456</v>
      </c>
      <c r="R9" s="14">
        <v>7.0101523900234399</v>
      </c>
      <c r="S9" s="14">
        <f t="shared" si="0"/>
        <v>28.571428571428573</v>
      </c>
      <c r="T9" s="14">
        <v>13.589794070312738</v>
      </c>
      <c r="U9" s="14">
        <f t="shared" ref="U9:U72" si="16">M9*0.7</f>
        <v>146.31328556653426</v>
      </c>
      <c r="V9" s="14">
        <f t="shared" ref="V9:V72" si="17">U9/K9</f>
        <v>25.90445915705946</v>
      </c>
      <c r="W9" s="14">
        <v>13.883588087048542</v>
      </c>
      <c r="X9" s="16">
        <f t="shared" ref="X9:X72" si="18">Q9/V9</f>
        <v>0.60250187775988051</v>
      </c>
      <c r="Y9" s="16">
        <f>K9/W9</f>
        <v>0.40682488782883824</v>
      </c>
      <c r="Z9" s="16">
        <f t="shared" ref="Z9:Z72" si="19">O9/U9</f>
        <v>0.3017319284563903</v>
      </c>
      <c r="AA9" s="16">
        <f t="shared" ref="AA9:AA72" si="20">K9/V9</f>
        <v>0.21803926234978269</v>
      </c>
      <c r="AB9" s="16">
        <f t="shared" si="1"/>
        <v>0.13669298671380892</v>
      </c>
      <c r="AC9" s="14">
        <f>U9/K9</f>
        <v>25.90445915705946</v>
      </c>
      <c r="AD9" s="16">
        <f t="shared" si="2"/>
        <v>0.18943096411565599</v>
      </c>
      <c r="AE9" s="16">
        <f t="shared" si="3"/>
        <v>7.4670182251970502E-2</v>
      </c>
      <c r="AF9" s="23" t="str">
        <f t="shared" ref="AF9:AF72" si="21">IF(B9=$AF$6,$AF$5, "")</f>
        <v/>
      </c>
      <c r="AG9" s="23">
        <f t="shared" si="4"/>
        <v>1000</v>
      </c>
      <c r="AH9" s="23" t="str">
        <f t="shared" si="5"/>
        <v/>
      </c>
      <c r="AI9" s="23" t="str">
        <f t="shared" ref="AI9:AI72" si="22">IF(B9=$AI$6,$AI$5,"")</f>
        <v/>
      </c>
      <c r="AJ9" s="23" t="str">
        <f t="shared" si="6"/>
        <v/>
      </c>
      <c r="AK9" s="23" t="str">
        <f t="shared" si="7"/>
        <v/>
      </c>
      <c r="AL9" s="23" t="str">
        <f t="shared" si="8"/>
        <v/>
      </c>
      <c r="AM9" s="23" t="str">
        <f t="shared" si="9"/>
        <v/>
      </c>
      <c r="AN9" s="19">
        <f t="shared" si="10"/>
        <v>1000</v>
      </c>
      <c r="AO9" s="26">
        <f t="shared" si="11"/>
        <v>-835.12841043201763</v>
      </c>
    </row>
    <row r="10" spans="1:43" x14ac:dyDescent="0.2">
      <c r="A10" s="12">
        <v>44564</v>
      </c>
      <c r="B10" s="6">
        <v>3</v>
      </c>
      <c r="C10" s="6">
        <v>3</v>
      </c>
      <c r="D10" s="6">
        <v>2</v>
      </c>
      <c r="E10" s="6" t="s">
        <v>13</v>
      </c>
      <c r="F10" s="6">
        <v>1</v>
      </c>
      <c r="G10" s="6">
        <v>1</v>
      </c>
      <c r="H10" s="6" t="s">
        <v>11</v>
      </c>
      <c r="I10" s="6">
        <v>1</v>
      </c>
      <c r="J10" s="14">
        <v>10.949240508270515</v>
      </c>
      <c r="K10" s="14">
        <f t="shared" si="12"/>
        <v>10.949240508270515</v>
      </c>
      <c r="L10" s="14">
        <v>8.9188617105274499</v>
      </c>
      <c r="M10" s="14">
        <f t="shared" si="13"/>
        <v>97.654761928570011</v>
      </c>
      <c r="N10" s="16">
        <v>0.50933335067008101</v>
      </c>
      <c r="O10" s="14">
        <f t="shared" si="14"/>
        <v>49.738827101967622</v>
      </c>
      <c r="P10" s="14">
        <f t="shared" si="15"/>
        <v>47.915934826602388</v>
      </c>
      <c r="Q10" s="14">
        <v>36.952445857667207</v>
      </c>
      <c r="R10" s="14">
        <v>7.7018362333785992</v>
      </c>
      <c r="S10" s="14">
        <f t="shared" si="0"/>
        <v>12.987012987012987</v>
      </c>
      <c r="T10" s="14">
        <v>30.385295086636653</v>
      </c>
      <c r="U10" s="14">
        <f t="shared" si="16"/>
        <v>68.358333349999</v>
      </c>
      <c r="V10" s="14">
        <f t="shared" si="17"/>
        <v>6.2432031973692146</v>
      </c>
      <c r="W10" s="14">
        <v>25.259285927410474</v>
      </c>
      <c r="X10" s="16">
        <f t="shared" si="18"/>
        <v>5.9188279941358264</v>
      </c>
      <c r="Y10" s="16">
        <f t="shared" ref="Y10:Y73" si="23">K10/W10</f>
        <v>0.43347387332073356</v>
      </c>
      <c r="Z10" s="16">
        <f t="shared" si="19"/>
        <v>0.72761907238583001</v>
      </c>
      <c r="AA10" s="16">
        <f t="shared" si="20"/>
        <v>1.753785702968045</v>
      </c>
      <c r="AB10" s="16">
        <f t="shared" si="1"/>
        <v>0.13298903945423976</v>
      </c>
      <c r="AC10" s="14">
        <f t="shared" ref="AC10:AC73" si="24">U10/K10</f>
        <v>6.2432031973692146</v>
      </c>
      <c r="AD10" s="16">
        <f t="shared" si="2"/>
        <v>0.86354475305830514</v>
      </c>
      <c r="AE10" s="16">
        <f t="shared" si="3"/>
        <v>0.37839881156738914</v>
      </c>
      <c r="AF10" s="23" t="str">
        <f t="shared" si="21"/>
        <v/>
      </c>
      <c r="AG10" s="23" t="str">
        <f t="shared" si="4"/>
        <v/>
      </c>
      <c r="AH10" s="23" t="str">
        <f t="shared" si="5"/>
        <v/>
      </c>
      <c r="AI10" s="23" t="str">
        <f t="shared" si="22"/>
        <v/>
      </c>
      <c r="AJ10" s="23" t="str">
        <f t="shared" si="6"/>
        <v/>
      </c>
      <c r="AK10" s="23" t="str">
        <f t="shared" si="7"/>
        <v/>
      </c>
      <c r="AL10" s="23" t="str">
        <f t="shared" si="8"/>
        <v/>
      </c>
      <c r="AM10" s="23" t="str">
        <f t="shared" si="9"/>
        <v/>
      </c>
      <c r="AN10" s="19">
        <f t="shared" si="10"/>
        <v>0</v>
      </c>
      <c r="AO10" s="26">
        <f t="shared" si="11"/>
        <v>47.915934826602388</v>
      </c>
    </row>
    <row r="11" spans="1:43" x14ac:dyDescent="0.2">
      <c r="A11" s="12">
        <v>44565</v>
      </c>
      <c r="B11" s="6">
        <v>4</v>
      </c>
      <c r="C11" s="6">
        <v>4</v>
      </c>
      <c r="D11" s="6">
        <v>3</v>
      </c>
      <c r="E11" s="6" t="s">
        <v>14</v>
      </c>
      <c r="F11" s="6">
        <v>1</v>
      </c>
      <c r="G11" s="6">
        <v>1</v>
      </c>
      <c r="H11" s="6" t="s">
        <v>11</v>
      </c>
      <c r="I11" s="6">
        <v>1</v>
      </c>
      <c r="J11" s="14">
        <v>12.174664145182406</v>
      </c>
      <c r="K11" s="14">
        <f t="shared" si="12"/>
        <v>12.174664145182406</v>
      </c>
      <c r="L11" s="14">
        <v>27.250855944986942</v>
      </c>
      <c r="M11" s="14">
        <f t="shared" si="13"/>
        <v>331.77001879896335</v>
      </c>
      <c r="N11" s="16">
        <v>0.36085715250712685</v>
      </c>
      <c r="O11" s="14">
        <f t="shared" si="14"/>
        <v>119.72158427102985</v>
      </c>
      <c r="P11" s="14">
        <f t="shared" si="15"/>
        <v>212.04843452793349</v>
      </c>
      <c r="Q11" s="14">
        <v>26.314823457908481</v>
      </c>
      <c r="R11" s="14">
        <v>5.9731019243932932</v>
      </c>
      <c r="S11" s="14">
        <f t="shared" si="0"/>
        <v>12.987012987012987</v>
      </c>
      <c r="T11" s="14">
        <v>25.204278126226324</v>
      </c>
      <c r="U11" s="14">
        <f t="shared" si="16"/>
        <v>232.23901315927432</v>
      </c>
      <c r="V11" s="14">
        <f t="shared" si="17"/>
        <v>19.075599161490857</v>
      </c>
      <c r="W11" s="14">
        <v>35.670770616189259</v>
      </c>
      <c r="X11" s="16">
        <f t="shared" si="18"/>
        <v>1.3795018041180018</v>
      </c>
      <c r="Y11" s="16">
        <f t="shared" si="23"/>
        <v>0.34130645160934392</v>
      </c>
      <c r="Z11" s="16">
        <f t="shared" si="19"/>
        <v>0.51551021786732409</v>
      </c>
      <c r="AA11" s="16">
        <f t="shared" si="20"/>
        <v>0.63823233242184008</v>
      </c>
      <c r="AB11" s="16">
        <f t="shared" si="1"/>
        <v>3.914462504486426E-2</v>
      </c>
      <c r="AC11" s="14">
        <f t="shared" si="24"/>
        <v>19.075599161490857</v>
      </c>
      <c r="AD11" s="16">
        <f t="shared" si="2"/>
        <v>0.21918951597159292</v>
      </c>
      <c r="AE11" s="16">
        <f t="shared" si="3"/>
        <v>7.9316460098385194E-2</v>
      </c>
      <c r="AF11" s="23" t="str">
        <f t="shared" si="21"/>
        <v/>
      </c>
      <c r="AG11" s="23" t="str">
        <f t="shared" si="4"/>
        <v/>
      </c>
      <c r="AH11" s="23" t="str">
        <f t="shared" si="5"/>
        <v/>
      </c>
      <c r="AI11" s="23" t="str">
        <f t="shared" si="22"/>
        <v/>
      </c>
      <c r="AJ11" s="23" t="str">
        <f t="shared" si="6"/>
        <v/>
      </c>
      <c r="AK11" s="23" t="str">
        <f t="shared" si="7"/>
        <v/>
      </c>
      <c r="AL11" s="23" t="str">
        <f t="shared" si="8"/>
        <v/>
      </c>
      <c r="AM11" s="23" t="str">
        <f t="shared" si="9"/>
        <v/>
      </c>
      <c r="AN11" s="19">
        <f t="shared" si="10"/>
        <v>0</v>
      </c>
      <c r="AO11" s="26">
        <f t="shared" si="11"/>
        <v>212.04843452793349</v>
      </c>
    </row>
    <row r="12" spans="1:43" x14ac:dyDescent="0.2">
      <c r="A12" s="12">
        <v>44566</v>
      </c>
      <c r="B12" s="6">
        <v>5</v>
      </c>
      <c r="C12" s="6">
        <v>5</v>
      </c>
      <c r="D12" s="6">
        <v>4</v>
      </c>
      <c r="E12" s="6" t="s">
        <v>15</v>
      </c>
      <c r="F12" s="6">
        <v>1</v>
      </c>
      <c r="G12" s="6">
        <v>1</v>
      </c>
      <c r="H12" s="6" t="s">
        <v>11</v>
      </c>
      <c r="I12" s="6">
        <v>1</v>
      </c>
      <c r="J12" s="14">
        <v>7.8061021468449603</v>
      </c>
      <c r="K12" s="14">
        <f t="shared" si="12"/>
        <v>7.8061021468449603</v>
      </c>
      <c r="L12" s="14">
        <v>38.129850402935503</v>
      </c>
      <c r="M12" s="14">
        <f t="shared" si="13"/>
        <v>297.64550708923201</v>
      </c>
      <c r="N12" s="16">
        <v>0.34623885142589333</v>
      </c>
      <c r="O12" s="14">
        <f t="shared" si="14"/>
        <v>103.05643850665328</v>
      </c>
      <c r="P12" s="14">
        <f t="shared" si="15"/>
        <v>194.58906858257873</v>
      </c>
      <c r="Q12" s="14">
        <v>32.519419058218013</v>
      </c>
      <c r="R12" s="14">
        <v>1.4195718067607401</v>
      </c>
      <c r="S12" s="14">
        <f t="shared" si="0"/>
        <v>12.987012987012987</v>
      </c>
      <c r="T12" s="14">
        <v>27.172086192937858</v>
      </c>
      <c r="U12" s="14">
        <f t="shared" si="16"/>
        <v>208.3518549624624</v>
      </c>
      <c r="V12" s="14">
        <f t="shared" si="17"/>
        <v>26.69089528205485</v>
      </c>
      <c r="W12" s="14">
        <v>24.852600992513146</v>
      </c>
      <c r="X12" s="16">
        <f t="shared" si="18"/>
        <v>1.218371235380848</v>
      </c>
      <c r="Y12" s="16">
        <f t="shared" si="23"/>
        <v>0.31409598332168737</v>
      </c>
      <c r="Z12" s="16">
        <f t="shared" si="19"/>
        <v>0.49462693060841906</v>
      </c>
      <c r="AA12" s="16">
        <f t="shared" si="20"/>
        <v>0.2924631064021766</v>
      </c>
      <c r="AB12" s="16">
        <f t="shared" si="1"/>
        <v>4.3632484541819651E-2</v>
      </c>
      <c r="AC12" s="14">
        <f t="shared" si="24"/>
        <v>26.69089528205485</v>
      </c>
      <c r="AD12" s="16">
        <f t="shared" si="2"/>
        <v>3.722993381194728E-2</v>
      </c>
      <c r="AE12" s="16">
        <f t="shared" si="3"/>
        <v>0.10925553480123226</v>
      </c>
      <c r="AF12" s="23" t="str">
        <f t="shared" si="21"/>
        <v/>
      </c>
      <c r="AG12" s="23" t="str">
        <f t="shared" si="4"/>
        <v/>
      </c>
      <c r="AH12" s="23" t="str">
        <f t="shared" si="5"/>
        <v/>
      </c>
      <c r="AI12" s="23" t="str">
        <f t="shared" si="22"/>
        <v/>
      </c>
      <c r="AJ12" s="23" t="str">
        <f t="shared" si="6"/>
        <v/>
      </c>
      <c r="AK12" s="23" t="str">
        <f t="shared" si="7"/>
        <v/>
      </c>
      <c r="AL12" s="23" t="str">
        <f t="shared" si="8"/>
        <v/>
      </c>
      <c r="AM12" s="23">
        <f t="shared" si="9"/>
        <v>1000</v>
      </c>
      <c r="AN12" s="19">
        <f t="shared" si="10"/>
        <v>1000</v>
      </c>
      <c r="AO12" s="26">
        <f t="shared" si="11"/>
        <v>-805.41093141742124</v>
      </c>
    </row>
    <row r="13" spans="1:43" x14ac:dyDescent="0.2">
      <c r="A13" s="12">
        <v>44567</v>
      </c>
      <c r="B13" s="6">
        <v>6</v>
      </c>
      <c r="C13" s="6">
        <v>6</v>
      </c>
      <c r="D13" s="6">
        <v>5</v>
      </c>
      <c r="E13" s="6" t="s">
        <v>16</v>
      </c>
      <c r="F13" s="6">
        <v>1</v>
      </c>
      <c r="G13" s="6">
        <v>1</v>
      </c>
      <c r="H13" s="6" t="s">
        <v>11</v>
      </c>
      <c r="I13" s="6">
        <v>1</v>
      </c>
      <c r="J13" s="14">
        <v>9.2683236905603508</v>
      </c>
      <c r="K13" s="14">
        <f t="shared" si="12"/>
        <v>9.2683236905603508</v>
      </c>
      <c r="L13" s="14">
        <v>29.78046757291348</v>
      </c>
      <c r="M13" s="14">
        <f t="shared" si="13"/>
        <v>276.01501312199832</v>
      </c>
      <c r="N13" s="16">
        <v>0.40558506565508257</v>
      </c>
      <c r="O13" s="14">
        <f t="shared" si="14"/>
        <v>111.94756721887417</v>
      </c>
      <c r="P13" s="14">
        <f t="shared" si="15"/>
        <v>164.06744590312417</v>
      </c>
      <c r="Q13" s="14">
        <v>38.666183786218703</v>
      </c>
      <c r="R13" s="14">
        <v>8.9853592925932908</v>
      </c>
      <c r="S13" s="14">
        <f t="shared" si="0"/>
        <v>12.987012987012987</v>
      </c>
      <c r="T13" s="14">
        <v>34.524216400349218</v>
      </c>
      <c r="U13" s="14">
        <f t="shared" si="16"/>
        <v>193.21050918539882</v>
      </c>
      <c r="V13" s="14">
        <f t="shared" si="17"/>
        <v>20.846327301039437</v>
      </c>
      <c r="W13" s="14">
        <v>34.428735526848072</v>
      </c>
      <c r="X13" s="16">
        <f t="shared" si="18"/>
        <v>1.854819951152294</v>
      </c>
      <c r="Y13" s="16">
        <f t="shared" si="23"/>
        <v>0.26920313943370838</v>
      </c>
      <c r="Z13" s="16">
        <f t="shared" si="19"/>
        <v>0.57940723665011795</v>
      </c>
      <c r="AA13" s="16">
        <f t="shared" si="20"/>
        <v>0.4446022340874507</v>
      </c>
      <c r="AB13" s="16">
        <f t="shared" si="1"/>
        <v>4.705183547850255E-2</v>
      </c>
      <c r="AC13" s="14">
        <f t="shared" si="24"/>
        <v>20.846327301039437</v>
      </c>
      <c r="AD13" s="16">
        <f t="shared" si="2"/>
        <v>0.3017198863850557</v>
      </c>
      <c r="AE13" s="16">
        <f t="shared" si="3"/>
        <v>0.14008724869298431</v>
      </c>
      <c r="AF13" s="23" t="str">
        <f t="shared" si="21"/>
        <v/>
      </c>
      <c r="AG13" s="23" t="str">
        <f t="shared" si="4"/>
        <v/>
      </c>
      <c r="AH13" s="23" t="str">
        <f t="shared" si="5"/>
        <v/>
      </c>
      <c r="AI13" s="23" t="str">
        <f t="shared" si="22"/>
        <v/>
      </c>
      <c r="AJ13" s="23" t="str">
        <f t="shared" si="6"/>
        <v/>
      </c>
      <c r="AK13" s="23" t="str">
        <f t="shared" si="7"/>
        <v/>
      </c>
      <c r="AL13" s="23" t="str">
        <f t="shared" si="8"/>
        <v/>
      </c>
      <c r="AM13" s="23" t="str">
        <f t="shared" si="9"/>
        <v/>
      </c>
      <c r="AN13" s="19">
        <f t="shared" si="10"/>
        <v>0</v>
      </c>
      <c r="AO13" s="26">
        <f t="shared" si="11"/>
        <v>164.06744590312417</v>
      </c>
    </row>
    <row r="14" spans="1:43" x14ac:dyDescent="0.2">
      <c r="A14" s="12">
        <v>44568</v>
      </c>
      <c r="B14" s="6">
        <v>7</v>
      </c>
      <c r="C14" s="6">
        <v>7</v>
      </c>
      <c r="D14" s="6">
        <v>6</v>
      </c>
      <c r="E14" s="6" t="s">
        <v>17</v>
      </c>
      <c r="F14" s="6">
        <v>1</v>
      </c>
      <c r="G14" s="6">
        <v>1</v>
      </c>
      <c r="H14" s="6" t="s">
        <v>11</v>
      </c>
      <c r="I14" s="6">
        <v>1</v>
      </c>
      <c r="J14" s="14">
        <v>5.7375578106885738</v>
      </c>
      <c r="K14" s="14">
        <f t="shared" si="12"/>
        <v>5.7375578106885738</v>
      </c>
      <c r="L14" s="14">
        <v>43.485500934790231</v>
      </c>
      <c r="M14" s="14">
        <f t="shared" si="13"/>
        <v>249.50057554011096</v>
      </c>
      <c r="N14" s="16">
        <v>0.39389748487976423</v>
      </c>
      <c r="O14" s="14">
        <f t="shared" si="14"/>
        <v>98.277649181303332</v>
      </c>
      <c r="P14" s="14">
        <f t="shared" si="15"/>
        <v>151.22292635880763</v>
      </c>
      <c r="Q14" s="14">
        <v>29.232183682861567</v>
      </c>
      <c r="R14" s="14">
        <v>7.089705945721354</v>
      </c>
      <c r="S14" s="14">
        <f t="shared" si="0"/>
        <v>12.987012987012987</v>
      </c>
      <c r="T14" s="14">
        <v>31.12645652091749</v>
      </c>
      <c r="U14" s="14">
        <f t="shared" si="16"/>
        <v>174.65040287807767</v>
      </c>
      <c r="V14" s="14">
        <f t="shared" si="17"/>
        <v>30.439850654353162</v>
      </c>
      <c r="W14" s="14">
        <v>35.18849497431804</v>
      </c>
      <c r="X14" s="16">
        <f t="shared" si="18"/>
        <v>0.96032612034780507</v>
      </c>
      <c r="Y14" s="16">
        <f t="shared" si="23"/>
        <v>0.16305209458023343</v>
      </c>
      <c r="Z14" s="16">
        <f t="shared" si="19"/>
        <v>0.56271069268537743</v>
      </c>
      <c r="AA14" s="16">
        <f t="shared" si="20"/>
        <v>0.18848836927089369</v>
      </c>
      <c r="AB14" s="16">
        <f t="shared" si="1"/>
        <v>5.2052036188289796E-2</v>
      </c>
      <c r="AC14" s="14">
        <f t="shared" si="24"/>
        <v>30.439850654353162</v>
      </c>
      <c r="AD14" s="16">
        <f t="shared" si="2"/>
        <v>0.16303608773767836</v>
      </c>
      <c r="AE14" s="16">
        <f t="shared" si="3"/>
        <v>0.11716279058507445</v>
      </c>
      <c r="AF14" s="23" t="str">
        <f t="shared" si="21"/>
        <v/>
      </c>
      <c r="AG14" s="23" t="str">
        <f t="shared" si="4"/>
        <v/>
      </c>
      <c r="AH14" s="23" t="str">
        <f t="shared" si="5"/>
        <v/>
      </c>
      <c r="AI14" s="23" t="str">
        <f t="shared" si="22"/>
        <v/>
      </c>
      <c r="AJ14" s="23" t="str">
        <f t="shared" si="6"/>
        <v/>
      </c>
      <c r="AK14" s="23" t="str">
        <f t="shared" si="7"/>
        <v/>
      </c>
      <c r="AL14" s="23" t="str">
        <f t="shared" si="8"/>
        <v/>
      </c>
      <c r="AM14" s="23" t="str">
        <f t="shared" si="9"/>
        <v/>
      </c>
      <c r="AN14" s="19">
        <f t="shared" si="10"/>
        <v>0</v>
      </c>
      <c r="AO14" s="26">
        <f t="shared" si="11"/>
        <v>151.22292635880763</v>
      </c>
    </row>
    <row r="15" spans="1:43" x14ac:dyDescent="0.2">
      <c r="A15" s="12">
        <v>44569</v>
      </c>
      <c r="B15" s="6">
        <v>8</v>
      </c>
      <c r="C15" s="6">
        <v>8</v>
      </c>
      <c r="D15" s="6">
        <v>7</v>
      </c>
      <c r="E15" s="6" t="s">
        <v>10</v>
      </c>
      <c r="F15" s="6">
        <v>1</v>
      </c>
      <c r="G15" s="6">
        <v>1</v>
      </c>
      <c r="H15" s="6" t="s">
        <v>11</v>
      </c>
      <c r="I15" s="6">
        <v>1</v>
      </c>
      <c r="J15" s="14">
        <v>9.6976876586493361</v>
      </c>
      <c r="K15" s="14">
        <f t="shared" si="12"/>
        <v>9.6976876586493361</v>
      </c>
      <c r="L15" s="14">
        <v>30.347754905621983</v>
      </c>
      <c r="M15" s="14">
        <f t="shared" si="13"/>
        <v>294.30304821596513</v>
      </c>
      <c r="N15" s="16">
        <v>0.33384866353712683</v>
      </c>
      <c r="O15" s="14">
        <f t="shared" si="14"/>
        <v>98.25267932180256</v>
      </c>
      <c r="P15" s="14">
        <f t="shared" si="15"/>
        <v>196.05036889416257</v>
      </c>
      <c r="Q15" s="14">
        <v>23.267167856627182</v>
      </c>
      <c r="R15" s="14">
        <v>2.1453246108884398</v>
      </c>
      <c r="S15" s="14">
        <f t="shared" si="0"/>
        <v>12.987012987012987</v>
      </c>
      <c r="T15" s="14">
        <v>30.204551972580045</v>
      </c>
      <c r="U15" s="14">
        <f t="shared" si="16"/>
        <v>206.01213375117558</v>
      </c>
      <c r="V15" s="14">
        <f t="shared" si="17"/>
        <v>21.243428433935385</v>
      </c>
      <c r="W15" s="14">
        <v>28.435653478050376</v>
      </c>
      <c r="X15" s="16">
        <f t="shared" si="18"/>
        <v>1.0952642568493778</v>
      </c>
      <c r="Y15" s="16">
        <f t="shared" si="23"/>
        <v>0.34103973260663872</v>
      </c>
      <c r="Z15" s="16">
        <f t="shared" si="19"/>
        <v>0.47692666219589552</v>
      </c>
      <c r="AA15" s="16">
        <f t="shared" si="20"/>
        <v>0.45650294578429407</v>
      </c>
      <c r="AB15" s="16">
        <f t="shared" si="1"/>
        <v>4.4128027438855716E-2</v>
      </c>
      <c r="AC15" s="14">
        <f t="shared" si="24"/>
        <v>21.243428433935385</v>
      </c>
      <c r="AD15" s="16">
        <f t="shared" si="2"/>
        <v>7.0691377914450404E-2</v>
      </c>
      <c r="AE15" s="16">
        <f t="shared" si="3"/>
        <v>7.9058535063331367E-2</v>
      </c>
      <c r="AF15" s="23" t="str">
        <f t="shared" si="21"/>
        <v/>
      </c>
      <c r="AG15" s="23" t="str">
        <f t="shared" si="4"/>
        <v/>
      </c>
      <c r="AH15" s="23" t="str">
        <f t="shared" si="5"/>
        <v/>
      </c>
      <c r="AI15" s="23" t="str">
        <f t="shared" si="22"/>
        <v/>
      </c>
      <c r="AJ15" s="23" t="str">
        <f t="shared" si="6"/>
        <v/>
      </c>
      <c r="AK15" s="23" t="str">
        <f t="shared" si="7"/>
        <v/>
      </c>
      <c r="AL15" s="23" t="str">
        <f t="shared" si="8"/>
        <v/>
      </c>
      <c r="AM15" s="23" t="str">
        <f t="shared" si="9"/>
        <v/>
      </c>
      <c r="AN15" s="19">
        <f t="shared" si="10"/>
        <v>0</v>
      </c>
      <c r="AO15" s="26">
        <f t="shared" si="11"/>
        <v>196.05036889416257</v>
      </c>
    </row>
    <row r="16" spans="1:43" x14ac:dyDescent="0.2">
      <c r="A16" s="12">
        <v>44570</v>
      </c>
      <c r="B16" s="6">
        <v>9</v>
      </c>
      <c r="C16" s="6">
        <v>9</v>
      </c>
      <c r="D16" s="6">
        <v>1</v>
      </c>
      <c r="E16" s="6" t="s">
        <v>12</v>
      </c>
      <c r="F16" s="6">
        <v>2</v>
      </c>
      <c r="G16" s="6">
        <v>1</v>
      </c>
      <c r="H16" s="6" t="s">
        <v>11</v>
      </c>
      <c r="I16" s="6">
        <v>1</v>
      </c>
      <c r="J16" s="14">
        <v>5.587144921435371</v>
      </c>
      <c r="K16" s="14">
        <f t="shared" si="12"/>
        <v>5.587144921435371</v>
      </c>
      <c r="L16" s="14">
        <v>21.602629506476681</v>
      </c>
      <c r="M16" s="14">
        <f t="shared" si="13"/>
        <v>120.69702173676109</v>
      </c>
      <c r="N16" s="16">
        <v>0.27132474801241857</v>
      </c>
      <c r="O16" s="14">
        <f t="shared" si="14"/>
        <v>32.748089008576109</v>
      </c>
      <c r="P16" s="14">
        <f t="shared" si="15"/>
        <v>87.948932728184985</v>
      </c>
      <c r="Q16" s="14">
        <v>16.590911053998049</v>
      </c>
      <c r="R16" s="14">
        <v>3.6238352287261719</v>
      </c>
      <c r="S16" s="14">
        <f t="shared" si="0"/>
        <v>28.571428571428573</v>
      </c>
      <c r="T16" s="14">
        <v>14.68030157011073</v>
      </c>
      <c r="U16" s="14">
        <f t="shared" si="16"/>
        <v>84.487915215732755</v>
      </c>
      <c r="V16" s="14">
        <f t="shared" si="17"/>
        <v>15.121840654533676</v>
      </c>
      <c r="W16" s="14">
        <v>12.701462202110578</v>
      </c>
      <c r="X16" s="16">
        <f t="shared" si="18"/>
        <v>1.0971489141451793</v>
      </c>
      <c r="Y16" s="16">
        <f t="shared" si="23"/>
        <v>0.43988202559127132</v>
      </c>
      <c r="Z16" s="16">
        <f t="shared" si="19"/>
        <v>0.3876067828748837</v>
      </c>
      <c r="AA16" s="16">
        <f t="shared" si="20"/>
        <v>0.36947518817825198</v>
      </c>
      <c r="AB16" s="16">
        <f t="shared" si="1"/>
        <v>0.23672024512537312</v>
      </c>
      <c r="AC16" s="14">
        <f t="shared" si="24"/>
        <v>15.121840654533676</v>
      </c>
      <c r="AD16" s="16">
        <f t="shared" si="2"/>
        <v>0.16774972822820991</v>
      </c>
      <c r="AE16" s="16">
        <f t="shared" si="3"/>
        <v>0.13745915860444882</v>
      </c>
      <c r="AF16" s="23" t="str">
        <f t="shared" si="21"/>
        <v/>
      </c>
      <c r="AG16" s="23">
        <f t="shared" si="4"/>
        <v>1000</v>
      </c>
      <c r="AH16" s="23" t="str">
        <f t="shared" si="5"/>
        <v/>
      </c>
      <c r="AI16" s="23" t="str">
        <f t="shared" si="22"/>
        <v/>
      </c>
      <c r="AJ16" s="23" t="str">
        <f t="shared" si="6"/>
        <v/>
      </c>
      <c r="AK16" s="23" t="str">
        <f t="shared" si="7"/>
        <v/>
      </c>
      <c r="AL16" s="23" t="str">
        <f t="shared" si="8"/>
        <v/>
      </c>
      <c r="AM16" s="23" t="str">
        <f t="shared" si="9"/>
        <v/>
      </c>
      <c r="AN16" s="19">
        <f t="shared" si="10"/>
        <v>1000</v>
      </c>
      <c r="AO16" s="26">
        <f t="shared" si="11"/>
        <v>-912.05106727181499</v>
      </c>
    </row>
    <row r="17" spans="1:41" x14ac:dyDescent="0.2">
      <c r="A17" s="12">
        <v>44571</v>
      </c>
      <c r="B17" s="6">
        <v>10</v>
      </c>
      <c r="C17" s="6">
        <v>10</v>
      </c>
      <c r="D17" s="6">
        <v>2</v>
      </c>
      <c r="E17" s="6" t="s">
        <v>13</v>
      </c>
      <c r="F17" s="6">
        <v>2</v>
      </c>
      <c r="G17" s="6">
        <v>1</v>
      </c>
      <c r="H17" s="6" t="s">
        <v>11</v>
      </c>
      <c r="I17" s="6">
        <v>1</v>
      </c>
      <c r="J17" s="14">
        <v>8.7214496152882059</v>
      </c>
      <c r="K17" s="14">
        <f t="shared" si="12"/>
        <v>8.7214496152882059</v>
      </c>
      <c r="L17" s="14">
        <v>50.462988296712588</v>
      </c>
      <c r="M17" s="14">
        <f t="shared" si="13"/>
        <v>440.11040986665722</v>
      </c>
      <c r="N17" s="16">
        <v>0.29690507218814188</v>
      </c>
      <c r="O17" s="14">
        <f t="shared" si="14"/>
        <v>130.67101301221257</v>
      </c>
      <c r="P17" s="14">
        <f t="shared" si="15"/>
        <v>309.43939685444468</v>
      </c>
      <c r="Q17" s="14">
        <v>37.404430376417679</v>
      </c>
      <c r="R17" s="14">
        <v>7.6271942413353644</v>
      </c>
      <c r="S17" s="14">
        <f t="shared" si="0"/>
        <v>12.987012987012987</v>
      </c>
      <c r="T17" s="14">
        <v>25.735659509561092</v>
      </c>
      <c r="U17" s="14">
        <f t="shared" si="16"/>
        <v>308.07728690666005</v>
      </c>
      <c r="V17" s="14">
        <f t="shared" si="17"/>
        <v>35.324091807698807</v>
      </c>
      <c r="W17" s="14">
        <v>34.111473786011146</v>
      </c>
      <c r="X17" s="16">
        <f t="shared" si="18"/>
        <v>1.0588929102563782</v>
      </c>
      <c r="Y17" s="16">
        <f t="shared" si="23"/>
        <v>0.25567495764034698</v>
      </c>
      <c r="Z17" s="16">
        <f t="shared" si="19"/>
        <v>0.42415010312591694</v>
      </c>
      <c r="AA17" s="16">
        <f t="shared" si="20"/>
        <v>0.24689805650961946</v>
      </c>
      <c r="AB17" s="16">
        <f t="shared" si="1"/>
        <v>2.9508533985705399E-2</v>
      </c>
      <c r="AC17" s="14">
        <f t="shared" si="24"/>
        <v>35.324091807698807</v>
      </c>
      <c r="AD17" s="16">
        <f t="shared" si="2"/>
        <v>0.15114432376634021</v>
      </c>
      <c r="AE17" s="16">
        <f t="shared" si="3"/>
        <v>8.4988742683342375E-2</v>
      </c>
      <c r="AF17" s="23" t="str">
        <f t="shared" si="21"/>
        <v/>
      </c>
      <c r="AG17" s="23" t="str">
        <f t="shared" si="4"/>
        <v/>
      </c>
      <c r="AH17" s="23" t="str">
        <f t="shared" si="5"/>
        <v/>
      </c>
      <c r="AI17" s="23">
        <f t="shared" si="22"/>
        <v>300</v>
      </c>
      <c r="AJ17" s="23" t="str">
        <f t="shared" si="6"/>
        <v/>
      </c>
      <c r="AK17" s="23" t="str">
        <f t="shared" si="7"/>
        <v/>
      </c>
      <c r="AL17" s="23" t="str">
        <f t="shared" si="8"/>
        <v/>
      </c>
      <c r="AM17" s="23" t="str">
        <f t="shared" si="9"/>
        <v/>
      </c>
      <c r="AN17" s="19">
        <f t="shared" si="10"/>
        <v>300</v>
      </c>
      <c r="AO17" s="26">
        <f t="shared" si="11"/>
        <v>9.4393968544446807</v>
      </c>
    </row>
    <row r="18" spans="1:41" x14ac:dyDescent="0.2">
      <c r="A18" s="12">
        <v>44572</v>
      </c>
      <c r="B18" s="6">
        <v>11</v>
      </c>
      <c r="C18" s="6">
        <v>11</v>
      </c>
      <c r="D18" s="6">
        <v>3</v>
      </c>
      <c r="E18" s="6" t="s">
        <v>14</v>
      </c>
      <c r="F18" s="6">
        <v>2</v>
      </c>
      <c r="G18" s="6">
        <v>1</v>
      </c>
      <c r="H18" s="6" t="s">
        <v>11</v>
      </c>
      <c r="I18" s="6">
        <v>1</v>
      </c>
      <c r="J18" s="14">
        <v>18.144643313499966</v>
      </c>
      <c r="K18" s="14">
        <f t="shared" si="12"/>
        <v>18.144643313499966</v>
      </c>
      <c r="L18" s="14">
        <v>43.016572007118498</v>
      </c>
      <c r="M18" s="14">
        <f t="shared" si="13"/>
        <v>780.5203556386524</v>
      </c>
      <c r="N18" s="16">
        <v>0.5223016054235069</v>
      </c>
      <c r="O18" s="14">
        <f t="shared" si="14"/>
        <v>407.66703481579469</v>
      </c>
      <c r="P18" s="14">
        <f t="shared" si="15"/>
        <v>372.85332082285771</v>
      </c>
      <c r="Q18" s="14">
        <v>46.794366386575796</v>
      </c>
      <c r="R18" s="14">
        <v>9.326060703337113</v>
      </c>
      <c r="S18" s="14">
        <f t="shared" si="0"/>
        <v>12.987012987012987</v>
      </c>
      <c r="T18" s="14">
        <v>31.991610141995576</v>
      </c>
      <c r="U18" s="14">
        <f t="shared" si="16"/>
        <v>546.36424894705669</v>
      </c>
      <c r="V18" s="14">
        <f t="shared" si="17"/>
        <v>30.111600404982948</v>
      </c>
      <c r="W18" s="14">
        <v>30.815820206074868</v>
      </c>
      <c r="X18" s="16">
        <f t="shared" si="18"/>
        <v>1.5540311958587276</v>
      </c>
      <c r="Y18" s="16">
        <f t="shared" si="23"/>
        <v>0.58880935805573742</v>
      </c>
      <c r="Z18" s="16">
        <f t="shared" si="19"/>
        <v>0.74614515060500985</v>
      </c>
      <c r="AA18" s="16">
        <f t="shared" si="20"/>
        <v>0.60257983864907239</v>
      </c>
      <c r="AB18" s="16">
        <f t="shared" si="1"/>
        <v>1.6638916452584383E-2</v>
      </c>
      <c r="AC18" s="14">
        <f t="shared" si="24"/>
        <v>30.111600404982948</v>
      </c>
      <c r="AD18" s="16">
        <f t="shared" si="2"/>
        <v>0.21680157827996641</v>
      </c>
      <c r="AE18" s="16">
        <f t="shared" si="3"/>
        <v>5.9952781562355034E-2</v>
      </c>
      <c r="AF18" s="23" t="str">
        <f t="shared" si="21"/>
        <v/>
      </c>
      <c r="AG18" s="23" t="str">
        <f t="shared" si="4"/>
        <v/>
      </c>
      <c r="AH18" s="23" t="str">
        <f t="shared" si="5"/>
        <v/>
      </c>
      <c r="AI18" s="23" t="str">
        <f t="shared" si="22"/>
        <v/>
      </c>
      <c r="AJ18" s="23" t="str">
        <f t="shared" si="6"/>
        <v/>
      </c>
      <c r="AK18" s="23" t="str">
        <f t="shared" si="7"/>
        <v/>
      </c>
      <c r="AL18" s="23" t="str">
        <f t="shared" si="8"/>
        <v/>
      </c>
      <c r="AM18" s="23" t="str">
        <f t="shared" si="9"/>
        <v/>
      </c>
      <c r="AN18" s="19">
        <f t="shared" si="10"/>
        <v>0</v>
      </c>
      <c r="AO18" s="26">
        <f t="shared" si="11"/>
        <v>372.85332082285771</v>
      </c>
    </row>
    <row r="19" spans="1:41" x14ac:dyDescent="0.2">
      <c r="A19" s="12">
        <v>44573</v>
      </c>
      <c r="B19" s="6">
        <v>12</v>
      </c>
      <c r="C19" s="6">
        <v>12</v>
      </c>
      <c r="D19" s="6">
        <v>4</v>
      </c>
      <c r="E19" s="6" t="s">
        <v>15</v>
      </c>
      <c r="F19" s="6">
        <v>2</v>
      </c>
      <c r="G19" s="6">
        <v>1</v>
      </c>
      <c r="H19" s="6" t="s">
        <v>11</v>
      </c>
      <c r="I19" s="6">
        <v>1</v>
      </c>
      <c r="J19" s="14">
        <v>2.6356183746540363</v>
      </c>
      <c r="K19" s="14">
        <f t="shared" si="12"/>
        <v>2.6356183746540363</v>
      </c>
      <c r="L19" s="14">
        <v>23.051269479755479</v>
      </c>
      <c r="M19" s="14">
        <f t="shared" si="13"/>
        <v>60.754349399945326</v>
      </c>
      <c r="N19" s="16">
        <v>0.52234831895418687</v>
      </c>
      <c r="O19" s="14">
        <f t="shared" si="14"/>
        <v>31.734932278216753</v>
      </c>
      <c r="P19" s="14">
        <f t="shared" si="15"/>
        <v>29.019417121728573</v>
      </c>
      <c r="Q19" s="14">
        <v>29.957513956629445</v>
      </c>
      <c r="R19" s="14">
        <v>3.9756458199260787</v>
      </c>
      <c r="S19" s="14">
        <f t="shared" si="0"/>
        <v>12.987012987012987</v>
      </c>
      <c r="T19" s="14">
        <v>28.772989307488235</v>
      </c>
      <c r="U19" s="14">
        <f t="shared" si="16"/>
        <v>42.528044579961723</v>
      </c>
      <c r="V19" s="14">
        <f t="shared" si="17"/>
        <v>16.135888635828834</v>
      </c>
      <c r="W19" s="14">
        <v>27.09914639362162</v>
      </c>
      <c r="X19" s="16">
        <f t="shared" si="18"/>
        <v>1.8565766430805966</v>
      </c>
      <c r="Y19" s="16">
        <f t="shared" si="23"/>
        <v>9.7258354059240298E-2</v>
      </c>
      <c r="Z19" s="16">
        <f t="shared" si="19"/>
        <v>0.74621188422026707</v>
      </c>
      <c r="AA19" s="16">
        <f t="shared" si="20"/>
        <v>0.16333890460806688</v>
      </c>
      <c r="AB19" s="16">
        <f t="shared" si="1"/>
        <v>0.21376268720317618</v>
      </c>
      <c r="AC19" s="14">
        <f t="shared" si="24"/>
        <v>16.135888635828834</v>
      </c>
      <c r="AD19" s="16">
        <f t="shared" si="2"/>
        <v>0.17246971249968013</v>
      </c>
      <c r="AE19" s="16">
        <f t="shared" si="3"/>
        <v>0.49309249876777389</v>
      </c>
      <c r="AF19" s="23" t="str">
        <f t="shared" si="21"/>
        <v/>
      </c>
      <c r="AG19" s="23" t="str">
        <f t="shared" si="4"/>
        <v/>
      </c>
      <c r="AH19" s="23" t="str">
        <f t="shared" si="5"/>
        <v/>
      </c>
      <c r="AI19" s="23" t="str">
        <f t="shared" si="22"/>
        <v/>
      </c>
      <c r="AJ19" s="23" t="str">
        <f t="shared" si="6"/>
        <v/>
      </c>
      <c r="AK19" s="23">
        <f t="shared" si="7"/>
        <v>480</v>
      </c>
      <c r="AL19" s="23" t="str">
        <f t="shared" si="8"/>
        <v/>
      </c>
      <c r="AM19" s="23" t="str">
        <f t="shared" si="9"/>
        <v/>
      </c>
      <c r="AN19" s="19">
        <f t="shared" si="10"/>
        <v>480</v>
      </c>
      <c r="AO19" s="26">
        <f t="shared" si="11"/>
        <v>-450.98058287827143</v>
      </c>
    </row>
    <row r="20" spans="1:41" x14ac:dyDescent="0.2">
      <c r="A20" s="12">
        <v>44574</v>
      </c>
      <c r="B20" s="6">
        <v>13</v>
      </c>
      <c r="C20" s="6">
        <v>13</v>
      </c>
      <c r="D20" s="6">
        <v>5</v>
      </c>
      <c r="E20" s="6" t="s">
        <v>16</v>
      </c>
      <c r="F20" s="6">
        <v>2</v>
      </c>
      <c r="G20" s="6">
        <v>1</v>
      </c>
      <c r="H20" s="6" t="s">
        <v>11</v>
      </c>
      <c r="I20" s="6">
        <v>1</v>
      </c>
      <c r="J20" s="14">
        <v>13.689948376214849</v>
      </c>
      <c r="K20" s="14">
        <f t="shared" si="12"/>
        <v>13.689948376214849</v>
      </c>
      <c r="L20" s="14">
        <v>52.886583802377487</v>
      </c>
      <c r="M20" s="14">
        <f t="shared" si="13"/>
        <v>724.01460204890816</v>
      </c>
      <c r="N20" s="16">
        <v>0.45813765363882308</v>
      </c>
      <c r="O20" s="14">
        <f t="shared" si="14"/>
        <v>331.69835098293299</v>
      </c>
      <c r="P20" s="14">
        <f t="shared" si="15"/>
        <v>392.31625106597517</v>
      </c>
      <c r="Q20" s="14">
        <v>30.053336805707325</v>
      </c>
      <c r="R20" s="14">
        <v>9.9404558025590983</v>
      </c>
      <c r="S20" s="14">
        <f t="shared" si="0"/>
        <v>12.987012987012987</v>
      </c>
      <c r="T20" s="14">
        <v>25.193106806637793</v>
      </c>
      <c r="U20" s="14">
        <f t="shared" si="16"/>
        <v>506.8102214342357</v>
      </c>
      <c r="V20" s="14">
        <f t="shared" si="17"/>
        <v>37.020608661664241</v>
      </c>
      <c r="W20" s="14">
        <v>26.834491561464208</v>
      </c>
      <c r="X20" s="16">
        <f t="shared" si="18"/>
        <v>0.81180018082275074</v>
      </c>
      <c r="Y20" s="16">
        <f t="shared" si="23"/>
        <v>0.51016239099809746</v>
      </c>
      <c r="Z20" s="16">
        <f t="shared" si="19"/>
        <v>0.65448236234117585</v>
      </c>
      <c r="AA20" s="16">
        <f t="shared" si="20"/>
        <v>0.36979263364708342</v>
      </c>
      <c r="AB20" s="16">
        <f t="shared" si="1"/>
        <v>1.7937501467871909E-2</v>
      </c>
      <c r="AC20" s="14">
        <f t="shared" si="24"/>
        <v>37.020608661664241</v>
      </c>
      <c r="AD20" s="16">
        <f t="shared" si="2"/>
        <v>0.18795798646597836</v>
      </c>
      <c r="AE20" s="16">
        <f t="shared" si="3"/>
        <v>4.1509296526145448E-2</v>
      </c>
      <c r="AF20" s="23" t="str">
        <f t="shared" si="21"/>
        <v/>
      </c>
      <c r="AG20" s="23" t="str">
        <f t="shared" si="4"/>
        <v/>
      </c>
      <c r="AH20" s="23" t="str">
        <f t="shared" si="5"/>
        <v/>
      </c>
      <c r="AI20" s="23" t="str">
        <f t="shared" si="22"/>
        <v/>
      </c>
      <c r="AJ20" s="23" t="str">
        <f t="shared" si="6"/>
        <v/>
      </c>
      <c r="AK20" s="23" t="str">
        <f t="shared" si="7"/>
        <v/>
      </c>
      <c r="AL20" s="23" t="str">
        <f t="shared" si="8"/>
        <v/>
      </c>
      <c r="AM20" s="23" t="str">
        <f t="shared" si="9"/>
        <v/>
      </c>
      <c r="AN20" s="19">
        <f t="shared" si="10"/>
        <v>0</v>
      </c>
      <c r="AO20" s="26">
        <f t="shared" si="11"/>
        <v>392.31625106597517</v>
      </c>
    </row>
    <row r="21" spans="1:41" x14ac:dyDescent="0.2">
      <c r="A21" s="12">
        <v>44575</v>
      </c>
      <c r="B21" s="6">
        <v>14</v>
      </c>
      <c r="C21" s="6">
        <v>14</v>
      </c>
      <c r="D21" s="6">
        <v>6</v>
      </c>
      <c r="E21" s="6" t="s">
        <v>17</v>
      </c>
      <c r="F21" s="6">
        <v>2</v>
      </c>
      <c r="G21" s="6">
        <v>1</v>
      </c>
      <c r="H21" s="6" t="s">
        <v>11</v>
      </c>
      <c r="I21" s="6">
        <v>1</v>
      </c>
      <c r="J21" s="14">
        <v>11.243481318950993</v>
      </c>
      <c r="K21" s="14">
        <f t="shared" si="12"/>
        <v>11.243481318950993</v>
      </c>
      <c r="L21" s="14">
        <v>37.997799173077269</v>
      </c>
      <c r="M21" s="14">
        <f t="shared" si="13"/>
        <v>427.22754516374573</v>
      </c>
      <c r="N21" s="16">
        <v>0.51762426190297917</v>
      </c>
      <c r="O21" s="14">
        <f t="shared" si="14"/>
        <v>221.14334273000557</v>
      </c>
      <c r="P21" s="14">
        <f t="shared" si="15"/>
        <v>206.08420243374016</v>
      </c>
      <c r="Q21" s="14">
        <v>46.492305831481787</v>
      </c>
      <c r="R21" s="14">
        <v>13.520609966764738</v>
      </c>
      <c r="S21" s="14">
        <f t="shared" si="0"/>
        <v>12.987012987012987</v>
      </c>
      <c r="T21" s="14">
        <v>21.859398936347546</v>
      </c>
      <c r="U21" s="14">
        <f t="shared" si="16"/>
        <v>299.05928161462197</v>
      </c>
      <c r="V21" s="14">
        <f t="shared" si="17"/>
        <v>26.598459421154082</v>
      </c>
      <c r="W21" s="14">
        <v>25.9714918690917</v>
      </c>
      <c r="X21" s="16">
        <f t="shared" si="18"/>
        <v>1.7479322804126725</v>
      </c>
      <c r="Y21" s="16">
        <f t="shared" si="23"/>
        <v>0.43291626740671368</v>
      </c>
      <c r="Z21" s="16">
        <f t="shared" si="19"/>
        <v>0.73946323128997027</v>
      </c>
      <c r="AA21" s="16">
        <f t="shared" si="20"/>
        <v>0.42271174961392366</v>
      </c>
      <c r="AB21" s="16">
        <f t="shared" si="1"/>
        <v>3.039835126275715E-2</v>
      </c>
      <c r="AC21" s="14">
        <f t="shared" si="24"/>
        <v>26.598459421154082</v>
      </c>
      <c r="AD21" s="16">
        <f t="shared" si="2"/>
        <v>0.35582613364472304</v>
      </c>
      <c r="AE21" s="16">
        <f t="shared" si="3"/>
        <v>0.10882328716343052</v>
      </c>
      <c r="AF21" s="23" t="str">
        <f t="shared" si="21"/>
        <v/>
      </c>
      <c r="AG21" s="23" t="str">
        <f t="shared" si="4"/>
        <v/>
      </c>
      <c r="AH21" s="23" t="str">
        <f t="shared" si="5"/>
        <v/>
      </c>
      <c r="AI21" s="23" t="str">
        <f t="shared" si="22"/>
        <v/>
      </c>
      <c r="AJ21" s="23" t="str">
        <f t="shared" si="6"/>
        <v/>
      </c>
      <c r="AK21" s="23" t="str">
        <f t="shared" si="7"/>
        <v/>
      </c>
      <c r="AL21" s="23" t="str">
        <f t="shared" si="8"/>
        <v/>
      </c>
      <c r="AM21" s="23" t="str">
        <f t="shared" si="9"/>
        <v/>
      </c>
      <c r="AN21" s="19">
        <f t="shared" si="10"/>
        <v>0</v>
      </c>
      <c r="AO21" s="26">
        <f t="shared" si="11"/>
        <v>206.08420243374016</v>
      </c>
    </row>
    <row r="22" spans="1:41" x14ac:dyDescent="0.2">
      <c r="A22" s="12">
        <v>44576</v>
      </c>
      <c r="B22" s="6">
        <v>15</v>
      </c>
      <c r="C22" s="6">
        <v>15</v>
      </c>
      <c r="D22" s="6">
        <v>7</v>
      </c>
      <c r="E22" s="6" t="s">
        <v>10</v>
      </c>
      <c r="F22" s="6">
        <v>2</v>
      </c>
      <c r="G22" s="6">
        <v>1</v>
      </c>
      <c r="H22" s="6" t="s">
        <v>11</v>
      </c>
      <c r="I22" s="6">
        <v>1</v>
      </c>
      <c r="J22" s="14">
        <v>12.767483164737854</v>
      </c>
      <c r="K22" s="14">
        <f t="shared" si="12"/>
        <v>12.767483164737854</v>
      </c>
      <c r="L22" s="14">
        <v>50.349850955605206</v>
      </c>
      <c r="M22" s="14">
        <f t="shared" si="13"/>
        <v>642.84087442274961</v>
      </c>
      <c r="N22" s="16">
        <v>0.31679852862843044</v>
      </c>
      <c r="O22" s="14">
        <f t="shared" si="14"/>
        <v>203.6510431593407</v>
      </c>
      <c r="P22" s="14">
        <f t="shared" si="15"/>
        <v>439.18983126340891</v>
      </c>
      <c r="Q22" s="14">
        <v>32.521842746990245</v>
      </c>
      <c r="R22" s="14">
        <v>12.515145422033093</v>
      </c>
      <c r="S22" s="14">
        <f t="shared" si="0"/>
        <v>12.987012987012987</v>
      </c>
      <c r="T22" s="14">
        <v>29.375583056266752</v>
      </c>
      <c r="U22" s="14">
        <f t="shared" si="16"/>
        <v>449.98861209592468</v>
      </c>
      <c r="V22" s="14">
        <f t="shared" si="17"/>
        <v>35.24489566892364</v>
      </c>
      <c r="W22" s="14">
        <v>21.982762085496244</v>
      </c>
      <c r="X22" s="16">
        <f t="shared" si="18"/>
        <v>0.92273908405027905</v>
      </c>
      <c r="Y22" s="16">
        <f t="shared" si="23"/>
        <v>0.58079522105011394</v>
      </c>
      <c r="Z22" s="16">
        <f t="shared" si="19"/>
        <v>0.45256932661204352</v>
      </c>
      <c r="AA22" s="16">
        <f t="shared" si="20"/>
        <v>0.36225055919218629</v>
      </c>
      <c r="AB22" s="16">
        <f t="shared" si="1"/>
        <v>2.0202531456443098E-2</v>
      </c>
      <c r="AC22" s="14">
        <f t="shared" si="24"/>
        <v>35.24489566892364</v>
      </c>
      <c r="AD22" s="16">
        <f t="shared" si="2"/>
        <v>0.24856370345699788</v>
      </c>
      <c r="AE22" s="16">
        <f t="shared" si="3"/>
        <v>5.0590813436052602E-2</v>
      </c>
      <c r="AF22" s="23" t="str">
        <f t="shared" si="21"/>
        <v/>
      </c>
      <c r="AG22" s="23" t="str">
        <f t="shared" si="4"/>
        <v/>
      </c>
      <c r="AH22" s="23">
        <f t="shared" si="5"/>
        <v>300</v>
      </c>
      <c r="AI22" s="23" t="str">
        <f t="shared" si="22"/>
        <v/>
      </c>
      <c r="AJ22" s="23" t="str">
        <f t="shared" si="6"/>
        <v/>
      </c>
      <c r="AK22" s="23" t="str">
        <f t="shared" si="7"/>
        <v/>
      </c>
      <c r="AL22" s="23" t="str">
        <f t="shared" si="8"/>
        <v/>
      </c>
      <c r="AM22" s="23" t="str">
        <f t="shared" si="9"/>
        <v/>
      </c>
      <c r="AN22" s="19">
        <f t="shared" si="10"/>
        <v>300</v>
      </c>
      <c r="AO22" s="26">
        <f t="shared" si="11"/>
        <v>139.18983126340891</v>
      </c>
    </row>
    <row r="23" spans="1:41" x14ac:dyDescent="0.2">
      <c r="A23" s="12">
        <v>44577</v>
      </c>
      <c r="B23" s="6">
        <v>16</v>
      </c>
      <c r="C23" s="6">
        <v>16</v>
      </c>
      <c r="D23" s="6">
        <v>1</v>
      </c>
      <c r="E23" s="6" t="s">
        <v>12</v>
      </c>
      <c r="F23" s="6">
        <v>3</v>
      </c>
      <c r="G23" s="6">
        <v>1</v>
      </c>
      <c r="H23" s="6" t="s">
        <v>11</v>
      </c>
      <c r="I23" s="6">
        <v>1</v>
      </c>
      <c r="J23" s="14">
        <v>4.1786155255126269</v>
      </c>
      <c r="K23" s="14">
        <f t="shared" si="12"/>
        <v>4.1786155255126269</v>
      </c>
      <c r="L23" s="14">
        <v>6.6677259234508277</v>
      </c>
      <c r="M23" s="14">
        <f t="shared" si="13"/>
        <v>27.861863063594647</v>
      </c>
      <c r="N23" s="16">
        <v>0.12285402002774824</v>
      </c>
      <c r="O23" s="14">
        <f t="shared" si="14"/>
        <v>3.4229418828252358</v>
      </c>
      <c r="P23" s="14">
        <f t="shared" si="15"/>
        <v>24.438921180769412</v>
      </c>
      <c r="Q23" s="14">
        <v>21.194717458351452</v>
      </c>
      <c r="R23" s="14">
        <v>3.0551846931726372</v>
      </c>
      <c r="S23" s="14">
        <f t="shared" si="0"/>
        <v>28.571428571428573</v>
      </c>
      <c r="T23" s="14">
        <v>14.905929881153659</v>
      </c>
      <c r="U23" s="14">
        <f t="shared" si="16"/>
        <v>19.503304144516253</v>
      </c>
      <c r="V23" s="14">
        <f t="shared" si="17"/>
        <v>4.6674081464155792</v>
      </c>
      <c r="W23" s="14">
        <v>18.252894893187786</v>
      </c>
      <c r="X23" s="16">
        <f t="shared" si="18"/>
        <v>4.5410036563072635</v>
      </c>
      <c r="Y23" s="16">
        <f t="shared" si="23"/>
        <v>0.22892892058848921</v>
      </c>
      <c r="Z23" s="16">
        <f t="shared" si="19"/>
        <v>0.1755057428967832</v>
      </c>
      <c r="AA23" s="16">
        <f t="shared" si="20"/>
        <v>0.89527536363445537</v>
      </c>
      <c r="AB23" s="16">
        <f t="shared" si="1"/>
        <v>1.0254672670745077</v>
      </c>
      <c r="AC23" s="14">
        <f t="shared" si="24"/>
        <v>4.6674081464155792</v>
      </c>
      <c r="AD23" s="16">
        <f t="shared" si="2"/>
        <v>0.45820490047849044</v>
      </c>
      <c r="AE23" s="16">
        <f t="shared" si="3"/>
        <v>0.76070711459512064</v>
      </c>
      <c r="AF23" s="23" t="str">
        <f t="shared" si="21"/>
        <v/>
      </c>
      <c r="AG23" s="23">
        <f t="shared" si="4"/>
        <v>1000</v>
      </c>
      <c r="AH23" s="23" t="str">
        <f t="shared" si="5"/>
        <v/>
      </c>
      <c r="AI23" s="23" t="str">
        <f t="shared" si="22"/>
        <v/>
      </c>
      <c r="AJ23" s="23" t="str">
        <f t="shared" si="6"/>
        <v/>
      </c>
      <c r="AK23" s="23" t="str">
        <f t="shared" si="7"/>
        <v/>
      </c>
      <c r="AL23" s="23" t="str">
        <f t="shared" si="8"/>
        <v/>
      </c>
      <c r="AM23" s="23" t="str">
        <f t="shared" si="9"/>
        <v/>
      </c>
      <c r="AN23" s="19">
        <f t="shared" si="10"/>
        <v>1000</v>
      </c>
      <c r="AO23" s="26">
        <f t="shared" si="11"/>
        <v>-975.5610788192306</v>
      </c>
    </row>
    <row r="24" spans="1:41" x14ac:dyDescent="0.2">
      <c r="A24" s="12">
        <v>44578</v>
      </c>
      <c r="B24" s="6">
        <v>17</v>
      </c>
      <c r="C24" s="6">
        <v>17</v>
      </c>
      <c r="D24" s="6">
        <v>2</v>
      </c>
      <c r="E24" s="6" t="s">
        <v>13</v>
      </c>
      <c r="F24" s="6">
        <v>3</v>
      </c>
      <c r="G24" s="6">
        <v>1</v>
      </c>
      <c r="H24" s="6" t="s">
        <v>11</v>
      </c>
      <c r="I24" s="6">
        <v>1</v>
      </c>
      <c r="J24" s="14">
        <v>8.8928238633712624</v>
      </c>
      <c r="K24" s="14">
        <f t="shared" si="12"/>
        <v>8.8928238633712624</v>
      </c>
      <c r="L24" s="14">
        <v>19.075995572975181</v>
      </c>
      <c r="M24" s="14">
        <f t="shared" si="13"/>
        <v>169.63946864891824</v>
      </c>
      <c r="N24" s="16">
        <v>0.36280842437272792</v>
      </c>
      <c r="O24" s="14">
        <f t="shared" si="14"/>
        <v>61.546628331940802</v>
      </c>
      <c r="P24" s="14">
        <f t="shared" si="15"/>
        <v>108.09284031697743</v>
      </c>
      <c r="Q24" s="14">
        <v>40.360021321155635</v>
      </c>
      <c r="R24" s="14">
        <v>6.6146234866903875</v>
      </c>
      <c r="S24" s="14">
        <f t="shared" si="0"/>
        <v>12.987012987012987</v>
      </c>
      <c r="T24" s="14">
        <v>39.104345002534302</v>
      </c>
      <c r="U24" s="14">
        <f t="shared" si="16"/>
        <v>118.74762805424275</v>
      </c>
      <c r="V24" s="14">
        <f t="shared" si="17"/>
        <v>13.353196901082624</v>
      </c>
      <c r="W24" s="14">
        <v>35.008061425575917</v>
      </c>
      <c r="X24" s="16">
        <f t="shared" si="18"/>
        <v>3.0224987783924164</v>
      </c>
      <c r="Y24" s="16">
        <f t="shared" si="23"/>
        <v>0.25402217378636144</v>
      </c>
      <c r="Z24" s="16">
        <f t="shared" si="19"/>
        <v>0.51829774910389714</v>
      </c>
      <c r="AA24" s="16">
        <f t="shared" si="20"/>
        <v>0.66596964975857331</v>
      </c>
      <c r="AB24" s="16">
        <f t="shared" si="1"/>
        <v>7.6556553085476806E-2</v>
      </c>
      <c r="AC24" s="14">
        <f t="shared" si="24"/>
        <v>13.353196901082624</v>
      </c>
      <c r="AD24" s="16">
        <f t="shared" si="2"/>
        <v>0.34675115442264387</v>
      </c>
      <c r="AE24" s="16">
        <f t="shared" si="3"/>
        <v>0.23791645683991008</v>
      </c>
      <c r="AF24" s="23" t="str">
        <f t="shared" si="21"/>
        <v/>
      </c>
      <c r="AG24" s="23" t="str">
        <f t="shared" si="4"/>
        <v/>
      </c>
      <c r="AH24" s="23" t="str">
        <f t="shared" si="5"/>
        <v/>
      </c>
      <c r="AI24" s="23" t="str">
        <f t="shared" si="22"/>
        <v/>
      </c>
      <c r="AJ24" s="23" t="str">
        <f t="shared" si="6"/>
        <v/>
      </c>
      <c r="AK24" s="23" t="str">
        <f t="shared" si="7"/>
        <v/>
      </c>
      <c r="AL24" s="23" t="str">
        <f t="shared" si="8"/>
        <v/>
      </c>
      <c r="AM24" s="23" t="str">
        <f t="shared" si="9"/>
        <v/>
      </c>
      <c r="AN24" s="19">
        <f t="shared" si="10"/>
        <v>0</v>
      </c>
      <c r="AO24" s="26">
        <f t="shared" si="11"/>
        <v>108.09284031697743</v>
      </c>
    </row>
    <row r="25" spans="1:41" x14ac:dyDescent="0.2">
      <c r="A25" s="12">
        <v>44579</v>
      </c>
      <c r="B25" s="6">
        <v>18</v>
      </c>
      <c r="C25" s="6">
        <v>18</v>
      </c>
      <c r="D25" s="6">
        <v>3</v>
      </c>
      <c r="E25" s="6" t="s">
        <v>14</v>
      </c>
      <c r="F25" s="6">
        <v>3</v>
      </c>
      <c r="G25" s="6">
        <v>1</v>
      </c>
      <c r="H25" s="6" t="s">
        <v>11</v>
      </c>
      <c r="I25" s="6">
        <v>1</v>
      </c>
      <c r="J25" s="14">
        <v>10.99841201922411</v>
      </c>
      <c r="K25" s="14">
        <f t="shared" si="12"/>
        <v>10.99841201922411</v>
      </c>
      <c r="L25" s="14">
        <v>41.131284188205491</v>
      </c>
      <c r="M25" s="14">
        <f t="shared" si="13"/>
        <v>452.37881038168189</v>
      </c>
      <c r="N25" s="16">
        <v>0.37259579460108228</v>
      </c>
      <c r="O25" s="14">
        <f t="shared" si="14"/>
        <v>168.55444231485509</v>
      </c>
      <c r="P25" s="14">
        <f t="shared" si="15"/>
        <v>283.82436806682676</v>
      </c>
      <c r="Q25" s="14">
        <v>11.080532966081041</v>
      </c>
      <c r="R25" s="14">
        <v>8.1425324972190243</v>
      </c>
      <c r="S25" s="14">
        <f t="shared" si="0"/>
        <v>12.987012987012987</v>
      </c>
      <c r="T25" s="14">
        <v>22.957940437880879</v>
      </c>
      <c r="U25" s="14">
        <f t="shared" si="16"/>
        <v>316.66516726717731</v>
      </c>
      <c r="V25" s="14">
        <f t="shared" si="17"/>
        <v>28.791898931743845</v>
      </c>
      <c r="W25" s="14">
        <v>30.607431752677975</v>
      </c>
      <c r="X25" s="16">
        <f t="shared" si="18"/>
        <v>0.38484898103974846</v>
      </c>
      <c r="Y25" s="16">
        <f t="shared" si="23"/>
        <v>0.35933795779065364</v>
      </c>
      <c r="Z25" s="16">
        <f t="shared" si="19"/>
        <v>0.53227970657297474</v>
      </c>
      <c r="AA25" s="16">
        <f t="shared" si="20"/>
        <v>0.38199675698007068</v>
      </c>
      <c r="AB25" s="16">
        <f t="shared" si="1"/>
        <v>2.8708269903392602E-2</v>
      </c>
      <c r="AC25" s="14">
        <f t="shared" si="24"/>
        <v>28.791898931743845</v>
      </c>
      <c r="AD25" s="16">
        <f t="shared" si="2"/>
        <v>0.19796446082162245</v>
      </c>
      <c r="AE25" s="16">
        <f t="shared" si="3"/>
        <v>2.4493925691904429E-2</v>
      </c>
      <c r="AF25" s="23" t="str">
        <f t="shared" si="21"/>
        <v/>
      </c>
      <c r="AG25" s="23" t="str">
        <f t="shared" si="4"/>
        <v/>
      </c>
      <c r="AH25" s="23" t="str">
        <f t="shared" si="5"/>
        <v/>
      </c>
      <c r="AI25" s="23" t="str">
        <f t="shared" si="22"/>
        <v/>
      </c>
      <c r="AJ25" s="23" t="str">
        <f t="shared" si="6"/>
        <v/>
      </c>
      <c r="AK25" s="23" t="str">
        <f t="shared" si="7"/>
        <v/>
      </c>
      <c r="AL25" s="23" t="str">
        <f t="shared" si="8"/>
        <v/>
      </c>
      <c r="AM25" s="23" t="str">
        <f t="shared" si="9"/>
        <v/>
      </c>
      <c r="AN25" s="19">
        <f t="shared" si="10"/>
        <v>0</v>
      </c>
      <c r="AO25" s="26">
        <f t="shared" si="11"/>
        <v>283.82436806682676</v>
      </c>
    </row>
    <row r="26" spans="1:41" x14ac:dyDescent="0.2">
      <c r="A26" s="12">
        <v>44580</v>
      </c>
      <c r="B26" s="6">
        <v>19</v>
      </c>
      <c r="C26" s="6">
        <v>19</v>
      </c>
      <c r="D26" s="6">
        <v>4</v>
      </c>
      <c r="E26" s="6" t="s">
        <v>15</v>
      </c>
      <c r="F26" s="6">
        <v>3</v>
      </c>
      <c r="G26" s="6">
        <v>1</v>
      </c>
      <c r="H26" s="6" t="s">
        <v>11</v>
      </c>
      <c r="I26" s="6">
        <v>1</v>
      </c>
      <c r="J26" s="14">
        <v>8.2899432686292975</v>
      </c>
      <c r="K26" s="14">
        <f t="shared" si="12"/>
        <v>8.2899432686292975</v>
      </c>
      <c r="L26" s="14">
        <v>28.036358780917315</v>
      </c>
      <c r="M26" s="14">
        <f t="shared" si="13"/>
        <v>232.41982375274139</v>
      </c>
      <c r="N26" s="16">
        <v>0.26885609849292408</v>
      </c>
      <c r="O26" s="14">
        <f t="shared" si="14"/>
        <v>62.487487026575096</v>
      </c>
      <c r="P26" s="14">
        <f t="shared" si="15"/>
        <v>169.93233672616628</v>
      </c>
      <c r="Q26" s="14">
        <v>41.695511951717563</v>
      </c>
      <c r="R26" s="14">
        <v>6.377447594510274</v>
      </c>
      <c r="S26" s="14">
        <f t="shared" si="0"/>
        <v>12.987012987012987</v>
      </c>
      <c r="T26" s="14">
        <v>31.258024509731296</v>
      </c>
      <c r="U26" s="14">
        <f t="shared" si="16"/>
        <v>162.69387662691898</v>
      </c>
      <c r="V26" s="14">
        <f t="shared" si="17"/>
        <v>19.625451146642121</v>
      </c>
      <c r="W26" s="14">
        <v>27.0701989538492</v>
      </c>
      <c r="X26" s="16">
        <f t="shared" si="18"/>
        <v>2.1245632337400604</v>
      </c>
      <c r="Y26" s="16">
        <f t="shared" si="23"/>
        <v>0.30623872705045352</v>
      </c>
      <c r="Z26" s="16">
        <f t="shared" si="19"/>
        <v>0.38408014070417723</v>
      </c>
      <c r="AA26" s="16">
        <f t="shared" si="20"/>
        <v>0.42240778093132864</v>
      </c>
      <c r="AB26" s="16">
        <f t="shared" si="1"/>
        <v>5.5877389360853971E-2</v>
      </c>
      <c r="AC26" s="14">
        <f t="shared" si="24"/>
        <v>19.625451146642121</v>
      </c>
      <c r="AD26" s="16">
        <f t="shared" si="2"/>
        <v>0.227470608588838</v>
      </c>
      <c r="AE26" s="16">
        <f t="shared" si="3"/>
        <v>0.17939739940632221</v>
      </c>
      <c r="AF26" s="23" t="str">
        <f t="shared" si="21"/>
        <v/>
      </c>
      <c r="AG26" s="23" t="str">
        <f t="shared" si="4"/>
        <v/>
      </c>
      <c r="AH26" s="23" t="str">
        <f t="shared" si="5"/>
        <v/>
      </c>
      <c r="AI26" s="23" t="str">
        <f t="shared" si="22"/>
        <v/>
      </c>
      <c r="AJ26" s="23" t="str">
        <f t="shared" si="6"/>
        <v/>
      </c>
      <c r="AK26" s="23" t="str">
        <f t="shared" si="7"/>
        <v/>
      </c>
      <c r="AL26" s="23" t="str">
        <f t="shared" si="8"/>
        <v/>
      </c>
      <c r="AM26" s="23" t="str">
        <f t="shared" si="9"/>
        <v/>
      </c>
      <c r="AN26" s="19">
        <f t="shared" si="10"/>
        <v>0</v>
      </c>
      <c r="AO26" s="26">
        <f t="shared" si="11"/>
        <v>169.93233672616628</v>
      </c>
    </row>
    <row r="27" spans="1:41" x14ac:dyDescent="0.2">
      <c r="A27" s="12">
        <v>44581</v>
      </c>
      <c r="B27" s="6">
        <v>20</v>
      </c>
      <c r="C27" s="6">
        <v>20</v>
      </c>
      <c r="D27" s="6">
        <v>5</v>
      </c>
      <c r="E27" s="6" t="s">
        <v>16</v>
      </c>
      <c r="F27" s="6">
        <v>3</v>
      </c>
      <c r="G27" s="6">
        <v>1</v>
      </c>
      <c r="H27" s="6" t="s">
        <v>11</v>
      </c>
      <c r="I27" s="6">
        <v>1</v>
      </c>
      <c r="J27" s="14">
        <v>14.574848648338195</v>
      </c>
      <c r="K27" s="14">
        <f t="shared" si="12"/>
        <v>14.574848648338195</v>
      </c>
      <c r="L27" s="14">
        <v>56.382767694231291</v>
      </c>
      <c r="M27" s="14">
        <f t="shared" si="13"/>
        <v>821.77030551783332</v>
      </c>
      <c r="N27" s="16">
        <v>0.32311618996417446</v>
      </c>
      <c r="O27" s="14">
        <f t="shared" si="14"/>
        <v>265.52729014461789</v>
      </c>
      <c r="P27" s="14">
        <f t="shared" si="15"/>
        <v>556.24301537321548</v>
      </c>
      <c r="Q27" s="14">
        <v>45.364670543083257</v>
      </c>
      <c r="R27" s="14">
        <v>8.2198072978148584</v>
      </c>
      <c r="S27" s="14">
        <f t="shared" si="0"/>
        <v>12.987012987012987</v>
      </c>
      <c r="T27" s="14">
        <v>18.813353163745003</v>
      </c>
      <c r="U27" s="14">
        <f t="shared" si="16"/>
        <v>575.23921386248333</v>
      </c>
      <c r="V27" s="14">
        <f t="shared" si="17"/>
        <v>39.467937385961903</v>
      </c>
      <c r="W27" s="14">
        <v>28.407129479790349</v>
      </c>
      <c r="X27" s="16">
        <f t="shared" si="18"/>
        <v>1.1494056580524201</v>
      </c>
      <c r="Y27" s="16">
        <f t="shared" si="23"/>
        <v>0.51307009596682984</v>
      </c>
      <c r="Z27" s="16">
        <f t="shared" si="19"/>
        <v>0.46159455709167774</v>
      </c>
      <c r="AA27" s="16">
        <f t="shared" si="20"/>
        <v>0.36928326164625541</v>
      </c>
      <c r="AB27" s="16">
        <f t="shared" si="1"/>
        <v>1.5803701958820845E-2</v>
      </c>
      <c r="AC27" s="14">
        <f t="shared" si="24"/>
        <v>39.467937385961903</v>
      </c>
      <c r="AD27" s="16">
        <f t="shared" si="2"/>
        <v>0.14578580715284495</v>
      </c>
      <c r="AE27" s="16">
        <f t="shared" si="3"/>
        <v>5.5203589419670011E-2</v>
      </c>
      <c r="AF27" s="23" t="str">
        <f t="shared" si="21"/>
        <v/>
      </c>
      <c r="AG27" s="23" t="str">
        <f t="shared" si="4"/>
        <v/>
      </c>
      <c r="AH27" s="23" t="str">
        <f t="shared" si="5"/>
        <v/>
      </c>
      <c r="AI27" s="23" t="str">
        <f t="shared" si="22"/>
        <v/>
      </c>
      <c r="AJ27" s="23">
        <f t="shared" si="6"/>
        <v>100</v>
      </c>
      <c r="AK27" s="23" t="str">
        <f t="shared" si="7"/>
        <v/>
      </c>
      <c r="AL27" s="23" t="str">
        <f t="shared" si="8"/>
        <v/>
      </c>
      <c r="AM27" s="23" t="str">
        <f t="shared" si="9"/>
        <v/>
      </c>
      <c r="AN27" s="19">
        <f t="shared" si="10"/>
        <v>100</v>
      </c>
      <c r="AO27" s="26">
        <f t="shared" si="11"/>
        <v>456.24301537321548</v>
      </c>
    </row>
    <row r="28" spans="1:41" x14ac:dyDescent="0.2">
      <c r="A28" s="12">
        <v>44582</v>
      </c>
      <c r="B28" s="6">
        <v>21</v>
      </c>
      <c r="C28" s="6">
        <v>21</v>
      </c>
      <c r="D28" s="6">
        <v>6</v>
      </c>
      <c r="E28" s="6" t="s">
        <v>17</v>
      </c>
      <c r="F28" s="6">
        <v>3</v>
      </c>
      <c r="G28" s="6">
        <v>1</v>
      </c>
      <c r="H28" s="6" t="s">
        <v>11</v>
      </c>
      <c r="I28" s="6">
        <v>1</v>
      </c>
      <c r="J28" s="14">
        <v>16.321754577514859</v>
      </c>
      <c r="K28" s="14">
        <f t="shared" si="12"/>
        <v>16.321754577514859</v>
      </c>
      <c r="L28" s="14">
        <v>71.608305203707104</v>
      </c>
      <c r="M28" s="14">
        <f t="shared" si="13"/>
        <v>1168.7731832466875</v>
      </c>
      <c r="N28" s="16">
        <v>0.30966748841646119</v>
      </c>
      <c r="O28" s="14">
        <f t="shared" si="14"/>
        <v>361.93105618451409</v>
      </c>
      <c r="P28" s="14">
        <f t="shared" si="15"/>
        <v>806.8421270621734</v>
      </c>
      <c r="Q28" s="14">
        <v>17.82043709613518</v>
      </c>
      <c r="R28" s="14">
        <v>7.1530848325964316</v>
      </c>
      <c r="S28" s="14">
        <f t="shared" si="0"/>
        <v>12.987012987012987</v>
      </c>
      <c r="T28" s="14">
        <v>29.551488075959064</v>
      </c>
      <c r="U28" s="14">
        <f t="shared" si="16"/>
        <v>818.14122827268125</v>
      </c>
      <c r="V28" s="14">
        <f t="shared" si="17"/>
        <v>50.12581364259497</v>
      </c>
      <c r="W28" s="14">
        <v>26.525505961531252</v>
      </c>
      <c r="X28" s="16">
        <f t="shared" si="18"/>
        <v>0.35551417126508378</v>
      </c>
      <c r="Y28" s="16">
        <f t="shared" si="23"/>
        <v>0.61532302536228967</v>
      </c>
      <c r="Z28" s="16">
        <f t="shared" si="19"/>
        <v>0.44238212630923029</v>
      </c>
      <c r="AA28" s="16">
        <f t="shared" si="20"/>
        <v>0.32561575346969063</v>
      </c>
      <c r="AB28" s="16">
        <f t="shared" si="1"/>
        <v>1.1111662359446758E-2</v>
      </c>
      <c r="AC28" s="14">
        <f t="shared" si="24"/>
        <v>50.12581364259497</v>
      </c>
      <c r="AD28" s="16">
        <f t="shared" si="2"/>
        <v>9.9891832549978049E-2</v>
      </c>
      <c r="AE28" s="16">
        <f t="shared" si="3"/>
        <v>1.5247130368471078E-2</v>
      </c>
      <c r="AF28" s="23" t="str">
        <f t="shared" si="21"/>
        <v/>
      </c>
      <c r="AG28" s="23" t="str">
        <f t="shared" si="4"/>
        <v/>
      </c>
      <c r="AH28" s="23" t="str">
        <f t="shared" si="5"/>
        <v/>
      </c>
      <c r="AI28" s="23" t="str">
        <f t="shared" si="22"/>
        <v/>
      </c>
      <c r="AJ28" s="23" t="str">
        <f t="shared" si="6"/>
        <v/>
      </c>
      <c r="AK28" s="23" t="str">
        <f t="shared" si="7"/>
        <v/>
      </c>
      <c r="AL28" s="23" t="str">
        <f t="shared" si="8"/>
        <v/>
      </c>
      <c r="AM28" s="23" t="str">
        <f t="shared" si="9"/>
        <v/>
      </c>
      <c r="AN28" s="19">
        <f t="shared" si="10"/>
        <v>0</v>
      </c>
      <c r="AO28" s="26">
        <f t="shared" si="11"/>
        <v>806.8421270621734</v>
      </c>
    </row>
    <row r="29" spans="1:41" x14ac:dyDescent="0.2">
      <c r="A29" s="12">
        <v>44583</v>
      </c>
      <c r="B29" s="6">
        <v>22</v>
      </c>
      <c r="C29" s="6">
        <v>22</v>
      </c>
      <c r="D29" s="6">
        <v>7</v>
      </c>
      <c r="E29" s="6" t="s">
        <v>10</v>
      </c>
      <c r="F29" s="6">
        <v>3</v>
      </c>
      <c r="G29" s="6">
        <v>1</v>
      </c>
      <c r="H29" s="6" t="s">
        <v>11</v>
      </c>
      <c r="I29" s="6">
        <v>1</v>
      </c>
      <c r="J29" s="14">
        <v>13.892050108302623</v>
      </c>
      <c r="K29" s="14">
        <f t="shared" si="12"/>
        <v>13.892050108302623</v>
      </c>
      <c r="L29" s="14">
        <v>50.155409072357315</v>
      </c>
      <c r="M29" s="14">
        <f t="shared" si="13"/>
        <v>696.76145603560383</v>
      </c>
      <c r="N29" s="16">
        <v>0.51131900475460801</v>
      </c>
      <c r="O29" s="14">
        <f t="shared" si="14"/>
        <v>356.26737425149651</v>
      </c>
      <c r="P29" s="14">
        <f t="shared" si="15"/>
        <v>340.49408178410732</v>
      </c>
      <c r="Q29" s="14">
        <v>34.149029051011908</v>
      </c>
      <c r="R29" s="14">
        <v>10.228027437209471</v>
      </c>
      <c r="S29" s="14">
        <f t="shared" si="0"/>
        <v>12.987012987012987</v>
      </c>
      <c r="T29" s="14">
        <v>25.701599641167935</v>
      </c>
      <c r="U29" s="14">
        <f t="shared" si="16"/>
        <v>487.73301922492266</v>
      </c>
      <c r="V29" s="14">
        <f t="shared" si="17"/>
        <v>35.108786350650121</v>
      </c>
      <c r="W29" s="14">
        <v>25.612169363451329</v>
      </c>
      <c r="X29" s="16">
        <f t="shared" si="18"/>
        <v>0.97266333019738693</v>
      </c>
      <c r="Y29" s="16">
        <f t="shared" si="23"/>
        <v>0.54240036879213505</v>
      </c>
      <c r="Z29" s="16">
        <f t="shared" si="19"/>
        <v>0.73045572107801149</v>
      </c>
      <c r="AA29" s="16">
        <f t="shared" si="20"/>
        <v>0.39568585394992956</v>
      </c>
      <c r="AB29" s="16">
        <f t="shared" si="1"/>
        <v>1.8639109374542329E-2</v>
      </c>
      <c r="AC29" s="14">
        <f t="shared" si="24"/>
        <v>35.108786350650121</v>
      </c>
      <c r="AD29" s="16">
        <f t="shared" si="2"/>
        <v>0.20392670753525072</v>
      </c>
      <c r="AE29" s="16">
        <f t="shared" si="3"/>
        <v>4.9011076538750052E-2</v>
      </c>
      <c r="AF29" s="23" t="str">
        <f t="shared" si="21"/>
        <v/>
      </c>
      <c r="AG29" s="23" t="str">
        <f t="shared" si="4"/>
        <v/>
      </c>
      <c r="AH29" s="23" t="str">
        <f t="shared" si="5"/>
        <v/>
      </c>
      <c r="AI29" s="23" t="str">
        <f t="shared" si="22"/>
        <v/>
      </c>
      <c r="AJ29" s="23" t="str">
        <f t="shared" si="6"/>
        <v/>
      </c>
      <c r="AK29" s="23" t="str">
        <f t="shared" si="7"/>
        <v/>
      </c>
      <c r="AL29" s="23" t="str">
        <f t="shared" si="8"/>
        <v/>
      </c>
      <c r="AM29" s="23" t="str">
        <f t="shared" si="9"/>
        <v/>
      </c>
      <c r="AN29" s="19">
        <f t="shared" si="10"/>
        <v>0</v>
      </c>
      <c r="AO29" s="26">
        <f t="shared" si="11"/>
        <v>340.49408178410732</v>
      </c>
    </row>
    <row r="30" spans="1:41" x14ac:dyDescent="0.2">
      <c r="A30" s="12">
        <v>44584</v>
      </c>
      <c r="B30" s="6">
        <v>23</v>
      </c>
      <c r="C30" s="6">
        <v>23</v>
      </c>
      <c r="D30" s="6">
        <v>1</v>
      </c>
      <c r="E30" s="6" t="s">
        <v>12</v>
      </c>
      <c r="F30" s="6">
        <v>4</v>
      </c>
      <c r="G30" s="6">
        <v>1</v>
      </c>
      <c r="H30" s="6" t="s">
        <v>11</v>
      </c>
      <c r="I30" s="6">
        <v>1</v>
      </c>
      <c r="J30" s="14">
        <v>7.8972022567366285</v>
      </c>
      <c r="K30" s="14">
        <f t="shared" si="12"/>
        <v>7.8972022567366285</v>
      </c>
      <c r="L30" s="14">
        <v>29.057494314594052</v>
      </c>
      <c r="M30" s="14">
        <f t="shared" si="13"/>
        <v>229.47290967632389</v>
      </c>
      <c r="N30" s="16">
        <v>0.19495880030232582</v>
      </c>
      <c r="O30" s="14">
        <f t="shared" si="14"/>
        <v>44.737763172380077</v>
      </c>
      <c r="P30" s="14">
        <f t="shared" si="15"/>
        <v>184.73514650394381</v>
      </c>
      <c r="Q30" s="14">
        <v>30.623702176179219</v>
      </c>
      <c r="R30" s="14">
        <v>2.8944195603519294</v>
      </c>
      <c r="S30" s="14">
        <f t="shared" si="0"/>
        <v>28.571428571428573</v>
      </c>
      <c r="T30" s="14">
        <v>29.51346190296432</v>
      </c>
      <c r="U30" s="14">
        <f t="shared" si="16"/>
        <v>160.63103677342673</v>
      </c>
      <c r="V30" s="14">
        <f t="shared" si="17"/>
        <v>20.340246020215837</v>
      </c>
      <c r="W30" s="14">
        <v>19.329010843560063</v>
      </c>
      <c r="X30" s="16">
        <f t="shared" si="18"/>
        <v>1.50557186701394</v>
      </c>
      <c r="Y30" s="16">
        <f t="shared" si="23"/>
        <v>0.40856732507694654</v>
      </c>
      <c r="Z30" s="16">
        <f t="shared" si="19"/>
        <v>0.27851257186046541</v>
      </c>
      <c r="AA30" s="16">
        <f t="shared" si="20"/>
        <v>0.38825500187597184</v>
      </c>
      <c r="AB30" s="16">
        <f t="shared" si="1"/>
        <v>0.12450893925443809</v>
      </c>
      <c r="AC30" s="14">
        <f t="shared" si="24"/>
        <v>20.340246020215837</v>
      </c>
      <c r="AD30" s="16">
        <f t="shared" si="2"/>
        <v>9.9610087814702403E-2</v>
      </c>
      <c r="AE30" s="16">
        <f t="shared" si="3"/>
        <v>0.13345236358999657</v>
      </c>
      <c r="AF30" s="23" t="str">
        <f t="shared" si="21"/>
        <v/>
      </c>
      <c r="AG30" s="23">
        <f t="shared" si="4"/>
        <v>1000</v>
      </c>
      <c r="AH30" s="23" t="str">
        <f t="shared" si="5"/>
        <v/>
      </c>
      <c r="AI30" s="23" t="str">
        <f t="shared" si="22"/>
        <v/>
      </c>
      <c r="AJ30" s="23" t="str">
        <f t="shared" si="6"/>
        <v/>
      </c>
      <c r="AK30" s="23" t="str">
        <f t="shared" si="7"/>
        <v/>
      </c>
      <c r="AL30" s="23" t="str">
        <f t="shared" si="8"/>
        <v/>
      </c>
      <c r="AM30" s="23" t="str">
        <f t="shared" si="9"/>
        <v/>
      </c>
      <c r="AN30" s="19">
        <f t="shared" si="10"/>
        <v>1000</v>
      </c>
      <c r="AO30" s="26">
        <f t="shared" si="11"/>
        <v>-815.26485349605616</v>
      </c>
    </row>
    <row r="31" spans="1:41" x14ac:dyDescent="0.2">
      <c r="A31" s="12">
        <v>44585</v>
      </c>
      <c r="B31" s="6">
        <v>24</v>
      </c>
      <c r="C31" s="6">
        <v>24</v>
      </c>
      <c r="D31" s="6">
        <v>2</v>
      </c>
      <c r="E31" s="6" t="s">
        <v>13</v>
      </c>
      <c r="F31" s="6">
        <v>4</v>
      </c>
      <c r="G31" s="6">
        <v>1</v>
      </c>
      <c r="H31" s="6" t="s">
        <v>11</v>
      </c>
      <c r="I31" s="6">
        <v>1</v>
      </c>
      <c r="J31" s="14">
        <v>11.387260536758729</v>
      </c>
      <c r="K31" s="14">
        <f t="shared" si="12"/>
        <v>11.387260536758729</v>
      </c>
      <c r="L31" s="14">
        <v>48.723865838931154</v>
      </c>
      <c r="M31" s="14">
        <f t="shared" si="13"/>
        <v>554.83135466598753</v>
      </c>
      <c r="N31" s="16">
        <v>0.29905140328159469</v>
      </c>
      <c r="O31" s="14">
        <f t="shared" si="14"/>
        <v>165.92309519749173</v>
      </c>
      <c r="P31" s="14">
        <f t="shared" si="15"/>
        <v>388.90825946849577</v>
      </c>
      <c r="Q31" s="14">
        <v>72.642025055027389</v>
      </c>
      <c r="R31" s="14">
        <v>14.207313009518359</v>
      </c>
      <c r="S31" s="14">
        <f t="shared" si="0"/>
        <v>12.987012987012987</v>
      </c>
      <c r="T31" s="14">
        <v>42.619785681498001</v>
      </c>
      <c r="U31" s="14">
        <f t="shared" si="16"/>
        <v>388.38194826619127</v>
      </c>
      <c r="V31" s="14">
        <f t="shared" si="17"/>
        <v>34.106706087251808</v>
      </c>
      <c r="W31" s="14">
        <v>61.519263653991239</v>
      </c>
      <c r="X31" s="16">
        <f t="shared" si="18"/>
        <v>2.1298458100642872</v>
      </c>
      <c r="Y31" s="16">
        <f t="shared" si="23"/>
        <v>0.18510072878643677</v>
      </c>
      <c r="Z31" s="16">
        <f t="shared" si="19"/>
        <v>0.42721629040227815</v>
      </c>
      <c r="AA31" s="16">
        <f t="shared" si="20"/>
        <v>0.33387160013716449</v>
      </c>
      <c r="AB31" s="16">
        <f t="shared" si="1"/>
        <v>2.3407136020334073E-2</v>
      </c>
      <c r="AC31" s="14">
        <f t="shared" si="24"/>
        <v>34.106706087251808</v>
      </c>
      <c r="AD31" s="16">
        <f t="shared" si="2"/>
        <v>0.29158837799291548</v>
      </c>
      <c r="AE31" s="16">
        <f t="shared" si="3"/>
        <v>0.13092631561667673</v>
      </c>
      <c r="AF31" s="23" t="str">
        <f t="shared" si="21"/>
        <v/>
      </c>
      <c r="AG31" s="23" t="str">
        <f t="shared" si="4"/>
        <v/>
      </c>
      <c r="AH31" s="23" t="str">
        <f t="shared" si="5"/>
        <v/>
      </c>
      <c r="AI31" s="23" t="str">
        <f t="shared" si="22"/>
        <v/>
      </c>
      <c r="AJ31" s="23" t="str">
        <f t="shared" si="6"/>
        <v/>
      </c>
      <c r="AK31" s="23" t="str">
        <f t="shared" si="7"/>
        <v/>
      </c>
      <c r="AL31" s="23" t="str">
        <f t="shared" si="8"/>
        <v/>
      </c>
      <c r="AM31" s="23" t="str">
        <f t="shared" si="9"/>
        <v/>
      </c>
      <c r="AN31" s="19">
        <f t="shared" si="10"/>
        <v>0</v>
      </c>
      <c r="AO31" s="26">
        <f t="shared" si="11"/>
        <v>388.90825946849577</v>
      </c>
    </row>
    <row r="32" spans="1:41" x14ac:dyDescent="0.2">
      <c r="A32" s="12">
        <v>44586</v>
      </c>
      <c r="B32" s="6">
        <v>25</v>
      </c>
      <c r="C32" s="6">
        <v>25</v>
      </c>
      <c r="D32" s="6">
        <v>3</v>
      </c>
      <c r="E32" s="6" t="s">
        <v>14</v>
      </c>
      <c r="F32" s="6">
        <v>4</v>
      </c>
      <c r="G32" s="6">
        <v>1</v>
      </c>
      <c r="H32" s="6" t="s">
        <v>11</v>
      </c>
      <c r="I32" s="6">
        <v>1</v>
      </c>
      <c r="J32" s="14">
        <v>13.291160321798269</v>
      </c>
      <c r="K32" s="14">
        <f t="shared" si="12"/>
        <v>13.291160321798269</v>
      </c>
      <c r="L32" s="14">
        <v>117.57123123164216</v>
      </c>
      <c r="M32" s="14">
        <f t="shared" si="13"/>
        <v>1562.6580835309717</v>
      </c>
      <c r="N32" s="16">
        <v>0.152978101789598</v>
      </c>
      <c r="O32" s="14">
        <f t="shared" si="14"/>
        <v>239.05246736473913</v>
      </c>
      <c r="P32" s="14">
        <f t="shared" si="15"/>
        <v>1323.6056161662325</v>
      </c>
      <c r="Q32" s="14">
        <v>44.527586967277493</v>
      </c>
      <c r="R32" s="14">
        <v>9.5856276971265952</v>
      </c>
      <c r="S32" s="14">
        <f t="shared" si="0"/>
        <v>12.987012987012987</v>
      </c>
      <c r="T32" s="14">
        <v>31.405386198392833</v>
      </c>
      <c r="U32" s="14">
        <f t="shared" si="16"/>
        <v>1093.8606584716802</v>
      </c>
      <c r="V32" s="14">
        <f t="shared" si="17"/>
        <v>82.299861862149513</v>
      </c>
      <c r="W32" s="14">
        <v>44.401486291940614</v>
      </c>
      <c r="X32" s="16">
        <f t="shared" si="18"/>
        <v>0.54104084696837329</v>
      </c>
      <c r="Y32" s="16">
        <f t="shared" si="23"/>
        <v>0.29934043726393839</v>
      </c>
      <c r="Z32" s="16">
        <f t="shared" si="19"/>
        <v>0.21854014541371145</v>
      </c>
      <c r="AA32" s="16">
        <f t="shared" si="20"/>
        <v>0.16149675128326066</v>
      </c>
      <c r="AB32" s="16">
        <f t="shared" si="1"/>
        <v>8.3108474744952657E-3</v>
      </c>
      <c r="AC32" s="14">
        <f t="shared" si="24"/>
        <v>82.299861862149513</v>
      </c>
      <c r="AD32" s="16">
        <f t="shared" si="2"/>
        <v>8.1530384573762951E-2</v>
      </c>
      <c r="AE32" s="16">
        <f t="shared" si="3"/>
        <v>2.8494772744312214E-2</v>
      </c>
      <c r="AF32" s="23" t="str">
        <f t="shared" si="21"/>
        <v/>
      </c>
      <c r="AG32" s="23" t="str">
        <f t="shared" si="4"/>
        <v/>
      </c>
      <c r="AH32" s="23" t="str">
        <f t="shared" si="5"/>
        <v/>
      </c>
      <c r="AI32" s="23" t="str">
        <f t="shared" si="22"/>
        <v/>
      </c>
      <c r="AJ32" s="23" t="str">
        <f t="shared" si="6"/>
        <v/>
      </c>
      <c r="AK32" s="23" t="str">
        <f t="shared" si="7"/>
        <v/>
      </c>
      <c r="AL32" s="23">
        <f t="shared" si="8"/>
        <v>83</v>
      </c>
      <c r="AM32" s="23" t="str">
        <f t="shared" si="9"/>
        <v/>
      </c>
      <c r="AN32" s="19">
        <f t="shared" si="10"/>
        <v>83</v>
      </c>
      <c r="AO32" s="26">
        <f t="shared" si="11"/>
        <v>1240.6056161662325</v>
      </c>
    </row>
    <row r="33" spans="1:41" x14ac:dyDescent="0.2">
      <c r="A33" s="12">
        <v>44587</v>
      </c>
      <c r="B33" s="6">
        <v>26</v>
      </c>
      <c r="C33" s="6">
        <v>26</v>
      </c>
      <c r="D33" s="6">
        <v>4</v>
      </c>
      <c r="E33" s="6" t="s">
        <v>15</v>
      </c>
      <c r="F33" s="6">
        <v>4</v>
      </c>
      <c r="G33" s="6">
        <v>1</v>
      </c>
      <c r="H33" s="6" t="s">
        <v>11</v>
      </c>
      <c r="I33" s="6">
        <v>1</v>
      </c>
      <c r="J33" s="14">
        <v>15.536745757215304</v>
      </c>
      <c r="K33" s="14">
        <f t="shared" si="12"/>
        <v>15.536745757215304</v>
      </c>
      <c r="L33" s="14">
        <v>70.240454971124706</v>
      </c>
      <c r="M33" s="14">
        <f t="shared" si="13"/>
        <v>1091.3080907574943</v>
      </c>
      <c r="N33" s="16">
        <v>0.5483522423594045</v>
      </c>
      <c r="O33" s="14">
        <f t="shared" si="14"/>
        <v>598.4212386718325</v>
      </c>
      <c r="P33" s="14">
        <f t="shared" si="15"/>
        <v>492.88685208566176</v>
      </c>
      <c r="Q33" s="14">
        <v>50.853132162896408</v>
      </c>
      <c r="R33" s="14">
        <v>14.693402194655292</v>
      </c>
      <c r="S33" s="14">
        <f t="shared" si="0"/>
        <v>12.987012987012987</v>
      </c>
      <c r="T33" s="14">
        <v>60.275227822509656</v>
      </c>
      <c r="U33" s="14">
        <f t="shared" si="16"/>
        <v>763.91566353024598</v>
      </c>
      <c r="V33" s="14">
        <f t="shared" si="17"/>
        <v>49.168318479787288</v>
      </c>
      <c r="W33" s="14">
        <v>43.810886955553791</v>
      </c>
      <c r="X33" s="16">
        <f t="shared" si="18"/>
        <v>1.0342662457289795</v>
      </c>
      <c r="Y33" s="16">
        <f t="shared" si="23"/>
        <v>0.35463207519576939</v>
      </c>
      <c r="Z33" s="16">
        <f t="shared" si="19"/>
        <v>0.78336034622772077</v>
      </c>
      <c r="AA33" s="16">
        <f t="shared" si="20"/>
        <v>0.31599099252504109</v>
      </c>
      <c r="AB33" s="16">
        <f t="shared" si="1"/>
        <v>1.1900409331702558E-2</v>
      </c>
      <c r="AC33" s="14">
        <f t="shared" si="24"/>
        <v>49.168318479787288</v>
      </c>
      <c r="AD33" s="16">
        <f t="shared" si="2"/>
        <v>0.20918717284356478</v>
      </c>
      <c r="AE33" s="16">
        <f t="shared" si="3"/>
        <v>4.6598327817397964E-2</v>
      </c>
      <c r="AF33" s="23" t="str">
        <f t="shared" si="21"/>
        <v/>
      </c>
      <c r="AG33" s="23" t="str">
        <f t="shared" si="4"/>
        <v/>
      </c>
      <c r="AH33" s="23" t="str">
        <f t="shared" si="5"/>
        <v/>
      </c>
      <c r="AI33" s="23" t="str">
        <f t="shared" si="22"/>
        <v/>
      </c>
      <c r="AJ33" s="23" t="str">
        <f t="shared" si="6"/>
        <v/>
      </c>
      <c r="AK33" s="23" t="str">
        <f t="shared" si="7"/>
        <v/>
      </c>
      <c r="AL33" s="23" t="str">
        <f t="shared" si="8"/>
        <v/>
      </c>
      <c r="AM33" s="23" t="str">
        <f t="shared" si="9"/>
        <v/>
      </c>
      <c r="AN33" s="19">
        <f t="shared" si="10"/>
        <v>0</v>
      </c>
      <c r="AO33" s="26">
        <f t="shared" si="11"/>
        <v>492.88685208566176</v>
      </c>
    </row>
    <row r="34" spans="1:41" x14ac:dyDescent="0.2">
      <c r="A34" s="12">
        <v>44588</v>
      </c>
      <c r="B34" s="6">
        <v>27</v>
      </c>
      <c r="C34" s="6">
        <v>27</v>
      </c>
      <c r="D34" s="6">
        <v>5</v>
      </c>
      <c r="E34" s="6" t="s">
        <v>16</v>
      </c>
      <c r="F34" s="6">
        <v>4</v>
      </c>
      <c r="G34" s="6">
        <v>1</v>
      </c>
      <c r="H34" s="6" t="s">
        <v>11</v>
      </c>
      <c r="I34" s="6">
        <v>1</v>
      </c>
      <c r="J34" s="14">
        <v>8.2798464154411349</v>
      </c>
      <c r="K34" s="14">
        <f t="shared" si="12"/>
        <v>8.2798464154411349</v>
      </c>
      <c r="L34" s="14">
        <v>49.582238428723684</v>
      </c>
      <c r="M34" s="14">
        <f t="shared" si="13"/>
        <v>410.53331912361551</v>
      </c>
      <c r="N34" s="16">
        <v>0.65251055763237753</v>
      </c>
      <c r="O34" s="14">
        <f t="shared" si="14"/>
        <v>267.87732498802114</v>
      </c>
      <c r="P34" s="14">
        <f t="shared" si="15"/>
        <v>142.65599413559437</v>
      </c>
      <c r="Q34" s="14">
        <v>37.931775527799502</v>
      </c>
      <c r="R34" s="14">
        <v>15.40375554673261</v>
      </c>
      <c r="S34" s="14">
        <f t="shared" si="0"/>
        <v>12.987012987012987</v>
      </c>
      <c r="T34" s="14">
        <v>66.065495410643393</v>
      </c>
      <c r="U34" s="14">
        <f t="shared" si="16"/>
        <v>287.37332338653084</v>
      </c>
      <c r="V34" s="14">
        <f t="shared" si="17"/>
        <v>34.707566900106578</v>
      </c>
      <c r="W34" s="14">
        <v>54.846462517419383</v>
      </c>
      <c r="X34" s="16">
        <f t="shared" si="18"/>
        <v>1.0928964175729363</v>
      </c>
      <c r="Y34" s="16">
        <f t="shared" si="23"/>
        <v>0.15096409203804956</v>
      </c>
      <c r="Z34" s="16">
        <f t="shared" si="19"/>
        <v>0.93215793947482506</v>
      </c>
      <c r="AA34" s="16">
        <f t="shared" si="20"/>
        <v>0.23856026667820698</v>
      </c>
      <c r="AB34" s="16">
        <f t="shared" si="1"/>
        <v>3.1634491969462955E-2</v>
      </c>
      <c r="AC34" s="14">
        <f t="shared" si="24"/>
        <v>34.707566900106578</v>
      </c>
      <c r="AD34" s="16">
        <f t="shared" si="2"/>
        <v>0.31067083768063603</v>
      </c>
      <c r="AE34" s="16">
        <f t="shared" si="3"/>
        <v>9.2396338520766647E-2</v>
      </c>
      <c r="AF34" s="23" t="str">
        <f t="shared" si="21"/>
        <v/>
      </c>
      <c r="AG34" s="23" t="str">
        <f t="shared" si="4"/>
        <v/>
      </c>
      <c r="AH34" s="23" t="str">
        <f t="shared" si="5"/>
        <v/>
      </c>
      <c r="AI34" s="23" t="str">
        <f t="shared" si="22"/>
        <v/>
      </c>
      <c r="AJ34" s="23" t="str">
        <f t="shared" si="6"/>
        <v/>
      </c>
      <c r="AK34" s="23" t="str">
        <f t="shared" si="7"/>
        <v/>
      </c>
      <c r="AL34" s="23" t="str">
        <f t="shared" si="8"/>
        <v/>
      </c>
      <c r="AM34" s="23" t="str">
        <f t="shared" si="9"/>
        <v/>
      </c>
      <c r="AN34" s="19">
        <f t="shared" si="10"/>
        <v>0</v>
      </c>
      <c r="AO34" s="26">
        <f t="shared" si="11"/>
        <v>142.65599413559437</v>
      </c>
    </row>
    <row r="35" spans="1:41" x14ac:dyDescent="0.2">
      <c r="A35" s="12">
        <v>44589</v>
      </c>
      <c r="B35" s="6">
        <v>28</v>
      </c>
      <c r="C35" s="6">
        <v>28</v>
      </c>
      <c r="D35" s="6">
        <v>6</v>
      </c>
      <c r="E35" s="6" t="s">
        <v>17</v>
      </c>
      <c r="F35" s="6">
        <v>4</v>
      </c>
      <c r="G35" s="6">
        <v>1</v>
      </c>
      <c r="H35" s="6" t="s">
        <v>11</v>
      </c>
      <c r="I35" s="6">
        <v>1</v>
      </c>
      <c r="J35" s="14">
        <v>16.508339456429443</v>
      </c>
      <c r="K35" s="14">
        <f t="shared" si="12"/>
        <v>16.508339456429443</v>
      </c>
      <c r="L35" s="14">
        <v>50.919568321160916</v>
      </c>
      <c r="M35" s="14">
        <f t="shared" si="13"/>
        <v>840.59751882057549</v>
      </c>
      <c r="N35" s="16">
        <v>0.48376781139411573</v>
      </c>
      <c r="O35" s="14">
        <f t="shared" si="14"/>
        <v>406.65402194315379</v>
      </c>
      <c r="P35" s="14">
        <f t="shared" si="15"/>
        <v>433.94349687742169</v>
      </c>
      <c r="Q35" s="14">
        <v>69.965372029556406</v>
      </c>
      <c r="R35" s="14">
        <v>15.737721832892973</v>
      </c>
      <c r="S35" s="14">
        <f t="shared" si="0"/>
        <v>12.987012987012987</v>
      </c>
      <c r="T35" s="14">
        <v>41.929469742803477</v>
      </c>
      <c r="U35" s="14">
        <f t="shared" si="16"/>
        <v>588.4182631744028</v>
      </c>
      <c r="V35" s="14">
        <f t="shared" si="17"/>
        <v>35.643697824812641</v>
      </c>
      <c r="W35" s="14">
        <v>52.256721390889084</v>
      </c>
      <c r="X35" s="16">
        <f t="shared" si="18"/>
        <v>1.9629100317658799</v>
      </c>
      <c r="Y35" s="16">
        <f t="shared" si="23"/>
        <v>0.31590844234073318</v>
      </c>
      <c r="Z35" s="16">
        <f t="shared" si="19"/>
        <v>0.69109687342016535</v>
      </c>
      <c r="AA35" s="16">
        <f t="shared" si="20"/>
        <v>0.46314890047512119</v>
      </c>
      <c r="AB35" s="16">
        <f t="shared" si="1"/>
        <v>1.5449739853187752E-2</v>
      </c>
      <c r="AC35" s="14">
        <f t="shared" si="24"/>
        <v>35.643697824812641</v>
      </c>
      <c r="AD35" s="16">
        <f t="shared" si="2"/>
        <v>0.30907021311790589</v>
      </c>
      <c r="AE35" s="16">
        <f t="shared" si="3"/>
        <v>8.3232903337287181E-2</v>
      </c>
      <c r="AF35" s="23" t="str">
        <f t="shared" si="21"/>
        <v/>
      </c>
      <c r="AG35" s="23" t="str">
        <f t="shared" si="4"/>
        <v/>
      </c>
      <c r="AH35" s="23" t="str">
        <f t="shared" si="5"/>
        <v/>
      </c>
      <c r="AI35" s="23" t="str">
        <f t="shared" si="22"/>
        <v/>
      </c>
      <c r="AJ35" s="23" t="str">
        <f t="shared" si="6"/>
        <v/>
      </c>
      <c r="AK35" s="23" t="str">
        <f t="shared" si="7"/>
        <v/>
      </c>
      <c r="AL35" s="23" t="str">
        <f t="shared" si="8"/>
        <v/>
      </c>
      <c r="AM35" s="23" t="str">
        <f t="shared" si="9"/>
        <v/>
      </c>
      <c r="AN35" s="19">
        <f t="shared" si="10"/>
        <v>0</v>
      </c>
      <c r="AO35" s="26">
        <f t="shared" si="11"/>
        <v>433.94349687742169</v>
      </c>
    </row>
    <row r="36" spans="1:41" x14ac:dyDescent="0.2">
      <c r="A36" s="12">
        <v>44590</v>
      </c>
      <c r="B36" s="6">
        <v>29</v>
      </c>
      <c r="C36" s="6">
        <v>29</v>
      </c>
      <c r="D36" s="6">
        <v>7</v>
      </c>
      <c r="E36" s="6" t="s">
        <v>10</v>
      </c>
      <c r="F36" s="6">
        <v>4</v>
      </c>
      <c r="G36" s="6">
        <v>1</v>
      </c>
      <c r="H36" s="6" t="s">
        <v>11</v>
      </c>
      <c r="I36" s="6">
        <v>1</v>
      </c>
      <c r="J36" s="14">
        <v>10.970620953831924</v>
      </c>
      <c r="K36" s="14">
        <f t="shared" si="12"/>
        <v>10.970620953831924</v>
      </c>
      <c r="L36" s="14">
        <v>94.283258342258677</v>
      </c>
      <c r="M36" s="14">
        <f t="shared" si="13"/>
        <v>1034.3458895651315</v>
      </c>
      <c r="N36" s="16">
        <v>0.24933334441415855</v>
      </c>
      <c r="O36" s="14">
        <f t="shared" si="14"/>
        <v>257.89691992631214</v>
      </c>
      <c r="P36" s="14">
        <f t="shared" si="15"/>
        <v>776.44896963881934</v>
      </c>
      <c r="Q36" s="14">
        <v>48.601564284201189</v>
      </c>
      <c r="R36" s="14">
        <v>14.845973658119274</v>
      </c>
      <c r="S36" s="14">
        <f t="shared" si="0"/>
        <v>12.987012987012987</v>
      </c>
      <c r="T36" s="14">
        <v>43.587324012372505</v>
      </c>
      <c r="U36" s="14">
        <f t="shared" si="16"/>
        <v>724.04212269559207</v>
      </c>
      <c r="V36" s="14">
        <f t="shared" si="17"/>
        <v>65.998280839581071</v>
      </c>
      <c r="W36" s="14">
        <v>57.900264105500419</v>
      </c>
      <c r="X36" s="16">
        <f t="shared" si="18"/>
        <v>0.73640651947184399</v>
      </c>
      <c r="Y36" s="16">
        <f t="shared" si="23"/>
        <v>0.18947445444881372</v>
      </c>
      <c r="Z36" s="16">
        <f t="shared" si="19"/>
        <v>0.35619049202022651</v>
      </c>
      <c r="AA36" s="16">
        <f t="shared" si="20"/>
        <v>0.16622585943560708</v>
      </c>
      <c r="AB36" s="16">
        <f t="shared" si="1"/>
        <v>1.2555773767780038E-2</v>
      </c>
      <c r="AC36" s="14">
        <f t="shared" si="24"/>
        <v>65.998280839581071</v>
      </c>
      <c r="AD36" s="16">
        <f t="shared" si="2"/>
        <v>0.15746139791039832</v>
      </c>
      <c r="AE36" s="16">
        <f t="shared" si="3"/>
        <v>4.6987728935273934E-2</v>
      </c>
      <c r="AF36" s="23" t="str">
        <f t="shared" si="21"/>
        <v/>
      </c>
      <c r="AG36" s="23" t="str">
        <f t="shared" si="4"/>
        <v/>
      </c>
      <c r="AH36" s="23" t="str">
        <f t="shared" si="5"/>
        <v/>
      </c>
      <c r="AI36" s="23" t="str">
        <f t="shared" si="22"/>
        <v/>
      </c>
      <c r="AJ36" s="23" t="str">
        <f t="shared" si="6"/>
        <v/>
      </c>
      <c r="AK36" s="23" t="str">
        <f t="shared" si="7"/>
        <v/>
      </c>
      <c r="AL36" s="23" t="str">
        <f t="shared" si="8"/>
        <v/>
      </c>
      <c r="AM36" s="23" t="str">
        <f t="shared" si="9"/>
        <v/>
      </c>
      <c r="AN36" s="19">
        <f t="shared" si="10"/>
        <v>0</v>
      </c>
      <c r="AO36" s="26">
        <f t="shared" si="11"/>
        <v>776.44896963881934</v>
      </c>
    </row>
    <row r="37" spans="1:41" x14ac:dyDescent="0.2">
      <c r="A37" s="12">
        <v>44591</v>
      </c>
      <c r="B37" s="6">
        <v>30</v>
      </c>
      <c r="C37" s="6">
        <v>30</v>
      </c>
      <c r="D37" s="6">
        <v>1</v>
      </c>
      <c r="E37" s="6" t="s">
        <v>12</v>
      </c>
      <c r="F37" s="6">
        <v>5</v>
      </c>
      <c r="G37" s="6">
        <v>1</v>
      </c>
      <c r="H37" s="6" t="s">
        <v>11</v>
      </c>
      <c r="I37" s="6">
        <v>1</v>
      </c>
      <c r="J37" s="14">
        <v>7.3724797018319936</v>
      </c>
      <c r="K37" s="14">
        <f t="shared" si="12"/>
        <v>7.3724797018319936</v>
      </c>
      <c r="L37" s="14">
        <v>25.009178207076488</v>
      </c>
      <c r="M37" s="14">
        <f t="shared" si="13"/>
        <v>184.37965869117045</v>
      </c>
      <c r="N37" s="16">
        <v>0.23280064168165271</v>
      </c>
      <c r="O37" s="14">
        <f t="shared" si="14"/>
        <v>42.923702856348598</v>
      </c>
      <c r="P37" s="14">
        <f t="shared" si="15"/>
        <v>141.45595583482185</v>
      </c>
      <c r="Q37" s="14">
        <v>36.309951792277595</v>
      </c>
      <c r="R37" s="14">
        <v>3.6669294375142747</v>
      </c>
      <c r="S37" s="14">
        <f t="shared" si="0"/>
        <v>28.571428571428573</v>
      </c>
      <c r="T37" s="14">
        <v>29.591619125359777</v>
      </c>
      <c r="U37" s="14">
        <f t="shared" si="16"/>
        <v>129.0657610838193</v>
      </c>
      <c r="V37" s="14">
        <f t="shared" si="17"/>
        <v>17.506424744953538</v>
      </c>
      <c r="W37" s="14">
        <v>29.889544556204473</v>
      </c>
      <c r="X37" s="16">
        <f t="shared" si="18"/>
        <v>2.0740929299538688</v>
      </c>
      <c r="Y37" s="16">
        <f t="shared" si="23"/>
        <v>0.24665747877050251</v>
      </c>
      <c r="Z37" s="16">
        <f t="shared" si="19"/>
        <v>0.33257234525950391</v>
      </c>
      <c r="AA37" s="16">
        <f t="shared" si="20"/>
        <v>0.42112994567649858</v>
      </c>
      <c r="AB37" s="16">
        <f t="shared" si="1"/>
        <v>0.15495976494502969</v>
      </c>
      <c r="AC37" s="14">
        <f t="shared" si="24"/>
        <v>17.506424744953538</v>
      </c>
      <c r="AD37" s="16">
        <f t="shared" si="2"/>
        <v>0.14662334792259174</v>
      </c>
      <c r="AE37" s="16">
        <f t="shared" si="3"/>
        <v>0.19693035582138432</v>
      </c>
      <c r="AF37" s="23" t="str">
        <f t="shared" si="21"/>
        <v/>
      </c>
      <c r="AG37" s="23">
        <f t="shared" si="4"/>
        <v>1000</v>
      </c>
      <c r="AH37" s="23" t="str">
        <f t="shared" si="5"/>
        <v/>
      </c>
      <c r="AI37" s="23" t="str">
        <f t="shared" si="22"/>
        <v/>
      </c>
      <c r="AJ37" s="23" t="str">
        <f t="shared" si="6"/>
        <v/>
      </c>
      <c r="AK37" s="23" t="str">
        <f t="shared" si="7"/>
        <v/>
      </c>
      <c r="AL37" s="23" t="str">
        <f t="shared" si="8"/>
        <v/>
      </c>
      <c r="AM37" s="23" t="str">
        <f t="shared" si="9"/>
        <v/>
      </c>
      <c r="AN37" s="19">
        <f t="shared" si="10"/>
        <v>1000</v>
      </c>
      <c r="AO37" s="26">
        <f t="shared" si="11"/>
        <v>-858.54404416517809</v>
      </c>
    </row>
    <row r="38" spans="1:41" x14ac:dyDescent="0.2">
      <c r="A38" s="12">
        <v>44592</v>
      </c>
      <c r="B38" s="6">
        <v>31</v>
      </c>
      <c r="C38" s="6">
        <v>31</v>
      </c>
      <c r="D38" s="6">
        <v>2</v>
      </c>
      <c r="E38" s="6" t="s">
        <v>13</v>
      </c>
      <c r="F38" s="6">
        <v>5</v>
      </c>
      <c r="G38" s="6">
        <v>1</v>
      </c>
      <c r="H38" s="6" t="s">
        <v>11</v>
      </c>
      <c r="I38" s="6">
        <v>1</v>
      </c>
      <c r="J38" s="14">
        <v>8.7648832159991059</v>
      </c>
      <c r="K38" s="14">
        <f t="shared" si="12"/>
        <v>8.7648832159991059</v>
      </c>
      <c r="L38" s="14">
        <v>32.199326815748179</v>
      </c>
      <c r="M38" s="14">
        <f t="shared" si="13"/>
        <v>282.22333917382116</v>
      </c>
      <c r="N38" s="16">
        <v>0.5216418155673892</v>
      </c>
      <c r="O38" s="14">
        <f t="shared" si="14"/>
        <v>147.21949504212316</v>
      </c>
      <c r="P38" s="14">
        <f t="shared" si="15"/>
        <v>135.003844131698</v>
      </c>
      <c r="Q38" s="14">
        <v>71.663319832317015</v>
      </c>
      <c r="R38" s="14">
        <v>7.7333283644123165</v>
      </c>
      <c r="S38" s="14">
        <f t="shared" si="0"/>
        <v>12.987012987012987</v>
      </c>
      <c r="T38" s="14">
        <v>49.634748552070064</v>
      </c>
      <c r="U38" s="14">
        <f t="shared" si="16"/>
        <v>197.55633742167481</v>
      </c>
      <c r="V38" s="14">
        <f t="shared" si="17"/>
        <v>22.539528771023726</v>
      </c>
      <c r="W38" s="14">
        <v>67.101300794781892</v>
      </c>
      <c r="X38" s="16">
        <f t="shared" si="18"/>
        <v>3.1794506691038569</v>
      </c>
      <c r="Y38" s="16">
        <f t="shared" si="23"/>
        <v>0.13062165877834522</v>
      </c>
      <c r="Z38" s="16">
        <f t="shared" si="19"/>
        <v>0.74520259366769892</v>
      </c>
      <c r="AA38" s="16">
        <f t="shared" si="20"/>
        <v>0.38886718995061814</v>
      </c>
      <c r="AB38" s="16">
        <f t="shared" si="1"/>
        <v>4.6016793030055868E-2</v>
      </c>
      <c r="AC38" s="14">
        <f t="shared" si="24"/>
        <v>22.539528771023726</v>
      </c>
      <c r="AD38" s="16">
        <f t="shared" si="2"/>
        <v>0.24017049824253059</v>
      </c>
      <c r="AE38" s="16">
        <f t="shared" si="3"/>
        <v>0.25392414405592312</v>
      </c>
      <c r="AF38" s="23" t="str">
        <f t="shared" si="21"/>
        <v/>
      </c>
      <c r="AG38" s="23" t="str">
        <f t="shared" si="4"/>
        <v/>
      </c>
      <c r="AH38" s="23" t="str">
        <f t="shared" si="5"/>
        <v/>
      </c>
      <c r="AI38" s="23" t="str">
        <f t="shared" si="22"/>
        <v/>
      </c>
      <c r="AJ38" s="23" t="str">
        <f t="shared" si="6"/>
        <v/>
      </c>
      <c r="AK38" s="23" t="str">
        <f t="shared" si="7"/>
        <v/>
      </c>
      <c r="AL38" s="23" t="str">
        <f t="shared" si="8"/>
        <v/>
      </c>
      <c r="AM38" s="23" t="str">
        <f t="shared" si="9"/>
        <v/>
      </c>
      <c r="AN38" s="19">
        <f t="shared" si="10"/>
        <v>0</v>
      </c>
      <c r="AO38" s="26">
        <f t="shared" si="11"/>
        <v>135.003844131698</v>
      </c>
    </row>
    <row r="39" spans="1:41" x14ac:dyDescent="0.2">
      <c r="A39" s="12">
        <v>44593</v>
      </c>
      <c r="B39" s="6">
        <v>1</v>
      </c>
      <c r="C39" s="6">
        <v>32</v>
      </c>
      <c r="D39" s="6">
        <v>3</v>
      </c>
      <c r="E39" s="6" t="s">
        <v>14</v>
      </c>
      <c r="F39" s="6">
        <v>5</v>
      </c>
      <c r="G39" s="6">
        <v>2</v>
      </c>
      <c r="H39" s="6" t="s">
        <v>18</v>
      </c>
      <c r="I39" s="6">
        <v>1</v>
      </c>
      <c r="J39" s="14">
        <v>14.527800914189736</v>
      </c>
      <c r="K39" s="14">
        <f t="shared" si="12"/>
        <v>14.527800914189736</v>
      </c>
      <c r="L39" s="14">
        <v>50.953442607060374</v>
      </c>
      <c r="M39" s="14">
        <f t="shared" si="13"/>
        <v>740.24147008796592</v>
      </c>
      <c r="N39" s="16">
        <v>0.44355669442035472</v>
      </c>
      <c r="O39" s="14">
        <f t="shared" si="14"/>
        <v>328.33905954508208</v>
      </c>
      <c r="P39" s="14">
        <f t="shared" si="15"/>
        <v>411.90241054288384</v>
      </c>
      <c r="Q39" s="14">
        <v>62.029815334441757</v>
      </c>
      <c r="R39" s="14">
        <v>13.816093946208319</v>
      </c>
      <c r="S39" s="14">
        <f t="shared" si="0"/>
        <v>12.987012987012987</v>
      </c>
      <c r="T39" s="14">
        <v>58.166916841892409</v>
      </c>
      <c r="U39" s="14">
        <f t="shared" si="16"/>
        <v>518.16902906157611</v>
      </c>
      <c r="V39" s="14">
        <f t="shared" si="17"/>
        <v>35.667409824942254</v>
      </c>
      <c r="W39" s="14">
        <v>60.882166778633007</v>
      </c>
      <c r="X39" s="16">
        <f t="shared" si="18"/>
        <v>1.7391174643431564</v>
      </c>
      <c r="Y39" s="16">
        <f t="shared" si="23"/>
        <v>0.23862161422428813</v>
      </c>
      <c r="Z39" s="16">
        <f t="shared" si="19"/>
        <v>0.63365242060050686</v>
      </c>
      <c r="AA39" s="16">
        <f t="shared" si="20"/>
        <v>0.40731303409731845</v>
      </c>
      <c r="AB39" s="16">
        <f t="shared" si="1"/>
        <v>1.7544292655570469E-2</v>
      </c>
      <c r="AC39" s="14">
        <f t="shared" si="24"/>
        <v>35.667409824942254</v>
      </c>
      <c r="AD39" s="16">
        <f t="shared" si="2"/>
        <v>0.2711513342239586</v>
      </c>
      <c r="AE39" s="16">
        <f t="shared" si="3"/>
        <v>8.3796730987079793E-2</v>
      </c>
      <c r="AF39" s="23">
        <f t="shared" si="21"/>
        <v>3000</v>
      </c>
      <c r="AG39" s="23" t="str">
        <f t="shared" si="4"/>
        <v/>
      </c>
      <c r="AH39" s="23" t="str">
        <f t="shared" si="5"/>
        <v/>
      </c>
      <c r="AI39" s="23" t="str">
        <f t="shared" si="22"/>
        <v/>
      </c>
      <c r="AJ39" s="23" t="str">
        <f t="shared" si="6"/>
        <v/>
      </c>
      <c r="AK39" s="23" t="str">
        <f t="shared" si="7"/>
        <v/>
      </c>
      <c r="AL39" s="23" t="str">
        <f t="shared" si="8"/>
        <v/>
      </c>
      <c r="AM39" s="23" t="str">
        <f t="shared" si="9"/>
        <v/>
      </c>
      <c r="AN39" s="19">
        <f t="shared" si="10"/>
        <v>3000</v>
      </c>
      <c r="AO39" s="26">
        <f t="shared" si="11"/>
        <v>-2588.0975894571161</v>
      </c>
    </row>
    <row r="40" spans="1:41" x14ac:dyDescent="0.2">
      <c r="A40" s="12">
        <v>44594</v>
      </c>
      <c r="B40" s="6">
        <v>2</v>
      </c>
      <c r="C40" s="6">
        <v>33</v>
      </c>
      <c r="D40" s="6">
        <v>4</v>
      </c>
      <c r="E40" s="6" t="s">
        <v>15</v>
      </c>
      <c r="F40" s="6">
        <v>5</v>
      </c>
      <c r="G40" s="6">
        <v>2</v>
      </c>
      <c r="H40" s="6" t="s">
        <v>18</v>
      </c>
      <c r="I40" s="6">
        <v>1</v>
      </c>
      <c r="J40" s="14">
        <v>27.67687283260215</v>
      </c>
      <c r="K40" s="14">
        <f t="shared" si="12"/>
        <v>27.67687283260215</v>
      </c>
      <c r="L40" s="14">
        <v>60.853953648789521</v>
      </c>
      <c r="M40" s="14">
        <f t="shared" si="13"/>
        <v>1684.2471364986131</v>
      </c>
      <c r="N40" s="16">
        <v>0.53931912139269855</v>
      </c>
      <c r="O40" s="14">
        <f t="shared" si="14"/>
        <v>908.34668586460043</v>
      </c>
      <c r="P40" s="14">
        <f t="shared" si="15"/>
        <v>775.90045063401271</v>
      </c>
      <c r="Q40" s="14">
        <v>71.998444631239607</v>
      </c>
      <c r="R40" s="14">
        <v>27.688764778270887</v>
      </c>
      <c r="S40" s="14">
        <f t="shared" si="0"/>
        <v>12.987012987012987</v>
      </c>
      <c r="T40" s="14">
        <v>59.793775800603761</v>
      </c>
      <c r="U40" s="14">
        <f t="shared" si="16"/>
        <v>1178.9729955490291</v>
      </c>
      <c r="V40" s="14">
        <f t="shared" si="17"/>
        <v>42.597767554152661</v>
      </c>
      <c r="W40" s="14">
        <v>50.564861730026678</v>
      </c>
      <c r="X40" s="16">
        <f t="shared" si="18"/>
        <v>1.6901929083422309</v>
      </c>
      <c r="Y40" s="16">
        <f t="shared" si="23"/>
        <v>0.54735387155556947</v>
      </c>
      <c r="Z40" s="16">
        <f t="shared" si="19"/>
        <v>0.77045588770385509</v>
      </c>
      <c r="AA40" s="16">
        <f t="shared" si="20"/>
        <v>0.64972589930722924</v>
      </c>
      <c r="AB40" s="16">
        <f t="shared" si="1"/>
        <v>7.7108713475456643E-3</v>
      </c>
      <c r="AC40" s="14">
        <f t="shared" si="24"/>
        <v>42.597767554152661</v>
      </c>
      <c r="AD40" s="16">
        <f t="shared" si="2"/>
        <v>0.45500354731383436</v>
      </c>
      <c r="AE40" s="16">
        <f t="shared" si="3"/>
        <v>4.2748147270665636E-2</v>
      </c>
      <c r="AF40" s="23" t="str">
        <f t="shared" si="21"/>
        <v/>
      </c>
      <c r="AG40" s="23" t="str">
        <f t="shared" si="4"/>
        <v/>
      </c>
      <c r="AH40" s="23" t="str">
        <f t="shared" si="5"/>
        <v/>
      </c>
      <c r="AI40" s="23" t="str">
        <f t="shared" si="22"/>
        <v/>
      </c>
      <c r="AJ40" s="23" t="str">
        <f t="shared" si="6"/>
        <v/>
      </c>
      <c r="AK40" s="23" t="str">
        <f t="shared" si="7"/>
        <v/>
      </c>
      <c r="AL40" s="23" t="str">
        <f t="shared" si="8"/>
        <v/>
      </c>
      <c r="AM40" s="23" t="str">
        <f t="shared" si="9"/>
        <v/>
      </c>
      <c r="AN40" s="19">
        <f t="shared" si="10"/>
        <v>0</v>
      </c>
      <c r="AO40" s="26">
        <f t="shared" si="11"/>
        <v>775.90045063401271</v>
      </c>
    </row>
    <row r="41" spans="1:41" x14ac:dyDescent="0.2">
      <c r="A41" s="12">
        <v>44595</v>
      </c>
      <c r="B41" s="6">
        <v>3</v>
      </c>
      <c r="C41" s="6">
        <v>34</v>
      </c>
      <c r="D41" s="6">
        <v>5</v>
      </c>
      <c r="E41" s="6" t="s">
        <v>16</v>
      </c>
      <c r="F41" s="6">
        <v>5</v>
      </c>
      <c r="G41" s="6">
        <v>2</v>
      </c>
      <c r="H41" s="6" t="s">
        <v>18</v>
      </c>
      <c r="I41" s="6">
        <v>1</v>
      </c>
      <c r="J41" s="14">
        <v>12.249160823142189</v>
      </c>
      <c r="K41" s="14">
        <f t="shared" si="12"/>
        <v>12.249160823142189</v>
      </c>
      <c r="L41" s="14">
        <v>31.610516250668773</v>
      </c>
      <c r="M41" s="14">
        <f t="shared" si="13"/>
        <v>387.20229725699147</v>
      </c>
      <c r="N41" s="16">
        <v>0.38032024684572152</v>
      </c>
      <c r="O41" s="14">
        <f t="shared" si="14"/>
        <v>147.26087327200943</v>
      </c>
      <c r="P41" s="14">
        <f t="shared" si="15"/>
        <v>239.94142398498204</v>
      </c>
      <c r="Q41" s="14">
        <v>85.175187000548163</v>
      </c>
      <c r="R41" s="14">
        <v>11.761877759638585</v>
      </c>
      <c r="S41" s="14">
        <f t="shared" si="0"/>
        <v>12.987012987012987</v>
      </c>
      <c r="T41" s="14">
        <v>42.852576932800886</v>
      </c>
      <c r="U41" s="14">
        <f t="shared" si="16"/>
        <v>271.04160807989399</v>
      </c>
      <c r="V41" s="14">
        <f t="shared" si="17"/>
        <v>22.127361375468141</v>
      </c>
      <c r="W41" s="14">
        <v>39.350598176248369</v>
      </c>
      <c r="X41" s="16">
        <f t="shared" si="18"/>
        <v>3.8493151332078401</v>
      </c>
      <c r="Y41" s="16">
        <f t="shared" si="23"/>
        <v>0.31128270956083359</v>
      </c>
      <c r="Z41" s="16">
        <f t="shared" si="19"/>
        <v>0.54331463835103078</v>
      </c>
      <c r="AA41" s="16">
        <f t="shared" si="20"/>
        <v>0.55357530503941699</v>
      </c>
      <c r="AB41" s="16">
        <f t="shared" si="1"/>
        <v>3.354064032939693E-2</v>
      </c>
      <c r="AC41" s="14">
        <f t="shared" si="24"/>
        <v>22.127361375468141</v>
      </c>
      <c r="AD41" s="16">
        <f t="shared" si="2"/>
        <v>0.37208749349007364</v>
      </c>
      <c r="AE41" s="16">
        <f t="shared" si="3"/>
        <v>0.21997593403743734</v>
      </c>
      <c r="AF41" s="23" t="str">
        <f t="shared" si="21"/>
        <v/>
      </c>
      <c r="AG41" s="23" t="str">
        <f t="shared" si="4"/>
        <v/>
      </c>
      <c r="AH41" s="23" t="str">
        <f t="shared" si="5"/>
        <v/>
      </c>
      <c r="AI41" s="23" t="str">
        <f t="shared" si="22"/>
        <v/>
      </c>
      <c r="AJ41" s="23" t="str">
        <f t="shared" si="6"/>
        <v/>
      </c>
      <c r="AK41" s="23" t="str">
        <f t="shared" si="7"/>
        <v/>
      </c>
      <c r="AL41" s="23" t="str">
        <f t="shared" si="8"/>
        <v/>
      </c>
      <c r="AM41" s="23" t="str">
        <f t="shared" si="9"/>
        <v/>
      </c>
      <c r="AN41" s="19">
        <f t="shared" si="10"/>
        <v>0</v>
      </c>
      <c r="AO41" s="26">
        <f t="shared" si="11"/>
        <v>239.94142398498204</v>
      </c>
    </row>
    <row r="42" spans="1:41" x14ac:dyDescent="0.2">
      <c r="A42" s="12">
        <v>44596</v>
      </c>
      <c r="B42" s="6">
        <v>4</v>
      </c>
      <c r="C42" s="6">
        <v>35</v>
      </c>
      <c r="D42" s="6">
        <v>6</v>
      </c>
      <c r="E42" s="6" t="s">
        <v>17</v>
      </c>
      <c r="F42" s="6">
        <v>5</v>
      </c>
      <c r="G42" s="6">
        <v>2</v>
      </c>
      <c r="H42" s="6" t="s">
        <v>18</v>
      </c>
      <c r="I42" s="6">
        <v>1</v>
      </c>
      <c r="J42" s="14">
        <v>11.039963086790973</v>
      </c>
      <c r="K42" s="14">
        <f t="shared" si="12"/>
        <v>11.039963086790973</v>
      </c>
      <c r="L42" s="14">
        <v>74.643981390104173</v>
      </c>
      <c r="M42" s="14">
        <f t="shared" si="13"/>
        <v>824.06679919786245</v>
      </c>
      <c r="N42" s="16">
        <v>0.34362987149636071</v>
      </c>
      <c r="O42" s="14">
        <f t="shared" si="14"/>
        <v>283.17396831277875</v>
      </c>
      <c r="P42" s="14">
        <f t="shared" si="15"/>
        <v>540.89283088508364</v>
      </c>
      <c r="Q42" s="14">
        <v>67.828520872633732</v>
      </c>
      <c r="R42" s="14">
        <v>15.519974587802178</v>
      </c>
      <c r="S42" s="14">
        <f t="shared" si="0"/>
        <v>12.987012987012987</v>
      </c>
      <c r="T42" s="14">
        <v>67.294672320120142</v>
      </c>
      <c r="U42" s="14">
        <f t="shared" si="16"/>
        <v>576.84675943850368</v>
      </c>
      <c r="V42" s="14">
        <f t="shared" si="17"/>
        <v>52.25078697307292</v>
      </c>
      <c r="W42" s="14">
        <v>59.819463402754231</v>
      </c>
      <c r="X42" s="16">
        <f t="shared" si="18"/>
        <v>1.2981339574385491</v>
      </c>
      <c r="Y42" s="16">
        <f t="shared" si="23"/>
        <v>0.18455469940378413</v>
      </c>
      <c r="Z42" s="16">
        <f t="shared" si="19"/>
        <v>0.49089981642337244</v>
      </c>
      <c r="AA42" s="16">
        <f t="shared" si="20"/>
        <v>0.2112879772027231</v>
      </c>
      <c r="AB42" s="16">
        <f t="shared" si="1"/>
        <v>1.5759660502831084E-2</v>
      </c>
      <c r="AC42" s="14">
        <f t="shared" si="24"/>
        <v>52.25078697307292</v>
      </c>
      <c r="AD42" s="16">
        <f t="shared" si="2"/>
        <v>0.20791997290031636</v>
      </c>
      <c r="AE42" s="16">
        <f t="shared" si="3"/>
        <v>8.2309493524866273E-2</v>
      </c>
      <c r="AF42" s="23" t="str">
        <f t="shared" si="21"/>
        <v/>
      </c>
      <c r="AG42" s="23" t="str">
        <f t="shared" si="4"/>
        <v/>
      </c>
      <c r="AH42" s="23" t="str">
        <f t="shared" si="5"/>
        <v/>
      </c>
      <c r="AI42" s="23" t="str">
        <f t="shared" si="22"/>
        <v/>
      </c>
      <c r="AJ42" s="23" t="str">
        <f t="shared" si="6"/>
        <v/>
      </c>
      <c r="AK42" s="23" t="str">
        <f t="shared" si="7"/>
        <v/>
      </c>
      <c r="AL42" s="23" t="str">
        <f t="shared" si="8"/>
        <v/>
      </c>
      <c r="AM42" s="23" t="str">
        <f t="shared" si="9"/>
        <v/>
      </c>
      <c r="AN42" s="19">
        <f t="shared" si="10"/>
        <v>0</v>
      </c>
      <c r="AO42" s="26">
        <f t="shared" si="11"/>
        <v>540.89283088508364</v>
      </c>
    </row>
    <row r="43" spans="1:41" x14ac:dyDescent="0.2">
      <c r="A43" s="12">
        <v>44597</v>
      </c>
      <c r="B43" s="6">
        <v>5</v>
      </c>
      <c r="C43" s="6">
        <v>36</v>
      </c>
      <c r="D43" s="6">
        <v>7</v>
      </c>
      <c r="E43" s="6" t="s">
        <v>10</v>
      </c>
      <c r="F43" s="6">
        <v>5</v>
      </c>
      <c r="G43" s="6">
        <v>2</v>
      </c>
      <c r="H43" s="6" t="s">
        <v>18</v>
      </c>
      <c r="I43" s="6">
        <v>1</v>
      </c>
      <c r="J43" s="14">
        <v>4.785792171934955</v>
      </c>
      <c r="K43" s="14">
        <f t="shared" si="12"/>
        <v>4.785792171934955</v>
      </c>
      <c r="L43" s="14">
        <v>29.833149308107394</v>
      </c>
      <c r="M43" s="14">
        <f t="shared" si="13"/>
        <v>142.77525242290707</v>
      </c>
      <c r="N43" s="16">
        <v>0.32245035681508061</v>
      </c>
      <c r="O43" s="14">
        <f t="shared" si="14"/>
        <v>46.037931088129589</v>
      </c>
      <c r="P43" s="14">
        <f t="shared" si="15"/>
        <v>96.737321334777477</v>
      </c>
      <c r="Q43" s="14">
        <v>80.399401039785985</v>
      </c>
      <c r="R43" s="14">
        <v>22.218668593876558</v>
      </c>
      <c r="S43" s="14">
        <f t="shared" si="0"/>
        <v>12.987012987012987</v>
      </c>
      <c r="T43" s="14">
        <v>57.263106681423608</v>
      </c>
      <c r="U43" s="14">
        <f t="shared" si="16"/>
        <v>99.942676696034951</v>
      </c>
      <c r="V43" s="14">
        <f t="shared" si="17"/>
        <v>20.883204515675175</v>
      </c>
      <c r="W43" s="14">
        <v>59.902766914642029</v>
      </c>
      <c r="X43" s="16">
        <f t="shared" si="18"/>
        <v>3.8499551627451267</v>
      </c>
      <c r="Y43" s="16">
        <f t="shared" si="23"/>
        <v>7.9892673050552601E-2</v>
      </c>
      <c r="Z43" s="16">
        <f t="shared" si="19"/>
        <v>0.46064336687868662</v>
      </c>
      <c r="AA43" s="16">
        <f t="shared" si="20"/>
        <v>0.22916943462114178</v>
      </c>
      <c r="AB43" s="16">
        <f t="shared" si="1"/>
        <v>9.0961232893112587E-2</v>
      </c>
      <c r="AC43" s="14">
        <f t="shared" si="24"/>
        <v>20.883204515675175</v>
      </c>
      <c r="AD43" s="16">
        <f t="shared" si="2"/>
        <v>0.74476443517273783</v>
      </c>
      <c r="AE43" s="16">
        <f t="shared" si="3"/>
        <v>0.56311860546839831</v>
      </c>
      <c r="AF43" s="23" t="str">
        <f t="shared" si="21"/>
        <v/>
      </c>
      <c r="AG43" s="23" t="str">
        <f t="shared" si="4"/>
        <v/>
      </c>
      <c r="AH43" s="23" t="str">
        <f t="shared" si="5"/>
        <v/>
      </c>
      <c r="AI43" s="23" t="str">
        <f t="shared" si="22"/>
        <v/>
      </c>
      <c r="AJ43" s="23" t="str">
        <f t="shared" si="6"/>
        <v/>
      </c>
      <c r="AK43" s="23" t="str">
        <f t="shared" si="7"/>
        <v/>
      </c>
      <c r="AL43" s="23" t="str">
        <f t="shared" si="8"/>
        <v/>
      </c>
      <c r="AM43" s="23">
        <f t="shared" si="9"/>
        <v>1000</v>
      </c>
      <c r="AN43" s="19">
        <f t="shared" si="10"/>
        <v>1000</v>
      </c>
      <c r="AO43" s="26">
        <f t="shared" si="11"/>
        <v>-903.26267866522255</v>
      </c>
    </row>
    <row r="44" spans="1:41" x14ac:dyDescent="0.2">
      <c r="A44" s="12">
        <v>44598</v>
      </c>
      <c r="B44" s="6">
        <v>6</v>
      </c>
      <c r="C44" s="6">
        <v>37</v>
      </c>
      <c r="D44" s="6">
        <v>1</v>
      </c>
      <c r="E44" s="6" t="s">
        <v>12</v>
      </c>
      <c r="F44" s="6">
        <v>6</v>
      </c>
      <c r="G44" s="6">
        <v>2</v>
      </c>
      <c r="H44" s="6" t="s">
        <v>18</v>
      </c>
      <c r="I44" s="6">
        <v>1</v>
      </c>
      <c r="J44" s="14">
        <v>13.198729113113764</v>
      </c>
      <c r="K44" s="14">
        <f t="shared" si="12"/>
        <v>13.198729113113764</v>
      </c>
      <c r="L44" s="14">
        <v>40.640735318273002</v>
      </c>
      <c r="M44" s="14">
        <f t="shared" si="13"/>
        <v>536.40605642364062</v>
      </c>
      <c r="N44" s="16">
        <v>0.2586072045559778</v>
      </c>
      <c r="O44" s="14">
        <f t="shared" si="14"/>
        <v>138.71847075861379</v>
      </c>
      <c r="P44" s="14">
        <f t="shared" si="15"/>
        <v>397.68758566502686</v>
      </c>
      <c r="Q44" s="14">
        <v>21.14099688740065</v>
      </c>
      <c r="R44" s="14">
        <v>1.5151629440362413</v>
      </c>
      <c r="S44" s="14">
        <f t="shared" si="0"/>
        <v>28.571428571428573</v>
      </c>
      <c r="T44" s="14">
        <v>27.99643250498584</v>
      </c>
      <c r="U44" s="14">
        <f t="shared" si="16"/>
        <v>375.48423949654841</v>
      </c>
      <c r="V44" s="14">
        <f t="shared" si="17"/>
        <v>28.448514722791099</v>
      </c>
      <c r="W44" s="14">
        <v>20.711790201036081</v>
      </c>
      <c r="X44" s="16">
        <f t="shared" si="18"/>
        <v>0.74313183283568263</v>
      </c>
      <c r="Y44" s="16">
        <f t="shared" si="23"/>
        <v>0.63725679842264504</v>
      </c>
      <c r="Z44" s="16">
        <f t="shared" si="19"/>
        <v>0.36943886365139683</v>
      </c>
      <c r="AA44" s="16">
        <f t="shared" si="20"/>
        <v>0.46395143091740393</v>
      </c>
      <c r="AB44" s="16">
        <f t="shared" si="1"/>
        <v>5.326455253306004E-2</v>
      </c>
      <c r="AC44" s="14">
        <f t="shared" si="24"/>
        <v>28.448514722791099</v>
      </c>
      <c r="AD44" s="16">
        <f t="shared" si="2"/>
        <v>3.7281878198571608E-2</v>
      </c>
      <c r="AE44" s="16">
        <f t="shared" si="3"/>
        <v>3.941230087585737E-2</v>
      </c>
      <c r="AF44" s="23" t="str">
        <f t="shared" si="21"/>
        <v/>
      </c>
      <c r="AG44" s="23">
        <f t="shared" si="4"/>
        <v>1000</v>
      </c>
      <c r="AH44" s="23" t="str">
        <f t="shared" si="5"/>
        <v/>
      </c>
      <c r="AI44" s="23" t="str">
        <f t="shared" si="22"/>
        <v/>
      </c>
      <c r="AJ44" s="23" t="str">
        <f t="shared" si="6"/>
        <v/>
      </c>
      <c r="AK44" s="23" t="str">
        <f t="shared" si="7"/>
        <v/>
      </c>
      <c r="AL44" s="23" t="str">
        <f t="shared" si="8"/>
        <v/>
      </c>
      <c r="AM44" s="23" t="str">
        <f t="shared" si="9"/>
        <v/>
      </c>
      <c r="AN44" s="19">
        <f t="shared" si="10"/>
        <v>1000</v>
      </c>
      <c r="AO44" s="26">
        <f t="shared" si="11"/>
        <v>-602.31241433497314</v>
      </c>
    </row>
    <row r="45" spans="1:41" x14ac:dyDescent="0.2">
      <c r="A45" s="12">
        <v>44599</v>
      </c>
      <c r="B45" s="6">
        <v>7</v>
      </c>
      <c r="C45" s="6">
        <v>38</v>
      </c>
      <c r="D45" s="6">
        <v>2</v>
      </c>
      <c r="E45" s="6" t="s">
        <v>13</v>
      </c>
      <c r="F45" s="6">
        <v>6</v>
      </c>
      <c r="G45" s="6">
        <v>2</v>
      </c>
      <c r="H45" s="6" t="s">
        <v>18</v>
      </c>
      <c r="I45" s="6">
        <v>1</v>
      </c>
      <c r="J45" s="14">
        <v>11.068019958396093</v>
      </c>
      <c r="K45" s="14">
        <f t="shared" si="12"/>
        <v>11.068019958396093</v>
      </c>
      <c r="L45" s="14">
        <v>55.63862229537731</v>
      </c>
      <c r="M45" s="14">
        <f t="shared" si="13"/>
        <v>615.80938202289792</v>
      </c>
      <c r="N45" s="16">
        <v>0.8163703010762845</v>
      </c>
      <c r="O45" s="14">
        <f t="shared" si="14"/>
        <v>502.72849060763389</v>
      </c>
      <c r="P45" s="14">
        <f t="shared" si="15"/>
        <v>113.08089141526403</v>
      </c>
      <c r="Q45" s="14">
        <v>42.285954694782227</v>
      </c>
      <c r="R45" s="14">
        <v>5.1663941021844044</v>
      </c>
      <c r="S45" s="14">
        <f t="shared" si="0"/>
        <v>12.987012987012987</v>
      </c>
      <c r="T45" s="14">
        <v>65.84248541737</v>
      </c>
      <c r="U45" s="14">
        <f t="shared" si="16"/>
        <v>431.06656741602853</v>
      </c>
      <c r="V45" s="14">
        <f t="shared" si="17"/>
        <v>38.947035606764118</v>
      </c>
      <c r="W45" s="14">
        <v>69.857196409484288</v>
      </c>
      <c r="X45" s="16">
        <f t="shared" si="18"/>
        <v>1.085729736191738</v>
      </c>
      <c r="Y45" s="16">
        <f t="shared" si="23"/>
        <v>0.15843779205678835</v>
      </c>
      <c r="Z45" s="16">
        <f t="shared" si="19"/>
        <v>1.1662432872518351</v>
      </c>
      <c r="AA45" s="16">
        <f t="shared" si="20"/>
        <v>0.2841813192189101</v>
      </c>
      <c r="AB45" s="16">
        <f t="shared" si="1"/>
        <v>2.1089339276305609E-2</v>
      </c>
      <c r="AC45" s="14">
        <f t="shared" si="24"/>
        <v>38.947035606764118</v>
      </c>
      <c r="AD45" s="16">
        <f t="shared" si="2"/>
        <v>9.2856255044504399E-2</v>
      </c>
      <c r="AE45" s="16">
        <f t="shared" si="3"/>
        <v>6.8667279078917787E-2</v>
      </c>
      <c r="AF45" s="23" t="str">
        <f t="shared" si="21"/>
        <v/>
      </c>
      <c r="AG45" s="23" t="str">
        <f t="shared" si="4"/>
        <v/>
      </c>
      <c r="AH45" s="23" t="str">
        <f t="shared" si="5"/>
        <v/>
      </c>
      <c r="AI45" s="23" t="str">
        <f t="shared" si="22"/>
        <v/>
      </c>
      <c r="AJ45" s="23" t="str">
        <f t="shared" si="6"/>
        <v/>
      </c>
      <c r="AK45" s="23" t="str">
        <f t="shared" si="7"/>
        <v/>
      </c>
      <c r="AL45" s="23" t="str">
        <f t="shared" si="8"/>
        <v/>
      </c>
      <c r="AM45" s="23" t="str">
        <f t="shared" si="9"/>
        <v/>
      </c>
      <c r="AN45" s="19">
        <f t="shared" si="10"/>
        <v>0</v>
      </c>
      <c r="AO45" s="26">
        <f t="shared" si="11"/>
        <v>113.08089141526403</v>
      </c>
    </row>
    <row r="46" spans="1:41" x14ac:dyDescent="0.2">
      <c r="A46" s="12">
        <v>44600</v>
      </c>
      <c r="B46" s="6">
        <v>8</v>
      </c>
      <c r="C46" s="6">
        <v>39</v>
      </c>
      <c r="D46" s="6">
        <v>3</v>
      </c>
      <c r="E46" s="6" t="s">
        <v>14</v>
      </c>
      <c r="F46" s="6">
        <v>6</v>
      </c>
      <c r="G46" s="6">
        <v>2</v>
      </c>
      <c r="H46" s="6" t="s">
        <v>18</v>
      </c>
      <c r="I46" s="6">
        <v>1</v>
      </c>
      <c r="J46" s="14">
        <v>12.001406345525737</v>
      </c>
      <c r="K46" s="14">
        <f t="shared" si="12"/>
        <v>12.001406345525737</v>
      </c>
      <c r="L46" s="14">
        <v>143.42934275409618</v>
      </c>
      <c r="M46" s="14">
        <f t="shared" si="13"/>
        <v>1721.3538242635959</v>
      </c>
      <c r="N46" s="16">
        <v>0.63449284770340342</v>
      </c>
      <c r="O46" s="14">
        <f t="shared" si="14"/>
        <v>1092.1866898621529</v>
      </c>
      <c r="P46" s="14">
        <f t="shared" si="15"/>
        <v>629.16713440144304</v>
      </c>
      <c r="Q46" s="14">
        <v>82.913108848954678</v>
      </c>
      <c r="R46" s="14">
        <v>11.637558914456459</v>
      </c>
      <c r="S46" s="14">
        <f t="shared" si="0"/>
        <v>12.987012987012987</v>
      </c>
      <c r="T46" s="14">
        <v>51.535649826144123</v>
      </c>
      <c r="U46" s="14">
        <f t="shared" si="16"/>
        <v>1204.9476769845171</v>
      </c>
      <c r="V46" s="14">
        <f t="shared" si="17"/>
        <v>100.40053992786733</v>
      </c>
      <c r="W46" s="14">
        <v>66.017298307993713</v>
      </c>
      <c r="X46" s="16">
        <f t="shared" si="18"/>
        <v>0.82582333629404303</v>
      </c>
      <c r="Y46" s="16">
        <f t="shared" si="23"/>
        <v>0.18179184324591705</v>
      </c>
      <c r="Z46" s="16">
        <f t="shared" si="19"/>
        <v>0.90641835386200498</v>
      </c>
      <c r="AA46" s="16">
        <f t="shared" si="20"/>
        <v>0.11953527694321302</v>
      </c>
      <c r="AB46" s="16">
        <f t="shared" si="1"/>
        <v>7.544650497737674E-3</v>
      </c>
      <c r="AC46" s="14">
        <f t="shared" si="24"/>
        <v>100.40053992786733</v>
      </c>
      <c r="AD46" s="16">
        <f t="shared" si="2"/>
        <v>8.1137922624442221E-2</v>
      </c>
      <c r="AE46" s="16">
        <f t="shared" si="3"/>
        <v>4.8167382951860772E-2</v>
      </c>
      <c r="AF46" s="23" t="str">
        <f t="shared" si="21"/>
        <v/>
      </c>
      <c r="AG46" s="23" t="str">
        <f t="shared" si="4"/>
        <v/>
      </c>
      <c r="AH46" s="23" t="str">
        <f t="shared" si="5"/>
        <v/>
      </c>
      <c r="AI46" s="23" t="str">
        <f t="shared" si="22"/>
        <v/>
      </c>
      <c r="AJ46" s="23" t="str">
        <f t="shared" si="6"/>
        <v/>
      </c>
      <c r="AK46" s="23" t="str">
        <f t="shared" si="7"/>
        <v/>
      </c>
      <c r="AL46" s="23" t="str">
        <f t="shared" si="8"/>
        <v/>
      </c>
      <c r="AM46" s="23" t="str">
        <f t="shared" si="9"/>
        <v/>
      </c>
      <c r="AN46" s="19">
        <f t="shared" si="10"/>
        <v>0</v>
      </c>
      <c r="AO46" s="26">
        <f t="shared" si="11"/>
        <v>629.16713440144304</v>
      </c>
    </row>
    <row r="47" spans="1:41" x14ac:dyDescent="0.2">
      <c r="A47" s="12">
        <v>44601</v>
      </c>
      <c r="B47" s="6">
        <v>9</v>
      </c>
      <c r="C47" s="6">
        <v>40</v>
      </c>
      <c r="D47" s="6">
        <v>4</v>
      </c>
      <c r="E47" s="6" t="s">
        <v>15</v>
      </c>
      <c r="F47" s="6">
        <v>6</v>
      </c>
      <c r="G47" s="6">
        <v>2</v>
      </c>
      <c r="H47" s="6" t="s">
        <v>18</v>
      </c>
      <c r="I47" s="6">
        <v>1</v>
      </c>
      <c r="J47" s="14">
        <v>23.869920955845124</v>
      </c>
      <c r="K47" s="14">
        <f t="shared" si="12"/>
        <v>23.869920955845124</v>
      </c>
      <c r="L47" s="14">
        <v>87.181604728560529</v>
      </c>
      <c r="M47" s="14">
        <f t="shared" si="13"/>
        <v>2081.0180136744734</v>
      </c>
      <c r="N47" s="16">
        <v>1.1161917978862474</v>
      </c>
      <c r="O47" s="14">
        <f t="shared" si="14"/>
        <v>2322.815238116978</v>
      </c>
      <c r="P47" s="14">
        <f t="shared" si="15"/>
        <v>-241.79722444250456</v>
      </c>
      <c r="Q47" s="14">
        <v>84.057910083099273</v>
      </c>
      <c r="R47" s="14">
        <v>14.931208342627137</v>
      </c>
      <c r="S47" s="14">
        <f t="shared" si="0"/>
        <v>12.987012987012987</v>
      </c>
      <c r="T47" s="14">
        <v>64.272331523766795</v>
      </c>
      <c r="U47" s="14">
        <f t="shared" si="16"/>
        <v>1456.7126095721312</v>
      </c>
      <c r="V47" s="14">
        <f t="shared" si="17"/>
        <v>61.027123309992362</v>
      </c>
      <c r="W47" s="14">
        <v>66.351728668596053</v>
      </c>
      <c r="X47" s="16">
        <f t="shared" si="18"/>
        <v>1.3773860789098662</v>
      </c>
      <c r="Y47" s="16">
        <f t="shared" si="23"/>
        <v>0.35974829043365436</v>
      </c>
      <c r="Z47" s="16">
        <f t="shared" si="19"/>
        <v>1.5945597112660679</v>
      </c>
      <c r="AA47" s="16">
        <f t="shared" si="20"/>
        <v>0.39113626304480831</v>
      </c>
      <c r="AB47" s="16">
        <f t="shared" si="1"/>
        <v>6.2407018592221088E-3</v>
      </c>
      <c r="AC47" s="14">
        <f t="shared" si="24"/>
        <v>61.027123309992362</v>
      </c>
      <c r="AD47" s="16">
        <f t="shared" si="2"/>
        <v>0.17126558279255558</v>
      </c>
      <c r="AE47" s="16">
        <f t="shared" si="3"/>
        <v>4.0392687391820031E-2</v>
      </c>
      <c r="AF47" s="23" t="str">
        <f t="shared" si="21"/>
        <v/>
      </c>
      <c r="AG47" s="23" t="str">
        <f t="shared" si="4"/>
        <v/>
      </c>
      <c r="AH47" s="23" t="str">
        <f t="shared" si="5"/>
        <v/>
      </c>
      <c r="AI47" s="23" t="str">
        <f t="shared" si="22"/>
        <v/>
      </c>
      <c r="AJ47" s="23" t="str">
        <f t="shared" si="6"/>
        <v/>
      </c>
      <c r="AK47" s="23" t="str">
        <f t="shared" si="7"/>
        <v/>
      </c>
      <c r="AL47" s="23" t="str">
        <f t="shared" si="8"/>
        <v/>
      </c>
      <c r="AM47" s="23" t="str">
        <f t="shared" si="9"/>
        <v/>
      </c>
      <c r="AN47" s="19">
        <f t="shared" si="10"/>
        <v>0</v>
      </c>
      <c r="AO47" s="26">
        <f t="shared" si="11"/>
        <v>-241.79722444250456</v>
      </c>
    </row>
    <row r="48" spans="1:41" x14ac:dyDescent="0.2">
      <c r="A48" s="12">
        <v>44602</v>
      </c>
      <c r="B48" s="6">
        <v>10</v>
      </c>
      <c r="C48" s="6">
        <v>41</v>
      </c>
      <c r="D48" s="6">
        <v>5</v>
      </c>
      <c r="E48" s="6" t="s">
        <v>16</v>
      </c>
      <c r="F48" s="6">
        <v>6</v>
      </c>
      <c r="G48" s="6">
        <v>2</v>
      </c>
      <c r="H48" s="6" t="s">
        <v>18</v>
      </c>
      <c r="I48" s="6">
        <v>1</v>
      </c>
      <c r="J48" s="14">
        <v>26.92499050146505</v>
      </c>
      <c r="K48" s="14">
        <f t="shared" si="12"/>
        <v>26.92499050146505</v>
      </c>
      <c r="L48" s="14">
        <v>71.683508937655532</v>
      </c>
      <c r="M48" s="14">
        <f t="shared" si="13"/>
        <v>1930.0777972580602</v>
      </c>
      <c r="N48" s="16">
        <v>0.53427399243850004</v>
      </c>
      <c r="O48" s="14">
        <f t="shared" si="14"/>
        <v>1031.1903704579697</v>
      </c>
      <c r="P48" s="14">
        <f t="shared" si="15"/>
        <v>898.88742680009045</v>
      </c>
      <c r="Q48" s="14">
        <v>88.294868949525437</v>
      </c>
      <c r="R48" s="14">
        <v>9.5812709262722873</v>
      </c>
      <c r="S48" s="14">
        <f t="shared" si="0"/>
        <v>12.987012987012987</v>
      </c>
      <c r="T48" s="14">
        <v>73.402602061347295</v>
      </c>
      <c r="U48" s="14">
        <f t="shared" si="16"/>
        <v>1351.054458080642</v>
      </c>
      <c r="V48" s="14">
        <f t="shared" si="17"/>
        <v>50.178456256358864</v>
      </c>
      <c r="W48" s="14">
        <v>60.940971189115132</v>
      </c>
      <c r="X48" s="16">
        <f t="shared" si="18"/>
        <v>1.7596170854366664</v>
      </c>
      <c r="Y48" s="16">
        <f t="shared" si="23"/>
        <v>0.44182083048709619</v>
      </c>
      <c r="Z48" s="16">
        <f t="shared" si="19"/>
        <v>0.76324856062642876</v>
      </c>
      <c r="AA48" s="16">
        <f t="shared" si="20"/>
        <v>0.53658467219291905</v>
      </c>
      <c r="AB48" s="16">
        <f t="shared" si="1"/>
        <v>6.7287510407418897E-3</v>
      </c>
      <c r="AC48" s="14">
        <f t="shared" si="24"/>
        <v>50.178456256358864</v>
      </c>
      <c r="AD48" s="16">
        <f t="shared" si="2"/>
        <v>0.13366074105838338</v>
      </c>
      <c r="AE48" s="16">
        <f t="shared" si="3"/>
        <v>4.5746792732894184E-2</v>
      </c>
      <c r="AF48" s="23" t="str">
        <f t="shared" si="21"/>
        <v/>
      </c>
      <c r="AG48" s="23" t="str">
        <f t="shared" si="4"/>
        <v/>
      </c>
      <c r="AH48" s="23" t="str">
        <f t="shared" si="5"/>
        <v/>
      </c>
      <c r="AI48" s="23">
        <f t="shared" si="22"/>
        <v>300</v>
      </c>
      <c r="AJ48" s="23" t="str">
        <f t="shared" si="6"/>
        <v/>
      </c>
      <c r="AK48" s="23" t="str">
        <f t="shared" si="7"/>
        <v/>
      </c>
      <c r="AL48" s="23" t="str">
        <f t="shared" si="8"/>
        <v/>
      </c>
      <c r="AM48" s="23" t="str">
        <f t="shared" si="9"/>
        <v/>
      </c>
      <c r="AN48" s="19">
        <f t="shared" si="10"/>
        <v>300</v>
      </c>
      <c r="AO48" s="26">
        <f t="shared" si="11"/>
        <v>598.88742680009045</v>
      </c>
    </row>
    <row r="49" spans="1:41" x14ac:dyDescent="0.2">
      <c r="A49" s="12">
        <v>44603</v>
      </c>
      <c r="B49" s="6">
        <v>11</v>
      </c>
      <c r="C49" s="6">
        <v>42</v>
      </c>
      <c r="D49" s="6">
        <v>6</v>
      </c>
      <c r="E49" s="6" t="s">
        <v>17</v>
      </c>
      <c r="F49" s="6">
        <v>6</v>
      </c>
      <c r="G49" s="6">
        <v>2</v>
      </c>
      <c r="H49" s="6" t="s">
        <v>18</v>
      </c>
      <c r="I49" s="6">
        <v>1</v>
      </c>
      <c r="J49" s="14">
        <v>25.376058354637586</v>
      </c>
      <c r="K49" s="14">
        <f t="shared" si="12"/>
        <v>25.376058354637586</v>
      </c>
      <c r="L49" s="14">
        <v>82.493166465621641</v>
      </c>
      <c r="M49" s="14">
        <f t="shared" si="13"/>
        <v>2093.3514060904472</v>
      </c>
      <c r="N49" s="16">
        <v>0.86271088534016838</v>
      </c>
      <c r="O49" s="14">
        <f t="shared" si="14"/>
        <v>1805.9570448763761</v>
      </c>
      <c r="P49" s="14">
        <f t="shared" si="15"/>
        <v>287.39436121407107</v>
      </c>
      <c r="Q49" s="14">
        <v>54.315023291939617</v>
      </c>
      <c r="R49" s="14">
        <v>9.8620794316462668</v>
      </c>
      <c r="S49" s="14">
        <f t="shared" si="0"/>
        <v>12.987012987012987</v>
      </c>
      <c r="T49" s="14">
        <v>56.962352895862722</v>
      </c>
      <c r="U49" s="14">
        <f t="shared" si="16"/>
        <v>1465.3459842633129</v>
      </c>
      <c r="V49" s="14">
        <f t="shared" si="17"/>
        <v>57.745216525935142</v>
      </c>
      <c r="W49" s="14">
        <v>58.543038481610765</v>
      </c>
      <c r="X49" s="16">
        <f t="shared" si="18"/>
        <v>0.94059779423539058</v>
      </c>
      <c r="Y49" s="16">
        <f t="shared" si="23"/>
        <v>0.43345987862602281</v>
      </c>
      <c r="Z49" s="16">
        <f t="shared" si="19"/>
        <v>1.2324441219145266</v>
      </c>
      <c r="AA49" s="16">
        <f t="shared" si="20"/>
        <v>0.43944866573044056</v>
      </c>
      <c r="AB49" s="16">
        <f t="shared" si="1"/>
        <v>6.2039335341540162E-3</v>
      </c>
      <c r="AC49" s="14">
        <f t="shared" si="24"/>
        <v>57.745216525935142</v>
      </c>
      <c r="AD49" s="16">
        <f t="shared" si="2"/>
        <v>0.11955025918124028</v>
      </c>
      <c r="AE49" s="16">
        <f t="shared" si="3"/>
        <v>2.5946443169509989E-2</v>
      </c>
      <c r="AF49" s="23" t="str">
        <f t="shared" si="21"/>
        <v/>
      </c>
      <c r="AG49" s="23" t="str">
        <f t="shared" si="4"/>
        <v/>
      </c>
      <c r="AH49" s="23" t="str">
        <f t="shared" si="5"/>
        <v/>
      </c>
      <c r="AI49" s="23" t="str">
        <f t="shared" si="22"/>
        <v/>
      </c>
      <c r="AJ49" s="23" t="str">
        <f t="shared" si="6"/>
        <v/>
      </c>
      <c r="AK49" s="23" t="str">
        <f t="shared" si="7"/>
        <v/>
      </c>
      <c r="AL49" s="23" t="str">
        <f t="shared" si="8"/>
        <v/>
      </c>
      <c r="AM49" s="23" t="str">
        <f t="shared" si="9"/>
        <v/>
      </c>
      <c r="AN49" s="19">
        <f t="shared" si="10"/>
        <v>0</v>
      </c>
      <c r="AO49" s="26">
        <f t="shared" si="11"/>
        <v>287.39436121407107</v>
      </c>
    </row>
    <row r="50" spans="1:41" x14ac:dyDescent="0.2">
      <c r="A50" s="12">
        <v>44604</v>
      </c>
      <c r="B50" s="6">
        <v>12</v>
      </c>
      <c r="C50" s="6">
        <v>43</v>
      </c>
      <c r="D50" s="6">
        <v>7</v>
      </c>
      <c r="E50" s="6" t="s">
        <v>10</v>
      </c>
      <c r="F50" s="6">
        <v>6</v>
      </c>
      <c r="G50" s="6">
        <v>2</v>
      </c>
      <c r="H50" s="6" t="s">
        <v>18</v>
      </c>
      <c r="I50" s="6">
        <v>1</v>
      </c>
      <c r="J50" s="14">
        <v>15.601070418332139</v>
      </c>
      <c r="K50" s="14">
        <f t="shared" si="12"/>
        <v>15.601070418332139</v>
      </c>
      <c r="L50" s="14">
        <v>111.39908601963208</v>
      </c>
      <c r="M50" s="14">
        <f t="shared" si="13"/>
        <v>1737.9449855301193</v>
      </c>
      <c r="N50" s="16">
        <v>0.7619962164227656</v>
      </c>
      <c r="O50" s="14">
        <f t="shared" si="14"/>
        <v>1324.307503324869</v>
      </c>
      <c r="P50" s="14">
        <f t="shared" si="15"/>
        <v>413.63748220525031</v>
      </c>
      <c r="Q50" s="14">
        <v>80.615616222197232</v>
      </c>
      <c r="R50" s="14">
        <v>20.39657828343973</v>
      </c>
      <c r="S50" s="14">
        <f t="shared" si="0"/>
        <v>12.987012987012987</v>
      </c>
      <c r="T50" s="14">
        <v>54.691836985954296</v>
      </c>
      <c r="U50" s="14">
        <f t="shared" si="16"/>
        <v>1216.5614898710835</v>
      </c>
      <c r="V50" s="14">
        <f t="shared" si="17"/>
        <v>77.979360213742453</v>
      </c>
      <c r="W50" s="14">
        <v>72.609245247622553</v>
      </c>
      <c r="X50" s="16">
        <f t="shared" si="18"/>
        <v>1.0338070997406079</v>
      </c>
      <c r="Y50" s="16">
        <f t="shared" si="23"/>
        <v>0.21486341532854544</v>
      </c>
      <c r="Z50" s="16">
        <f t="shared" si="19"/>
        <v>1.0885660234610937</v>
      </c>
      <c r="AA50" s="16">
        <f t="shared" si="20"/>
        <v>0.20006666348081595</v>
      </c>
      <c r="AB50" s="16">
        <f t="shared" si="1"/>
        <v>7.4726260584431579E-3</v>
      </c>
      <c r="AC50" s="14">
        <f t="shared" si="24"/>
        <v>77.979360213742453</v>
      </c>
      <c r="AD50" s="16">
        <f t="shared" si="2"/>
        <v>0.18309466452754561</v>
      </c>
      <c r="AE50" s="16">
        <f t="shared" si="3"/>
        <v>4.6385597296457193E-2</v>
      </c>
      <c r="AF50" s="23" t="str">
        <f t="shared" si="21"/>
        <v/>
      </c>
      <c r="AG50" s="23" t="str">
        <f t="shared" si="4"/>
        <v/>
      </c>
      <c r="AH50" s="23" t="str">
        <f t="shared" si="5"/>
        <v/>
      </c>
      <c r="AI50" s="23" t="str">
        <f t="shared" si="22"/>
        <v/>
      </c>
      <c r="AJ50" s="23" t="str">
        <f t="shared" si="6"/>
        <v/>
      </c>
      <c r="AK50" s="23">
        <f t="shared" si="7"/>
        <v>480</v>
      </c>
      <c r="AL50" s="23" t="str">
        <f t="shared" si="8"/>
        <v/>
      </c>
      <c r="AM50" s="23" t="str">
        <f t="shared" si="9"/>
        <v/>
      </c>
      <c r="AN50" s="19">
        <f t="shared" si="10"/>
        <v>480</v>
      </c>
      <c r="AO50" s="26">
        <f t="shared" si="11"/>
        <v>-66.362517794749692</v>
      </c>
    </row>
    <row r="51" spans="1:41" x14ac:dyDescent="0.2">
      <c r="A51" s="12">
        <v>44605</v>
      </c>
      <c r="B51" s="6">
        <v>13</v>
      </c>
      <c r="C51" s="6">
        <v>44</v>
      </c>
      <c r="D51" s="6">
        <v>1</v>
      </c>
      <c r="E51" s="6" t="s">
        <v>12</v>
      </c>
      <c r="F51" s="6">
        <v>7</v>
      </c>
      <c r="G51" s="6">
        <v>2</v>
      </c>
      <c r="H51" s="6" t="s">
        <v>18</v>
      </c>
      <c r="I51" s="6">
        <v>1</v>
      </c>
      <c r="J51" s="14">
        <v>10.191014296968246</v>
      </c>
      <c r="K51" s="14">
        <f t="shared" si="12"/>
        <v>10.191014296968246</v>
      </c>
      <c r="L51" s="14">
        <v>61.790238444917435</v>
      </c>
      <c r="M51" s="14">
        <f t="shared" si="13"/>
        <v>629.70520340523058</v>
      </c>
      <c r="N51" s="16">
        <v>0.3203885996254196</v>
      </c>
      <c r="O51" s="14">
        <f t="shared" si="14"/>
        <v>201.75036829584184</v>
      </c>
      <c r="P51" s="14">
        <f t="shared" si="15"/>
        <v>427.95483510938874</v>
      </c>
      <c r="Q51" s="14">
        <v>40.442440487563928</v>
      </c>
      <c r="R51" s="14">
        <v>12.276891532730437</v>
      </c>
      <c r="S51" s="14">
        <f t="shared" si="0"/>
        <v>28.571428571428573</v>
      </c>
      <c r="T51" s="14">
        <v>28.125778551891063</v>
      </c>
      <c r="U51" s="14">
        <f t="shared" si="16"/>
        <v>440.79364238366139</v>
      </c>
      <c r="V51" s="14">
        <f t="shared" si="17"/>
        <v>43.253166911442207</v>
      </c>
      <c r="W51" s="14">
        <v>36.212203046908968</v>
      </c>
      <c r="X51" s="16">
        <f t="shared" si="18"/>
        <v>0.93501686409152329</v>
      </c>
      <c r="Y51" s="16">
        <f t="shared" si="23"/>
        <v>0.28142486342979178</v>
      </c>
      <c r="Z51" s="16">
        <f t="shared" si="19"/>
        <v>0.45769799946488515</v>
      </c>
      <c r="AA51" s="16">
        <f t="shared" si="20"/>
        <v>0.23561313597761815</v>
      </c>
      <c r="AB51" s="16">
        <f t="shared" si="1"/>
        <v>4.5372705222894855E-2</v>
      </c>
      <c r="AC51" s="14">
        <f t="shared" si="24"/>
        <v>43.253166911442207</v>
      </c>
      <c r="AD51" s="16">
        <f t="shared" si="2"/>
        <v>0.19868658612920881</v>
      </c>
      <c r="AE51" s="16">
        <f t="shared" si="3"/>
        <v>6.4224402575784711E-2</v>
      </c>
      <c r="AF51" s="23" t="str">
        <f t="shared" si="21"/>
        <v/>
      </c>
      <c r="AG51" s="23">
        <f t="shared" si="4"/>
        <v>1000</v>
      </c>
      <c r="AH51" s="23" t="str">
        <f t="shared" si="5"/>
        <v/>
      </c>
      <c r="AI51" s="23" t="str">
        <f t="shared" si="22"/>
        <v/>
      </c>
      <c r="AJ51" s="23" t="str">
        <f t="shared" si="6"/>
        <v/>
      </c>
      <c r="AK51" s="23" t="str">
        <f t="shared" si="7"/>
        <v/>
      </c>
      <c r="AL51" s="23" t="str">
        <f t="shared" si="8"/>
        <v/>
      </c>
      <c r="AM51" s="23" t="str">
        <f t="shared" si="9"/>
        <v/>
      </c>
      <c r="AN51" s="19">
        <f t="shared" si="10"/>
        <v>1000</v>
      </c>
      <c r="AO51" s="26">
        <f t="shared" si="11"/>
        <v>-572.0451648906112</v>
      </c>
    </row>
    <row r="52" spans="1:41" x14ac:dyDescent="0.2">
      <c r="A52" s="12">
        <v>44606</v>
      </c>
      <c r="B52" s="6">
        <v>14</v>
      </c>
      <c r="C52" s="6">
        <v>45</v>
      </c>
      <c r="D52" s="6">
        <v>2</v>
      </c>
      <c r="E52" s="6" t="s">
        <v>13</v>
      </c>
      <c r="F52" s="6">
        <v>7</v>
      </c>
      <c r="G52" s="6">
        <v>2</v>
      </c>
      <c r="H52" s="6" t="s">
        <v>18</v>
      </c>
      <c r="I52" s="6">
        <v>1</v>
      </c>
      <c r="J52" s="14">
        <v>31.74947172255261</v>
      </c>
      <c r="K52" s="14">
        <f t="shared" si="12"/>
        <v>31.74947172255261</v>
      </c>
      <c r="L52" s="14">
        <v>24.876840533027369</v>
      </c>
      <c r="M52" s="14">
        <f t="shared" si="13"/>
        <v>789.82654504980303</v>
      </c>
      <c r="N52" s="16">
        <v>0.85066458909454656</v>
      </c>
      <c r="O52" s="14">
        <f t="shared" si="14"/>
        <v>671.87747340075612</v>
      </c>
      <c r="P52" s="14">
        <f t="shared" si="15"/>
        <v>117.94907164904691</v>
      </c>
      <c r="Q52" s="14">
        <v>75.002514952569967</v>
      </c>
      <c r="R52" s="14">
        <v>36.366235070162411</v>
      </c>
      <c r="S52" s="14">
        <f t="shared" si="0"/>
        <v>12.987012987012987</v>
      </c>
      <c r="T52" s="14">
        <v>54.981916358113565</v>
      </c>
      <c r="U52" s="14">
        <f t="shared" si="16"/>
        <v>552.87858153486206</v>
      </c>
      <c r="V52" s="14">
        <f t="shared" si="17"/>
        <v>17.413788373119157</v>
      </c>
      <c r="W52" s="14">
        <v>58.847424012160054</v>
      </c>
      <c r="X52" s="16">
        <f t="shared" si="18"/>
        <v>4.307076286073845</v>
      </c>
      <c r="Y52" s="16">
        <f t="shared" si="23"/>
        <v>0.53952186107572009</v>
      </c>
      <c r="Z52" s="16">
        <f t="shared" si="19"/>
        <v>1.2152351272779238</v>
      </c>
      <c r="AA52" s="16">
        <f t="shared" si="20"/>
        <v>1.8232374852770561</v>
      </c>
      <c r="AB52" s="16">
        <f t="shared" si="1"/>
        <v>1.6442867194586479E-2</v>
      </c>
      <c r="AC52" s="14">
        <f t="shared" si="24"/>
        <v>17.413788373119157</v>
      </c>
      <c r="AD52" s="16">
        <f t="shared" si="2"/>
        <v>1.461851034574962</v>
      </c>
      <c r="AE52" s="16">
        <f t="shared" si="3"/>
        <v>9.4960742232132286E-2</v>
      </c>
      <c r="AF52" s="23" t="str">
        <f t="shared" si="21"/>
        <v/>
      </c>
      <c r="AG52" s="23" t="str">
        <f t="shared" si="4"/>
        <v/>
      </c>
      <c r="AH52" s="23" t="str">
        <f t="shared" si="5"/>
        <v/>
      </c>
      <c r="AI52" s="23" t="str">
        <f t="shared" si="22"/>
        <v/>
      </c>
      <c r="AJ52" s="23" t="str">
        <f t="shared" si="6"/>
        <v/>
      </c>
      <c r="AK52" s="23" t="str">
        <f t="shared" si="7"/>
        <v/>
      </c>
      <c r="AL52" s="23" t="str">
        <f t="shared" si="8"/>
        <v/>
      </c>
      <c r="AM52" s="23" t="str">
        <f t="shared" si="9"/>
        <v/>
      </c>
      <c r="AN52" s="19">
        <f t="shared" si="10"/>
        <v>0</v>
      </c>
      <c r="AO52" s="26">
        <f t="shared" si="11"/>
        <v>117.94907164904691</v>
      </c>
    </row>
    <row r="53" spans="1:41" x14ac:dyDescent="0.2">
      <c r="A53" s="12">
        <v>44607</v>
      </c>
      <c r="B53" s="6">
        <v>15</v>
      </c>
      <c r="C53" s="6">
        <v>46</v>
      </c>
      <c r="D53" s="6">
        <v>3</v>
      </c>
      <c r="E53" s="6" t="s">
        <v>14</v>
      </c>
      <c r="F53" s="6">
        <v>7</v>
      </c>
      <c r="G53" s="6">
        <v>2</v>
      </c>
      <c r="H53" s="6" t="s">
        <v>18</v>
      </c>
      <c r="I53" s="6">
        <v>1</v>
      </c>
      <c r="J53" s="14">
        <v>5.687225629645499</v>
      </c>
      <c r="K53" s="14">
        <f t="shared" si="12"/>
        <v>5.687225629645499</v>
      </c>
      <c r="L53" s="14">
        <v>120.41249592590228</v>
      </c>
      <c r="M53" s="14">
        <f t="shared" si="13"/>
        <v>684.81303295937562</v>
      </c>
      <c r="N53" s="16">
        <v>0.87579011689882091</v>
      </c>
      <c r="O53" s="14">
        <f t="shared" si="14"/>
        <v>599.75248618932767</v>
      </c>
      <c r="P53" s="14">
        <f t="shared" si="15"/>
        <v>85.060546770047949</v>
      </c>
      <c r="Q53" s="14">
        <v>55.080737420446603</v>
      </c>
      <c r="R53" s="14">
        <v>20.47685073813803</v>
      </c>
      <c r="S53" s="14">
        <f t="shared" si="0"/>
        <v>12.987012987012987</v>
      </c>
      <c r="T53" s="14">
        <v>65.971084907076332</v>
      </c>
      <c r="U53" s="14">
        <f t="shared" si="16"/>
        <v>479.36912307156291</v>
      </c>
      <c r="V53" s="14">
        <f t="shared" si="17"/>
        <v>84.288747148131577</v>
      </c>
      <c r="W53" s="14">
        <v>78.346154036741837</v>
      </c>
      <c r="X53" s="16">
        <f t="shared" si="18"/>
        <v>0.65347676035148627</v>
      </c>
      <c r="Y53" s="16">
        <f t="shared" si="23"/>
        <v>7.2590999514518251E-2</v>
      </c>
      <c r="Z53" s="16">
        <f t="shared" si="19"/>
        <v>1.251128738426887</v>
      </c>
      <c r="AA53" s="16">
        <f t="shared" si="20"/>
        <v>6.7473130424522715E-2</v>
      </c>
      <c r="AB53" s="16">
        <f t="shared" si="1"/>
        <v>1.896431925498036E-2</v>
      </c>
      <c r="AC53" s="14">
        <f t="shared" si="24"/>
        <v>84.288747148131577</v>
      </c>
      <c r="AD53" s="16">
        <f t="shared" si="2"/>
        <v>0.17005586156721461</v>
      </c>
      <c r="AE53" s="16">
        <f t="shared" si="3"/>
        <v>8.0431789071564147E-2</v>
      </c>
      <c r="AF53" s="23" t="str">
        <f t="shared" si="21"/>
        <v/>
      </c>
      <c r="AG53" s="23" t="str">
        <f t="shared" si="4"/>
        <v/>
      </c>
      <c r="AH53" s="23">
        <f t="shared" si="5"/>
        <v>300</v>
      </c>
      <c r="AI53" s="23" t="str">
        <f t="shared" si="22"/>
        <v/>
      </c>
      <c r="AJ53" s="23" t="str">
        <f t="shared" si="6"/>
        <v/>
      </c>
      <c r="AK53" s="23" t="str">
        <f t="shared" si="7"/>
        <v/>
      </c>
      <c r="AL53" s="23" t="str">
        <f t="shared" si="8"/>
        <v/>
      </c>
      <c r="AM53" s="23" t="str">
        <f t="shared" si="9"/>
        <v/>
      </c>
      <c r="AN53" s="19">
        <f t="shared" si="10"/>
        <v>300</v>
      </c>
      <c r="AO53" s="26">
        <f t="shared" si="11"/>
        <v>-214.93945322995205</v>
      </c>
    </row>
    <row r="54" spans="1:41" x14ac:dyDescent="0.2">
      <c r="A54" s="12">
        <v>44608</v>
      </c>
      <c r="B54" s="6">
        <v>16</v>
      </c>
      <c r="C54" s="6">
        <v>47</v>
      </c>
      <c r="D54" s="6">
        <v>4</v>
      </c>
      <c r="E54" s="6" t="s">
        <v>15</v>
      </c>
      <c r="F54" s="6">
        <v>7</v>
      </c>
      <c r="G54" s="6">
        <v>2</v>
      </c>
      <c r="H54" s="6" t="s">
        <v>18</v>
      </c>
      <c r="I54" s="6">
        <v>1</v>
      </c>
      <c r="J54" s="14">
        <v>24.311549812075629</v>
      </c>
      <c r="K54" s="14">
        <f t="shared" si="12"/>
        <v>24.311549812075629</v>
      </c>
      <c r="L54" s="14">
        <v>78.697819913453827</v>
      </c>
      <c r="M54" s="14">
        <f t="shared" si="13"/>
        <v>1913.2659689276902</v>
      </c>
      <c r="N54" s="16">
        <v>0.80865566573052994</v>
      </c>
      <c r="O54" s="14">
        <f t="shared" si="14"/>
        <v>1547.1733658227888</v>
      </c>
      <c r="P54" s="14">
        <f t="shared" si="15"/>
        <v>366.0926031049014</v>
      </c>
      <c r="Q54" s="14">
        <v>66.33963320987904</v>
      </c>
      <c r="R54" s="14">
        <v>27.931312649398265</v>
      </c>
      <c r="S54" s="14">
        <f t="shared" si="0"/>
        <v>12.987012987012987</v>
      </c>
      <c r="T54" s="14">
        <v>59.594932099993457</v>
      </c>
      <c r="U54" s="14">
        <f t="shared" si="16"/>
        <v>1339.2861782493831</v>
      </c>
      <c r="V54" s="14">
        <f t="shared" si="17"/>
        <v>55.088473939417675</v>
      </c>
      <c r="W54" s="14">
        <v>82.907412576192328</v>
      </c>
      <c r="X54" s="16">
        <f t="shared" si="18"/>
        <v>1.2042379914686796</v>
      </c>
      <c r="Y54" s="16">
        <f t="shared" si="23"/>
        <v>0.293237348225446</v>
      </c>
      <c r="Z54" s="16">
        <f t="shared" si="19"/>
        <v>1.1552223796150429</v>
      </c>
      <c r="AA54" s="16">
        <f t="shared" si="20"/>
        <v>0.44131826630034654</v>
      </c>
      <c r="AB54" s="16">
        <f t="shared" si="1"/>
        <v>6.7878764363805064E-3</v>
      </c>
      <c r="AC54" s="14">
        <f t="shared" si="24"/>
        <v>55.088473939417675</v>
      </c>
      <c r="AD54" s="16">
        <f t="shared" si="2"/>
        <v>0.35491850574914402</v>
      </c>
      <c r="AE54" s="16">
        <f t="shared" si="3"/>
        <v>3.4673502945886704E-2</v>
      </c>
      <c r="AF54" s="23" t="str">
        <f t="shared" si="21"/>
        <v/>
      </c>
      <c r="AG54" s="23" t="str">
        <f t="shared" si="4"/>
        <v/>
      </c>
      <c r="AH54" s="23" t="str">
        <f t="shared" si="5"/>
        <v/>
      </c>
      <c r="AI54" s="23" t="str">
        <f t="shared" si="22"/>
        <v/>
      </c>
      <c r="AJ54" s="23" t="str">
        <f t="shared" si="6"/>
        <v/>
      </c>
      <c r="AK54" s="23" t="str">
        <f t="shared" si="7"/>
        <v/>
      </c>
      <c r="AL54" s="23" t="str">
        <f t="shared" si="8"/>
        <v/>
      </c>
      <c r="AM54" s="23" t="str">
        <f t="shared" si="9"/>
        <v/>
      </c>
      <c r="AN54" s="19">
        <f t="shared" si="10"/>
        <v>0</v>
      </c>
      <c r="AO54" s="26">
        <f t="shared" si="11"/>
        <v>366.0926031049014</v>
      </c>
    </row>
    <row r="55" spans="1:41" x14ac:dyDescent="0.2">
      <c r="A55" s="12">
        <v>44609</v>
      </c>
      <c r="B55" s="6">
        <v>17</v>
      </c>
      <c r="C55" s="6">
        <v>48</v>
      </c>
      <c r="D55" s="6">
        <v>5</v>
      </c>
      <c r="E55" s="6" t="s">
        <v>16</v>
      </c>
      <c r="F55" s="6">
        <v>7</v>
      </c>
      <c r="G55" s="6">
        <v>2</v>
      </c>
      <c r="H55" s="6" t="s">
        <v>18</v>
      </c>
      <c r="I55" s="6">
        <v>1</v>
      </c>
      <c r="J55" s="14">
        <v>20.867586131522664</v>
      </c>
      <c r="K55" s="14">
        <f t="shared" si="12"/>
        <v>20.867586131522664</v>
      </c>
      <c r="L55" s="14">
        <v>175.65860274351772</v>
      </c>
      <c r="M55" s="14">
        <f t="shared" si="13"/>
        <v>3665.5710224932795</v>
      </c>
      <c r="N55" s="16">
        <v>0.93996462669575165</v>
      </c>
      <c r="O55" s="14">
        <f t="shared" si="14"/>
        <v>3445.5070977846603</v>
      </c>
      <c r="P55" s="14">
        <f t="shared" si="15"/>
        <v>220.0639247086192</v>
      </c>
      <c r="Q55" s="14">
        <v>80.661208207635482</v>
      </c>
      <c r="R55" s="14">
        <v>16.356815909734092</v>
      </c>
      <c r="S55" s="14">
        <f t="shared" si="0"/>
        <v>12.987012987012987</v>
      </c>
      <c r="T55" s="14">
        <v>63.328390589958019</v>
      </c>
      <c r="U55" s="14">
        <f t="shared" si="16"/>
        <v>2565.8997157452955</v>
      </c>
      <c r="V55" s="14">
        <f t="shared" si="17"/>
        <v>122.9610219204624</v>
      </c>
      <c r="W55" s="14">
        <v>67.154940832872967</v>
      </c>
      <c r="X55" s="16">
        <f t="shared" si="18"/>
        <v>0.65599006049096886</v>
      </c>
      <c r="Y55" s="16">
        <f t="shared" si="23"/>
        <v>0.31073791254548744</v>
      </c>
      <c r="Z55" s="16">
        <f t="shared" si="19"/>
        <v>1.3428066095653597</v>
      </c>
      <c r="AA55" s="16">
        <f t="shared" si="20"/>
        <v>0.16970895171171321</v>
      </c>
      <c r="AB55" s="16">
        <f t="shared" si="1"/>
        <v>3.5429713153339393E-3</v>
      </c>
      <c r="AC55" s="14">
        <f t="shared" si="24"/>
        <v>122.9610219204624</v>
      </c>
      <c r="AD55" s="16">
        <f t="shared" si="2"/>
        <v>9.3117078550470841E-2</v>
      </c>
      <c r="AE55" s="16">
        <f t="shared" si="3"/>
        <v>2.2005086714366989E-2</v>
      </c>
      <c r="AF55" s="23" t="str">
        <f t="shared" si="21"/>
        <v/>
      </c>
      <c r="AG55" s="23" t="str">
        <f t="shared" si="4"/>
        <v/>
      </c>
      <c r="AH55" s="23" t="str">
        <f t="shared" si="5"/>
        <v/>
      </c>
      <c r="AI55" s="23" t="str">
        <f t="shared" si="22"/>
        <v/>
      </c>
      <c r="AJ55" s="23" t="str">
        <f t="shared" si="6"/>
        <v/>
      </c>
      <c r="AK55" s="23" t="str">
        <f t="shared" si="7"/>
        <v/>
      </c>
      <c r="AL55" s="23" t="str">
        <f t="shared" si="8"/>
        <v/>
      </c>
      <c r="AM55" s="23" t="str">
        <f t="shared" si="9"/>
        <v/>
      </c>
      <c r="AN55" s="19">
        <f t="shared" si="10"/>
        <v>0</v>
      </c>
      <c r="AO55" s="26">
        <f t="shared" si="11"/>
        <v>220.0639247086192</v>
      </c>
    </row>
    <row r="56" spans="1:41" x14ac:dyDescent="0.2">
      <c r="A56" s="12">
        <v>44610</v>
      </c>
      <c r="B56" s="6">
        <v>18</v>
      </c>
      <c r="C56" s="6">
        <v>49</v>
      </c>
      <c r="D56" s="6">
        <v>6</v>
      </c>
      <c r="E56" s="6" t="s">
        <v>17</v>
      </c>
      <c r="F56" s="6">
        <v>7</v>
      </c>
      <c r="G56" s="6">
        <v>2</v>
      </c>
      <c r="H56" s="6" t="s">
        <v>18</v>
      </c>
      <c r="I56" s="6">
        <v>1</v>
      </c>
      <c r="J56" s="14">
        <v>34.426599178912532</v>
      </c>
      <c r="K56" s="14">
        <f t="shared" si="12"/>
        <v>34.426599178912532</v>
      </c>
      <c r="L56" s="14">
        <v>130.31981145329726</v>
      </c>
      <c r="M56" s="14">
        <f t="shared" si="13"/>
        <v>4486.4679139741193</v>
      </c>
      <c r="N56" s="16">
        <v>1.0623816900526992</v>
      </c>
      <c r="O56" s="14">
        <f t="shared" si="14"/>
        <v>4766.3413648150326</v>
      </c>
      <c r="P56" s="14">
        <f t="shared" si="15"/>
        <v>-279.87345084091339</v>
      </c>
      <c r="Q56" s="14">
        <v>100.42608330182415</v>
      </c>
      <c r="R56" s="14">
        <v>24.910147795376329</v>
      </c>
      <c r="S56" s="14">
        <f t="shared" si="0"/>
        <v>12.987012987012987</v>
      </c>
      <c r="T56" s="14">
        <v>63.607449135023401</v>
      </c>
      <c r="U56" s="14">
        <f t="shared" si="16"/>
        <v>3140.5275397818832</v>
      </c>
      <c r="V56" s="14">
        <f t="shared" si="17"/>
        <v>91.223868017308064</v>
      </c>
      <c r="W56" s="14">
        <v>54.112418031366282</v>
      </c>
      <c r="X56" s="16">
        <f t="shared" si="18"/>
        <v>1.1008750832925669</v>
      </c>
      <c r="Y56" s="16">
        <f t="shared" si="23"/>
        <v>0.63620515274252099</v>
      </c>
      <c r="Z56" s="16">
        <f t="shared" si="19"/>
        <v>1.5176881286467132</v>
      </c>
      <c r="AA56" s="16">
        <f t="shared" si="20"/>
        <v>0.37738587419227515</v>
      </c>
      <c r="AB56" s="16">
        <f t="shared" si="1"/>
        <v>2.894707648874964E-3</v>
      </c>
      <c r="AC56" s="14">
        <f t="shared" si="24"/>
        <v>91.223868017308064</v>
      </c>
      <c r="AD56" s="16">
        <f t="shared" si="2"/>
        <v>0.1911462848018575</v>
      </c>
      <c r="AE56" s="16">
        <f t="shared" si="3"/>
        <v>2.238421966398654E-2</v>
      </c>
      <c r="AF56" s="23" t="str">
        <f t="shared" si="21"/>
        <v/>
      </c>
      <c r="AG56" s="23" t="str">
        <f t="shared" si="4"/>
        <v/>
      </c>
      <c r="AH56" s="23" t="str">
        <f t="shared" si="5"/>
        <v/>
      </c>
      <c r="AI56" s="23" t="str">
        <f t="shared" si="22"/>
        <v/>
      </c>
      <c r="AJ56" s="23" t="str">
        <f t="shared" si="6"/>
        <v/>
      </c>
      <c r="AK56" s="23" t="str">
        <f t="shared" si="7"/>
        <v/>
      </c>
      <c r="AL56" s="23" t="str">
        <f t="shared" si="8"/>
        <v/>
      </c>
      <c r="AM56" s="23" t="str">
        <f t="shared" si="9"/>
        <v/>
      </c>
      <c r="AN56" s="19">
        <f t="shared" si="10"/>
        <v>0</v>
      </c>
      <c r="AO56" s="26">
        <f t="shared" si="11"/>
        <v>-279.87345084091339</v>
      </c>
    </row>
    <row r="57" spans="1:41" x14ac:dyDescent="0.2">
      <c r="A57" s="12">
        <v>44611</v>
      </c>
      <c r="B57" s="6">
        <v>19</v>
      </c>
      <c r="C57" s="6">
        <v>50</v>
      </c>
      <c r="D57" s="6">
        <v>7</v>
      </c>
      <c r="E57" s="6" t="s">
        <v>10</v>
      </c>
      <c r="F57" s="6">
        <v>7</v>
      </c>
      <c r="G57" s="6">
        <v>2</v>
      </c>
      <c r="H57" s="6" t="s">
        <v>18</v>
      </c>
      <c r="I57" s="6">
        <v>1</v>
      </c>
      <c r="J57" s="14">
        <v>22.294276942173045</v>
      </c>
      <c r="K57" s="14">
        <f t="shared" si="12"/>
        <v>22.294276942173045</v>
      </c>
      <c r="L57" s="14">
        <v>68.599810117005589</v>
      </c>
      <c r="M57" s="14">
        <f t="shared" si="13"/>
        <v>1529.3831649290069</v>
      </c>
      <c r="N57" s="16">
        <v>0.53069874167376929</v>
      </c>
      <c r="O57" s="14">
        <f t="shared" si="14"/>
        <v>811.64172116487066</v>
      </c>
      <c r="P57" s="14">
        <f t="shared" si="15"/>
        <v>717.74144376413619</v>
      </c>
      <c r="Q57" s="14">
        <v>133.59858316575045</v>
      </c>
      <c r="R57" s="14">
        <v>17.217959502711778</v>
      </c>
      <c r="S57" s="14">
        <f t="shared" si="0"/>
        <v>12.987012987012987</v>
      </c>
      <c r="T57" s="14">
        <v>71.697243967645193</v>
      </c>
      <c r="U57" s="14">
        <f t="shared" si="16"/>
        <v>1070.5682154503047</v>
      </c>
      <c r="V57" s="14">
        <f t="shared" si="17"/>
        <v>48.019867081903904</v>
      </c>
      <c r="W57" s="14">
        <v>56.424003956122007</v>
      </c>
      <c r="X57" s="16">
        <f t="shared" si="18"/>
        <v>2.7821522899653455</v>
      </c>
      <c r="Y57" s="16">
        <f t="shared" si="23"/>
        <v>0.39512043419517229</v>
      </c>
      <c r="Z57" s="16">
        <f t="shared" si="19"/>
        <v>0.75814105953395616</v>
      </c>
      <c r="AA57" s="16">
        <f t="shared" si="20"/>
        <v>0.46427194194743104</v>
      </c>
      <c r="AB57" s="16">
        <f t="shared" si="1"/>
        <v>8.4916672844478694E-3</v>
      </c>
      <c r="AC57" s="14">
        <f t="shared" si="24"/>
        <v>48.019867081903904</v>
      </c>
      <c r="AD57" s="16">
        <f t="shared" si="2"/>
        <v>0.25099135804230926</v>
      </c>
      <c r="AE57" s="16">
        <f t="shared" si="3"/>
        <v>8.7354553279623701E-2</v>
      </c>
      <c r="AF57" s="23" t="str">
        <f t="shared" si="21"/>
        <v/>
      </c>
      <c r="AG57" s="23" t="str">
        <f t="shared" si="4"/>
        <v/>
      </c>
      <c r="AH57" s="23" t="str">
        <f t="shared" si="5"/>
        <v/>
      </c>
      <c r="AI57" s="23" t="str">
        <f t="shared" si="22"/>
        <v/>
      </c>
      <c r="AJ57" s="23" t="str">
        <f t="shared" si="6"/>
        <v/>
      </c>
      <c r="AK57" s="23" t="str">
        <f t="shared" si="7"/>
        <v/>
      </c>
      <c r="AL57" s="23" t="str">
        <f t="shared" si="8"/>
        <v/>
      </c>
      <c r="AM57" s="23" t="str">
        <f t="shared" si="9"/>
        <v/>
      </c>
      <c r="AN57" s="19">
        <f t="shared" si="10"/>
        <v>0</v>
      </c>
      <c r="AO57" s="26">
        <f t="shared" si="11"/>
        <v>717.74144376413619</v>
      </c>
    </row>
    <row r="58" spans="1:41" x14ac:dyDescent="0.2">
      <c r="A58" s="12">
        <v>44612</v>
      </c>
      <c r="B58" s="6">
        <v>20</v>
      </c>
      <c r="C58" s="6">
        <v>51</v>
      </c>
      <c r="D58" s="6">
        <v>1</v>
      </c>
      <c r="E58" s="6" t="s">
        <v>12</v>
      </c>
      <c r="F58" s="6">
        <v>8</v>
      </c>
      <c r="G58" s="6">
        <v>2</v>
      </c>
      <c r="H58" s="6" t="s">
        <v>18</v>
      </c>
      <c r="I58" s="6">
        <v>1</v>
      </c>
      <c r="J58" s="14">
        <v>6.101097120120718</v>
      </c>
      <c r="K58" s="14">
        <f t="shared" si="12"/>
        <v>6.101097120120718</v>
      </c>
      <c r="L58" s="14">
        <v>66.492259370938655</v>
      </c>
      <c r="M58" s="14">
        <f t="shared" si="13"/>
        <v>405.67573215835364</v>
      </c>
      <c r="N58" s="16">
        <v>0.31006452911247523</v>
      </c>
      <c r="O58" s="14">
        <f t="shared" si="14"/>
        <v>125.78565486403855</v>
      </c>
      <c r="P58" s="14">
        <f t="shared" si="15"/>
        <v>279.89007729431512</v>
      </c>
      <c r="Q58" s="14">
        <v>47.283785299965288</v>
      </c>
      <c r="R58" s="14">
        <v>14.032116735204657</v>
      </c>
      <c r="S58" s="14">
        <f t="shared" si="0"/>
        <v>28.571428571428573</v>
      </c>
      <c r="T58" s="14">
        <v>28.537781957225864</v>
      </c>
      <c r="U58" s="14">
        <f t="shared" si="16"/>
        <v>283.97301251084752</v>
      </c>
      <c r="V58" s="14">
        <f t="shared" si="17"/>
        <v>46.544581559657054</v>
      </c>
      <c r="W58" s="14">
        <v>39.259800991074478</v>
      </c>
      <c r="X58" s="16">
        <f t="shared" si="18"/>
        <v>1.0158816282269243</v>
      </c>
      <c r="Y58" s="16">
        <f t="shared" si="23"/>
        <v>0.15540315962140949</v>
      </c>
      <c r="Z58" s="16">
        <f t="shared" si="19"/>
        <v>0.44294932730353609</v>
      </c>
      <c r="AA58" s="16">
        <f t="shared" si="20"/>
        <v>0.13108071693159018</v>
      </c>
      <c r="AB58" s="16">
        <f t="shared" si="1"/>
        <v>7.04292278451496E-2</v>
      </c>
      <c r="AC58" s="14">
        <f t="shared" si="24"/>
        <v>46.544581559657054</v>
      </c>
      <c r="AD58" s="16">
        <f t="shared" si="2"/>
        <v>0.21103383864464656</v>
      </c>
      <c r="AE58" s="16">
        <f t="shared" si="3"/>
        <v>0.11655561708953367</v>
      </c>
      <c r="AF58" s="23" t="str">
        <f t="shared" si="21"/>
        <v/>
      </c>
      <c r="AG58" s="23">
        <f t="shared" si="4"/>
        <v>1000</v>
      </c>
      <c r="AH58" s="23" t="str">
        <f t="shared" si="5"/>
        <v/>
      </c>
      <c r="AI58" s="23" t="str">
        <f t="shared" si="22"/>
        <v/>
      </c>
      <c r="AJ58" s="23">
        <f t="shared" si="6"/>
        <v>100</v>
      </c>
      <c r="AK58" s="23" t="str">
        <f t="shared" si="7"/>
        <v/>
      </c>
      <c r="AL58" s="23" t="str">
        <f t="shared" si="8"/>
        <v/>
      </c>
      <c r="AM58" s="23" t="str">
        <f t="shared" si="9"/>
        <v/>
      </c>
      <c r="AN58" s="19">
        <f t="shared" si="10"/>
        <v>1100</v>
      </c>
      <c r="AO58" s="26">
        <f t="shared" si="11"/>
        <v>-820.10992270568488</v>
      </c>
    </row>
    <row r="59" spans="1:41" x14ac:dyDescent="0.2">
      <c r="A59" s="12">
        <v>44613</v>
      </c>
      <c r="B59" s="6">
        <v>21</v>
      </c>
      <c r="C59" s="6">
        <v>52</v>
      </c>
      <c r="D59" s="6">
        <v>2</v>
      </c>
      <c r="E59" s="6" t="s">
        <v>13</v>
      </c>
      <c r="F59" s="6">
        <v>8</v>
      </c>
      <c r="G59" s="6">
        <v>2</v>
      </c>
      <c r="H59" s="6" t="s">
        <v>18</v>
      </c>
      <c r="I59" s="6">
        <v>1</v>
      </c>
      <c r="J59" s="14">
        <v>19.783364875251358</v>
      </c>
      <c r="K59" s="14">
        <f t="shared" si="12"/>
        <v>19.783364875251358</v>
      </c>
      <c r="L59" s="14">
        <v>128.39981995129742</v>
      </c>
      <c r="M59" s="14">
        <f t="shared" si="13"/>
        <v>2540.1804880130958</v>
      </c>
      <c r="N59" s="16">
        <v>0.85415544704104085</v>
      </c>
      <c r="O59" s="14">
        <f t="shared" si="14"/>
        <v>2169.7090003037551</v>
      </c>
      <c r="P59" s="14">
        <f t="shared" si="15"/>
        <v>370.47148770934064</v>
      </c>
      <c r="Q59" s="14">
        <v>88.914682495303367</v>
      </c>
      <c r="R59" s="14">
        <v>22.528124315271455</v>
      </c>
      <c r="S59" s="14">
        <f t="shared" si="0"/>
        <v>12.987012987012987</v>
      </c>
      <c r="T59" s="14">
        <v>78.438442368172261</v>
      </c>
      <c r="U59" s="14">
        <f t="shared" si="16"/>
        <v>1778.126341609167</v>
      </c>
      <c r="V59" s="14">
        <f t="shared" si="17"/>
        <v>89.879873965908189</v>
      </c>
      <c r="W59" s="14">
        <v>73.831431350497496</v>
      </c>
      <c r="X59" s="16">
        <f t="shared" si="18"/>
        <v>0.98926131704444842</v>
      </c>
      <c r="Y59" s="16">
        <f t="shared" si="23"/>
        <v>0.26795315373657663</v>
      </c>
      <c r="Z59" s="16">
        <f t="shared" si="19"/>
        <v>1.220222067201487</v>
      </c>
      <c r="AA59" s="16">
        <f t="shared" si="20"/>
        <v>0.22010895211930617</v>
      </c>
      <c r="AB59" s="16">
        <f t="shared" si="1"/>
        <v>5.1126339440435986E-3</v>
      </c>
      <c r="AC59" s="14">
        <f t="shared" si="24"/>
        <v>89.879873965908189</v>
      </c>
      <c r="AD59" s="16">
        <f t="shared" si="2"/>
        <v>0.175452927611709</v>
      </c>
      <c r="AE59" s="16">
        <f t="shared" si="3"/>
        <v>3.5003293236399731E-2</v>
      </c>
      <c r="AF59" s="23" t="str">
        <f t="shared" si="21"/>
        <v/>
      </c>
      <c r="AG59" s="23" t="str">
        <f t="shared" si="4"/>
        <v/>
      </c>
      <c r="AH59" s="23" t="str">
        <f t="shared" si="5"/>
        <v/>
      </c>
      <c r="AI59" s="23" t="str">
        <f t="shared" si="22"/>
        <v/>
      </c>
      <c r="AJ59" s="23" t="str">
        <f t="shared" si="6"/>
        <v/>
      </c>
      <c r="AK59" s="23" t="str">
        <f t="shared" si="7"/>
        <v/>
      </c>
      <c r="AL59" s="23" t="str">
        <f t="shared" si="8"/>
        <v/>
      </c>
      <c r="AM59" s="23" t="str">
        <f t="shared" si="9"/>
        <v/>
      </c>
      <c r="AN59" s="19">
        <f t="shared" si="10"/>
        <v>0</v>
      </c>
      <c r="AO59" s="26">
        <f t="shared" si="11"/>
        <v>370.47148770934064</v>
      </c>
    </row>
    <row r="60" spans="1:41" x14ac:dyDescent="0.2">
      <c r="A60" s="12">
        <v>44614</v>
      </c>
      <c r="B60" s="6">
        <v>22</v>
      </c>
      <c r="C60" s="6">
        <v>53</v>
      </c>
      <c r="D60" s="6">
        <v>3</v>
      </c>
      <c r="E60" s="6" t="s">
        <v>14</v>
      </c>
      <c r="F60" s="6">
        <v>8</v>
      </c>
      <c r="G60" s="6">
        <v>2</v>
      </c>
      <c r="H60" s="6" t="s">
        <v>18</v>
      </c>
      <c r="I60" s="6">
        <v>1</v>
      </c>
      <c r="J60" s="14">
        <v>10.19862401651427</v>
      </c>
      <c r="K60" s="14">
        <f t="shared" si="12"/>
        <v>10.19862401651427</v>
      </c>
      <c r="L60" s="14">
        <v>129.68247172216272</v>
      </c>
      <c r="M60" s="14">
        <f t="shared" si="13"/>
        <v>1322.5827706265814</v>
      </c>
      <c r="N60" s="16">
        <v>0.99077254520483016</v>
      </c>
      <c r="O60" s="14">
        <f t="shared" si="14"/>
        <v>1310.3786978977541</v>
      </c>
      <c r="P60" s="14">
        <f t="shared" si="15"/>
        <v>12.204072728827214</v>
      </c>
      <c r="Q60" s="14">
        <v>75.807147186193916</v>
      </c>
      <c r="R60" s="14">
        <v>3.8821679767802539</v>
      </c>
      <c r="S60" s="14">
        <f t="shared" si="0"/>
        <v>12.987012987012987</v>
      </c>
      <c r="T60" s="14">
        <v>91.957371166519764</v>
      </c>
      <c r="U60" s="14">
        <f t="shared" si="16"/>
        <v>925.80793943860692</v>
      </c>
      <c r="V60" s="14">
        <f t="shared" si="17"/>
        <v>90.777730205513905</v>
      </c>
      <c r="W60" s="14">
        <v>78.936923354841383</v>
      </c>
      <c r="X60" s="16">
        <f t="shared" si="18"/>
        <v>0.8350852903522954</v>
      </c>
      <c r="Y60" s="16">
        <f t="shared" si="23"/>
        <v>0.12919966453048698</v>
      </c>
      <c r="Z60" s="16">
        <f t="shared" si="19"/>
        <v>1.4153893502926147</v>
      </c>
      <c r="AA60" s="16">
        <f t="shared" si="20"/>
        <v>0.11234720226453512</v>
      </c>
      <c r="AB60" s="16">
        <f t="shared" si="1"/>
        <v>9.819433063429606E-3</v>
      </c>
      <c r="AC60" s="14">
        <f t="shared" si="24"/>
        <v>90.777730205513905</v>
      </c>
      <c r="AD60" s="16">
        <f t="shared" si="2"/>
        <v>2.9935949903064595E-2</v>
      </c>
      <c r="AE60" s="16">
        <f t="shared" si="3"/>
        <v>5.7317506979377805E-2</v>
      </c>
      <c r="AF60" s="23" t="str">
        <f t="shared" si="21"/>
        <v/>
      </c>
      <c r="AG60" s="23" t="str">
        <f t="shared" si="4"/>
        <v/>
      </c>
      <c r="AH60" s="23" t="str">
        <f t="shared" si="5"/>
        <v/>
      </c>
      <c r="AI60" s="23" t="str">
        <f t="shared" si="22"/>
        <v/>
      </c>
      <c r="AJ60" s="23" t="str">
        <f t="shared" si="6"/>
        <v/>
      </c>
      <c r="AK60" s="23" t="str">
        <f t="shared" si="7"/>
        <v/>
      </c>
      <c r="AL60" s="23" t="str">
        <f t="shared" si="8"/>
        <v/>
      </c>
      <c r="AM60" s="23" t="str">
        <f t="shared" si="9"/>
        <v/>
      </c>
      <c r="AN60" s="19">
        <f t="shared" si="10"/>
        <v>0</v>
      </c>
      <c r="AO60" s="26">
        <f t="shared" si="11"/>
        <v>12.204072728827214</v>
      </c>
    </row>
    <row r="61" spans="1:41" x14ac:dyDescent="0.2">
      <c r="A61" s="12">
        <v>44615</v>
      </c>
      <c r="B61" s="6">
        <v>23</v>
      </c>
      <c r="C61" s="6">
        <v>54</v>
      </c>
      <c r="D61" s="6">
        <v>4</v>
      </c>
      <c r="E61" s="6" t="s">
        <v>15</v>
      </c>
      <c r="F61" s="6">
        <v>8</v>
      </c>
      <c r="G61" s="6">
        <v>2</v>
      </c>
      <c r="H61" s="6" t="s">
        <v>18</v>
      </c>
      <c r="I61" s="6">
        <v>1</v>
      </c>
      <c r="J61" s="14">
        <v>27.418462878570544</v>
      </c>
      <c r="K61" s="14">
        <f t="shared" si="12"/>
        <v>27.418462878570544</v>
      </c>
      <c r="L61" s="14">
        <v>104.50719973317973</v>
      </c>
      <c r="M61" s="14">
        <f t="shared" si="13"/>
        <v>2865.426776427546</v>
      </c>
      <c r="N61" s="16">
        <v>0.84637672095689964</v>
      </c>
      <c r="O61" s="14">
        <f t="shared" si="14"/>
        <v>2425.2305191748455</v>
      </c>
      <c r="P61" s="14">
        <f t="shared" si="15"/>
        <v>440.19625725270043</v>
      </c>
      <c r="Q61" s="14">
        <v>97.861367075655409</v>
      </c>
      <c r="R61" s="14">
        <v>39.232896081285006</v>
      </c>
      <c r="S61" s="14">
        <f t="shared" si="0"/>
        <v>12.987012987012987</v>
      </c>
      <c r="T61" s="14">
        <v>68.295131712379074</v>
      </c>
      <c r="U61" s="14">
        <f t="shared" si="16"/>
        <v>2005.798743499282</v>
      </c>
      <c r="V61" s="14">
        <f t="shared" si="17"/>
        <v>73.155039813225798</v>
      </c>
      <c r="W61" s="14">
        <v>76.391604342962978</v>
      </c>
      <c r="X61" s="16">
        <f t="shared" si="18"/>
        <v>1.337725566488762</v>
      </c>
      <c r="Y61" s="16">
        <f t="shared" si="23"/>
        <v>0.35891984615841194</v>
      </c>
      <c r="Z61" s="16">
        <f t="shared" si="19"/>
        <v>1.2091096013669995</v>
      </c>
      <c r="AA61" s="16">
        <f t="shared" si="20"/>
        <v>0.37479937060486057</v>
      </c>
      <c r="AB61" s="16">
        <f t="shared" si="1"/>
        <v>4.5323136832009607E-3</v>
      </c>
      <c r="AC61" s="14">
        <f t="shared" si="24"/>
        <v>73.155039813225798</v>
      </c>
      <c r="AD61" s="16">
        <f t="shared" si="2"/>
        <v>0.37540854775031401</v>
      </c>
      <c r="AE61" s="16">
        <f t="shared" si="3"/>
        <v>3.4152457805138363E-2</v>
      </c>
      <c r="AF61" s="23" t="str">
        <f t="shared" si="21"/>
        <v/>
      </c>
      <c r="AG61" s="23" t="str">
        <f t="shared" si="4"/>
        <v/>
      </c>
      <c r="AH61" s="23" t="str">
        <f t="shared" si="5"/>
        <v/>
      </c>
      <c r="AI61" s="23" t="str">
        <f t="shared" si="22"/>
        <v/>
      </c>
      <c r="AJ61" s="23" t="str">
        <f t="shared" si="6"/>
        <v/>
      </c>
      <c r="AK61" s="23" t="str">
        <f t="shared" si="7"/>
        <v/>
      </c>
      <c r="AL61" s="23" t="str">
        <f t="shared" si="8"/>
        <v/>
      </c>
      <c r="AM61" s="23" t="str">
        <f t="shared" si="9"/>
        <v/>
      </c>
      <c r="AN61" s="19">
        <f t="shared" si="10"/>
        <v>0</v>
      </c>
      <c r="AO61" s="26">
        <f t="shared" si="11"/>
        <v>440.19625725270043</v>
      </c>
    </row>
    <row r="62" spans="1:41" x14ac:dyDescent="0.2">
      <c r="A62" s="12">
        <v>44616</v>
      </c>
      <c r="B62" s="6">
        <v>24</v>
      </c>
      <c r="C62" s="6">
        <v>55</v>
      </c>
      <c r="D62" s="6">
        <v>5</v>
      </c>
      <c r="E62" s="6" t="s">
        <v>16</v>
      </c>
      <c r="F62" s="6">
        <v>8</v>
      </c>
      <c r="G62" s="6">
        <v>2</v>
      </c>
      <c r="H62" s="6" t="s">
        <v>18</v>
      </c>
      <c r="I62" s="6">
        <v>1</v>
      </c>
      <c r="J62" s="14">
        <v>36.667998404099635</v>
      </c>
      <c r="K62" s="14">
        <f t="shared" si="12"/>
        <v>36.667998404099635</v>
      </c>
      <c r="L62" s="14">
        <v>90.653015736050236</v>
      </c>
      <c r="M62" s="14">
        <f t="shared" si="13"/>
        <v>3324.0646363363089</v>
      </c>
      <c r="N62" s="16">
        <v>0.88418154027313967</v>
      </c>
      <c r="O62" s="14">
        <f t="shared" si="14"/>
        <v>2939.0765901233117</v>
      </c>
      <c r="P62" s="14">
        <f t="shared" si="15"/>
        <v>384.98804621299723</v>
      </c>
      <c r="Q62" s="14">
        <v>26.272768686627053</v>
      </c>
      <c r="R62" s="14">
        <v>31.948947371572622</v>
      </c>
      <c r="S62" s="14">
        <f t="shared" si="0"/>
        <v>12.987012987012987</v>
      </c>
      <c r="T62" s="14">
        <v>80.694244948876602</v>
      </c>
      <c r="U62" s="14">
        <f t="shared" si="16"/>
        <v>2326.845245435416</v>
      </c>
      <c r="V62" s="14">
        <f t="shared" si="17"/>
        <v>63.457111015235157</v>
      </c>
      <c r="W62" s="14">
        <v>94.916095090173911</v>
      </c>
      <c r="X62" s="16">
        <f t="shared" si="18"/>
        <v>0.41402402766680213</v>
      </c>
      <c r="Y62" s="16">
        <f t="shared" si="23"/>
        <v>0.38632013221007078</v>
      </c>
      <c r="Z62" s="16">
        <f t="shared" si="19"/>
        <v>1.2631164861044855</v>
      </c>
      <c r="AA62" s="16">
        <f t="shared" si="20"/>
        <v>0.57783907614855279</v>
      </c>
      <c r="AB62" s="16">
        <f t="shared" si="1"/>
        <v>3.906967645889976E-3</v>
      </c>
      <c r="AC62" s="14">
        <f t="shared" si="24"/>
        <v>63.457111015235157</v>
      </c>
      <c r="AD62" s="16">
        <f t="shared" si="2"/>
        <v>0.35243115865661595</v>
      </c>
      <c r="AE62" s="16">
        <f t="shared" si="3"/>
        <v>7.9038080064484442E-3</v>
      </c>
      <c r="AF62" s="23" t="str">
        <f t="shared" si="21"/>
        <v/>
      </c>
      <c r="AG62" s="23" t="str">
        <f t="shared" si="4"/>
        <v/>
      </c>
      <c r="AH62" s="23" t="str">
        <f t="shared" si="5"/>
        <v/>
      </c>
      <c r="AI62" s="23" t="str">
        <f t="shared" si="22"/>
        <v/>
      </c>
      <c r="AJ62" s="23" t="str">
        <f t="shared" si="6"/>
        <v/>
      </c>
      <c r="AK62" s="23" t="str">
        <f t="shared" si="7"/>
        <v/>
      </c>
      <c r="AL62" s="23" t="str">
        <f t="shared" si="8"/>
        <v/>
      </c>
      <c r="AM62" s="23" t="str">
        <f t="shared" si="9"/>
        <v/>
      </c>
      <c r="AN62" s="19">
        <f t="shared" si="10"/>
        <v>0</v>
      </c>
      <c r="AO62" s="26">
        <f t="shared" si="11"/>
        <v>384.98804621299723</v>
      </c>
    </row>
    <row r="63" spans="1:41" x14ac:dyDescent="0.2">
      <c r="A63" s="12">
        <v>44617</v>
      </c>
      <c r="B63" s="6">
        <v>25</v>
      </c>
      <c r="C63" s="6">
        <v>56</v>
      </c>
      <c r="D63" s="6">
        <v>6</v>
      </c>
      <c r="E63" s="6" t="s">
        <v>17</v>
      </c>
      <c r="F63" s="6">
        <v>8</v>
      </c>
      <c r="G63" s="6">
        <v>2</v>
      </c>
      <c r="H63" s="6" t="s">
        <v>18</v>
      </c>
      <c r="I63" s="6">
        <v>1</v>
      </c>
      <c r="J63" s="14">
        <v>6.8756671821168442</v>
      </c>
      <c r="K63" s="14">
        <f t="shared" si="12"/>
        <v>6.8756671821168442</v>
      </c>
      <c r="L63" s="14">
        <v>151.06293349775797</v>
      </c>
      <c r="M63" s="14">
        <f t="shared" si="13"/>
        <v>1038.6584542848339</v>
      </c>
      <c r="N63" s="16">
        <v>0.95761808034714235</v>
      </c>
      <c r="O63" s="14">
        <f t="shared" si="14"/>
        <v>994.63811512857274</v>
      </c>
      <c r="P63" s="14">
        <f t="shared" si="15"/>
        <v>44.020339156261116</v>
      </c>
      <c r="Q63" s="14">
        <v>119.37790163038881</v>
      </c>
      <c r="R63" s="14">
        <v>33.517103695608313</v>
      </c>
      <c r="S63" s="14">
        <f t="shared" si="0"/>
        <v>12.987012987012987</v>
      </c>
      <c r="T63" s="14">
        <v>87.650306710831828</v>
      </c>
      <c r="U63" s="14">
        <f t="shared" si="16"/>
        <v>727.06091799938361</v>
      </c>
      <c r="V63" s="14">
        <f t="shared" si="17"/>
        <v>105.74405344843058</v>
      </c>
      <c r="W63" s="14">
        <v>81.801739210145939</v>
      </c>
      <c r="X63" s="16">
        <f t="shared" si="18"/>
        <v>1.128932528471752</v>
      </c>
      <c r="Y63" s="16">
        <f t="shared" si="23"/>
        <v>8.4052823919226027E-2</v>
      </c>
      <c r="Z63" s="16">
        <f t="shared" si="19"/>
        <v>1.3680258290673464</v>
      </c>
      <c r="AA63" s="16">
        <f t="shared" si="20"/>
        <v>6.5021785697575704E-2</v>
      </c>
      <c r="AB63" s="16">
        <f t="shared" si="1"/>
        <v>1.2503641532437309E-2</v>
      </c>
      <c r="AC63" s="14">
        <f t="shared" si="24"/>
        <v>105.74405344843058</v>
      </c>
      <c r="AD63" s="16">
        <f t="shared" si="2"/>
        <v>0.22187510145303621</v>
      </c>
      <c r="AE63" s="16">
        <f t="shared" si="3"/>
        <v>0.11493470364383276</v>
      </c>
      <c r="AF63" s="23" t="str">
        <f t="shared" si="21"/>
        <v/>
      </c>
      <c r="AG63" s="23" t="str">
        <f t="shared" si="4"/>
        <v/>
      </c>
      <c r="AH63" s="23" t="str">
        <f t="shared" si="5"/>
        <v/>
      </c>
      <c r="AI63" s="23" t="str">
        <f t="shared" si="22"/>
        <v/>
      </c>
      <c r="AJ63" s="23" t="str">
        <f t="shared" si="6"/>
        <v/>
      </c>
      <c r="AK63" s="23" t="str">
        <f t="shared" si="7"/>
        <v/>
      </c>
      <c r="AL63" s="23">
        <f t="shared" si="8"/>
        <v>83</v>
      </c>
      <c r="AM63" s="23" t="str">
        <f t="shared" si="9"/>
        <v/>
      </c>
      <c r="AN63" s="19">
        <f t="shared" si="10"/>
        <v>83</v>
      </c>
      <c r="AO63" s="26">
        <f t="shared" si="11"/>
        <v>-38.979660843738884</v>
      </c>
    </row>
    <row r="64" spans="1:41" x14ac:dyDescent="0.2">
      <c r="A64" s="12">
        <v>44618</v>
      </c>
      <c r="B64" s="6">
        <v>26</v>
      </c>
      <c r="C64" s="6">
        <v>57</v>
      </c>
      <c r="D64" s="6">
        <v>7</v>
      </c>
      <c r="E64" s="6" t="s">
        <v>10</v>
      </c>
      <c r="F64" s="6">
        <v>8</v>
      </c>
      <c r="G64" s="6">
        <v>2</v>
      </c>
      <c r="H64" s="6" t="s">
        <v>18</v>
      </c>
      <c r="I64" s="6">
        <v>1</v>
      </c>
      <c r="J64" s="14">
        <v>20.095052368837795</v>
      </c>
      <c r="K64" s="14">
        <f t="shared" si="12"/>
        <v>20.095052368837795</v>
      </c>
      <c r="L64" s="14">
        <v>91.96407586108063</v>
      </c>
      <c r="M64" s="14">
        <f t="shared" si="13"/>
        <v>1848.0229204801869</v>
      </c>
      <c r="N64" s="16">
        <v>1.0158186011987194</v>
      </c>
      <c r="O64" s="14">
        <f t="shared" si="14"/>
        <v>1877.2560580653558</v>
      </c>
      <c r="P64" s="14">
        <f t="shared" si="15"/>
        <v>-29.233137585168834</v>
      </c>
      <c r="Q64" s="14">
        <v>52.5047587425003</v>
      </c>
      <c r="R64" s="14">
        <v>26.881430683402712</v>
      </c>
      <c r="S64" s="14">
        <f t="shared" si="0"/>
        <v>12.987012987012987</v>
      </c>
      <c r="T64" s="14">
        <v>86.582749965187247</v>
      </c>
      <c r="U64" s="14">
        <f t="shared" si="16"/>
        <v>1293.6160443361307</v>
      </c>
      <c r="V64" s="14">
        <f t="shared" si="17"/>
        <v>64.374853102756433</v>
      </c>
      <c r="W64" s="14">
        <v>91.975328410091535</v>
      </c>
      <c r="X64" s="16">
        <f t="shared" si="18"/>
        <v>0.81560976393516815</v>
      </c>
      <c r="Y64" s="16">
        <f t="shared" si="23"/>
        <v>0.218483072756639</v>
      </c>
      <c r="Z64" s="16">
        <f t="shared" si="19"/>
        <v>1.4511694302838851</v>
      </c>
      <c r="AA64" s="16">
        <f t="shared" si="20"/>
        <v>0.31215686561275208</v>
      </c>
      <c r="AB64" s="16">
        <f t="shared" si="1"/>
        <v>7.0275172689083665E-3</v>
      </c>
      <c r="AC64" s="14">
        <f t="shared" si="24"/>
        <v>64.374853102756433</v>
      </c>
      <c r="AD64" s="16">
        <f t="shared" si="2"/>
        <v>0.29230360259379268</v>
      </c>
      <c r="AE64" s="16">
        <f t="shared" si="3"/>
        <v>2.8411313604734707E-2</v>
      </c>
      <c r="AF64" s="23" t="str">
        <f t="shared" si="21"/>
        <v/>
      </c>
      <c r="AG64" s="23" t="str">
        <f t="shared" si="4"/>
        <v/>
      </c>
      <c r="AH64" s="23" t="str">
        <f t="shared" si="5"/>
        <v/>
      </c>
      <c r="AI64" s="23" t="str">
        <f t="shared" si="22"/>
        <v/>
      </c>
      <c r="AJ64" s="23" t="str">
        <f t="shared" si="6"/>
        <v/>
      </c>
      <c r="AK64" s="23" t="str">
        <f t="shared" si="7"/>
        <v/>
      </c>
      <c r="AL64" s="23" t="str">
        <f t="shared" si="8"/>
        <v/>
      </c>
      <c r="AM64" s="23" t="str">
        <f t="shared" si="9"/>
        <v/>
      </c>
      <c r="AN64" s="19">
        <f t="shared" si="10"/>
        <v>0</v>
      </c>
      <c r="AO64" s="26">
        <f t="shared" si="11"/>
        <v>-29.233137585168834</v>
      </c>
    </row>
    <row r="65" spans="1:41" x14ac:dyDescent="0.2">
      <c r="A65" s="12">
        <v>44619</v>
      </c>
      <c r="B65" s="6">
        <v>27</v>
      </c>
      <c r="C65" s="6">
        <v>58</v>
      </c>
      <c r="D65" s="6">
        <v>1</v>
      </c>
      <c r="E65" s="6" t="s">
        <v>12</v>
      </c>
      <c r="F65" s="6">
        <v>9</v>
      </c>
      <c r="G65" s="6">
        <v>2</v>
      </c>
      <c r="H65" s="6" t="s">
        <v>18</v>
      </c>
      <c r="I65" s="6">
        <v>1</v>
      </c>
      <c r="J65" s="14">
        <v>12.218060513076532</v>
      </c>
      <c r="K65" s="14">
        <f t="shared" si="12"/>
        <v>12.218060513076532</v>
      </c>
      <c r="L65" s="14">
        <v>40.369524222626595</v>
      </c>
      <c r="M65" s="14">
        <f t="shared" si="13"/>
        <v>493.23728983616058</v>
      </c>
      <c r="N65" s="16">
        <v>0.42390991370388464</v>
      </c>
      <c r="O65" s="14">
        <f t="shared" si="14"/>
        <v>209.08817696998477</v>
      </c>
      <c r="P65" s="14">
        <f t="shared" si="15"/>
        <v>284.14911286617581</v>
      </c>
      <c r="Q65" s="14">
        <v>35.294668108409077</v>
      </c>
      <c r="R65" s="14">
        <v>14.497992774334152</v>
      </c>
      <c r="S65" s="14">
        <f t="shared" si="0"/>
        <v>28.571428571428573</v>
      </c>
      <c r="T65" s="14">
        <v>27.569152082057897</v>
      </c>
      <c r="U65" s="14">
        <f t="shared" si="16"/>
        <v>345.26610288531236</v>
      </c>
      <c r="V65" s="14">
        <f t="shared" si="17"/>
        <v>28.258666955838613</v>
      </c>
      <c r="W65" s="14">
        <v>28.761862900106465</v>
      </c>
      <c r="X65" s="16">
        <f t="shared" si="18"/>
        <v>1.248985600190059</v>
      </c>
      <c r="Y65" s="16">
        <f t="shared" si="23"/>
        <v>0.42480073545692709</v>
      </c>
      <c r="Z65" s="16">
        <f t="shared" si="19"/>
        <v>0.60558559100554954</v>
      </c>
      <c r="AA65" s="16">
        <f t="shared" si="20"/>
        <v>0.43236506987999018</v>
      </c>
      <c r="AB65" s="16">
        <f t="shared" si="1"/>
        <v>5.7926335174129248E-2</v>
      </c>
      <c r="AC65" s="14">
        <f t="shared" si="24"/>
        <v>28.258666955838613</v>
      </c>
      <c r="AD65" s="16">
        <f t="shared" si="2"/>
        <v>0.35913211893164237</v>
      </c>
      <c r="AE65" s="16">
        <f t="shared" si="3"/>
        <v>7.1557177114757411E-2</v>
      </c>
      <c r="AF65" s="23" t="str">
        <f t="shared" si="21"/>
        <v/>
      </c>
      <c r="AG65" s="23">
        <f t="shared" si="4"/>
        <v>1000</v>
      </c>
      <c r="AH65" s="23" t="str">
        <f t="shared" si="5"/>
        <v/>
      </c>
      <c r="AI65" s="23" t="str">
        <f t="shared" si="22"/>
        <v/>
      </c>
      <c r="AJ65" s="23" t="str">
        <f t="shared" si="6"/>
        <v/>
      </c>
      <c r="AK65" s="23" t="str">
        <f t="shared" si="7"/>
        <v/>
      </c>
      <c r="AL65" s="23" t="str">
        <f t="shared" si="8"/>
        <v/>
      </c>
      <c r="AM65" s="23" t="str">
        <f t="shared" si="9"/>
        <v/>
      </c>
      <c r="AN65" s="19">
        <f t="shared" si="10"/>
        <v>1000</v>
      </c>
      <c r="AO65" s="26">
        <f t="shared" si="11"/>
        <v>-715.85088713382424</v>
      </c>
    </row>
    <row r="66" spans="1:41" x14ac:dyDescent="0.2">
      <c r="A66" s="12">
        <v>44620</v>
      </c>
      <c r="B66" s="6">
        <v>28</v>
      </c>
      <c r="C66" s="6">
        <v>59</v>
      </c>
      <c r="D66" s="6">
        <v>2</v>
      </c>
      <c r="E66" s="6" t="s">
        <v>13</v>
      </c>
      <c r="F66" s="6">
        <v>9</v>
      </c>
      <c r="G66" s="6">
        <v>2</v>
      </c>
      <c r="H66" s="6" t="s">
        <v>18</v>
      </c>
      <c r="I66" s="6">
        <v>1</v>
      </c>
      <c r="J66" s="14">
        <v>29.381766714157862</v>
      </c>
      <c r="K66" s="14">
        <f t="shared" si="12"/>
        <v>29.381766714157862</v>
      </c>
      <c r="L66" s="14">
        <v>61.484481026634775</v>
      </c>
      <c r="M66" s="14">
        <f t="shared" si="13"/>
        <v>1806.5226780656483</v>
      </c>
      <c r="N66" s="16">
        <v>0.80997380900652827</v>
      </c>
      <c r="O66" s="14">
        <f t="shared" si="14"/>
        <v>1463.2360546095074</v>
      </c>
      <c r="P66" s="14">
        <f t="shared" si="15"/>
        <v>343.28662345614089</v>
      </c>
      <c r="Q66" s="14">
        <v>68.177683096775468</v>
      </c>
      <c r="R66" s="14">
        <v>14.125267556590574</v>
      </c>
      <c r="S66" s="14">
        <f t="shared" si="0"/>
        <v>12.987012987012987</v>
      </c>
      <c r="T66" s="14">
        <v>77.980697004377106</v>
      </c>
      <c r="U66" s="14">
        <f t="shared" si="16"/>
        <v>1264.5658746459537</v>
      </c>
      <c r="V66" s="14">
        <f t="shared" si="17"/>
        <v>43.039136718644343</v>
      </c>
      <c r="W66" s="14">
        <v>81.348625665220155</v>
      </c>
      <c r="X66" s="16">
        <f t="shared" si="18"/>
        <v>1.5840857483380058</v>
      </c>
      <c r="Y66" s="16">
        <f t="shared" si="23"/>
        <v>0.36118332023302713</v>
      </c>
      <c r="Z66" s="16">
        <f t="shared" si="19"/>
        <v>1.1571054414378976</v>
      </c>
      <c r="AA66" s="16">
        <f t="shared" si="20"/>
        <v>0.68267555890427112</v>
      </c>
      <c r="AB66" s="16">
        <f t="shared" si="1"/>
        <v>7.1889565211099137E-3</v>
      </c>
      <c r="AC66" s="14">
        <f t="shared" si="24"/>
        <v>43.039136718644343</v>
      </c>
      <c r="AD66" s="16">
        <f t="shared" si="2"/>
        <v>0.2297371193630402</v>
      </c>
      <c r="AE66" s="16">
        <f t="shared" si="3"/>
        <v>3.7739732760940142E-2</v>
      </c>
      <c r="AF66" s="23" t="str">
        <f t="shared" si="21"/>
        <v/>
      </c>
      <c r="AG66" s="23" t="str">
        <f t="shared" si="4"/>
        <v/>
      </c>
      <c r="AH66" s="23" t="str">
        <f t="shared" si="5"/>
        <v/>
      </c>
      <c r="AI66" s="23" t="str">
        <f t="shared" si="22"/>
        <v/>
      </c>
      <c r="AJ66" s="23" t="str">
        <f t="shared" si="6"/>
        <v/>
      </c>
      <c r="AK66" s="23" t="str">
        <f t="shared" si="7"/>
        <v/>
      </c>
      <c r="AL66" s="23" t="str">
        <f t="shared" si="8"/>
        <v/>
      </c>
      <c r="AM66" s="23" t="str">
        <f t="shared" si="9"/>
        <v/>
      </c>
      <c r="AN66" s="19">
        <f t="shared" si="10"/>
        <v>0</v>
      </c>
      <c r="AO66" s="26">
        <f t="shared" si="11"/>
        <v>343.28662345614089</v>
      </c>
    </row>
    <row r="67" spans="1:41" x14ac:dyDescent="0.2">
      <c r="A67" s="12">
        <v>44621</v>
      </c>
      <c r="B67" s="6">
        <v>1</v>
      </c>
      <c r="C67" s="6">
        <v>60</v>
      </c>
      <c r="D67" s="6">
        <v>3</v>
      </c>
      <c r="E67" s="6" t="s">
        <v>14</v>
      </c>
      <c r="F67" s="6">
        <v>9</v>
      </c>
      <c r="G67" s="6">
        <v>3</v>
      </c>
      <c r="H67" s="6" t="s">
        <v>19</v>
      </c>
      <c r="I67" s="6">
        <v>1</v>
      </c>
      <c r="J67" s="14">
        <v>36.076636689969163</v>
      </c>
      <c r="K67" s="14">
        <f t="shared" si="12"/>
        <v>36.076636689969163</v>
      </c>
      <c r="L67" s="14">
        <v>75.453338264777784</v>
      </c>
      <c r="M67" s="14">
        <f t="shared" si="13"/>
        <v>2722.1026716237366</v>
      </c>
      <c r="N67" s="16">
        <v>1.2314755177723093</v>
      </c>
      <c r="O67" s="14">
        <f t="shared" si="14"/>
        <v>3352.2027969672276</v>
      </c>
      <c r="P67" s="14">
        <f t="shared" si="15"/>
        <v>-630.10012534349107</v>
      </c>
      <c r="Q67" s="14">
        <v>80.196227744482016</v>
      </c>
      <c r="R67" s="14">
        <v>23.660325509673946</v>
      </c>
      <c r="S67" s="14">
        <f t="shared" si="0"/>
        <v>12.987012987012987</v>
      </c>
      <c r="T67" s="14">
        <v>71.989565761216312</v>
      </c>
      <c r="U67" s="14">
        <f t="shared" si="16"/>
        <v>1905.4718701366155</v>
      </c>
      <c r="V67" s="14">
        <f t="shared" si="17"/>
        <v>52.817336785344452</v>
      </c>
      <c r="W67" s="14">
        <v>71.197723067876041</v>
      </c>
      <c r="X67" s="16">
        <f t="shared" si="18"/>
        <v>1.518369395836985</v>
      </c>
      <c r="Y67" s="16">
        <f t="shared" si="23"/>
        <v>0.50671053982408476</v>
      </c>
      <c r="Z67" s="16">
        <f t="shared" si="19"/>
        <v>1.7592507396747277</v>
      </c>
      <c r="AA67" s="16">
        <f t="shared" si="20"/>
        <v>0.68304535756107199</v>
      </c>
      <c r="AB67" s="16">
        <f t="shared" si="1"/>
        <v>4.7709489882195449E-3</v>
      </c>
      <c r="AC67" s="14">
        <f t="shared" si="24"/>
        <v>52.817336785344452</v>
      </c>
      <c r="AD67" s="16">
        <f t="shared" si="2"/>
        <v>0.31357559590864081</v>
      </c>
      <c r="AE67" s="16">
        <f t="shared" si="3"/>
        <v>2.9461132594475175E-2</v>
      </c>
      <c r="AF67" s="23">
        <f t="shared" si="21"/>
        <v>3000</v>
      </c>
      <c r="AG67" s="23" t="str">
        <f t="shared" si="4"/>
        <v/>
      </c>
      <c r="AH67" s="23" t="str">
        <f t="shared" si="5"/>
        <v/>
      </c>
      <c r="AI67" s="23" t="str">
        <f t="shared" si="22"/>
        <v/>
      </c>
      <c r="AJ67" s="23" t="str">
        <f t="shared" si="6"/>
        <v/>
      </c>
      <c r="AK67" s="23" t="str">
        <f t="shared" si="7"/>
        <v/>
      </c>
      <c r="AL67" s="23" t="str">
        <f t="shared" si="8"/>
        <v/>
      </c>
      <c r="AM67" s="23" t="str">
        <f t="shared" si="9"/>
        <v/>
      </c>
      <c r="AN67" s="19">
        <f t="shared" si="10"/>
        <v>3000</v>
      </c>
      <c r="AO67" s="26">
        <f t="shared" si="11"/>
        <v>-3630.1001253434911</v>
      </c>
    </row>
    <row r="68" spans="1:41" x14ac:dyDescent="0.2">
      <c r="A68" s="12">
        <v>44622</v>
      </c>
      <c r="B68" s="6">
        <v>2</v>
      </c>
      <c r="C68" s="6">
        <v>61</v>
      </c>
      <c r="D68" s="6">
        <v>4</v>
      </c>
      <c r="E68" s="6" t="s">
        <v>15</v>
      </c>
      <c r="F68" s="6">
        <v>9</v>
      </c>
      <c r="G68" s="6">
        <v>3</v>
      </c>
      <c r="H68" s="6" t="s">
        <v>19</v>
      </c>
      <c r="I68" s="6">
        <v>1</v>
      </c>
      <c r="J68" s="14">
        <v>16.956200954133884</v>
      </c>
      <c r="K68" s="14">
        <f t="shared" si="12"/>
        <v>16.956200954133884</v>
      </c>
      <c r="L68" s="14">
        <v>94.058385890793005</v>
      </c>
      <c r="M68" s="14">
        <f t="shared" si="13"/>
        <v>1594.8728925857574</v>
      </c>
      <c r="N68" s="16">
        <v>0.63487937591734256</v>
      </c>
      <c r="O68" s="14">
        <f t="shared" si="14"/>
        <v>1012.5519067123325</v>
      </c>
      <c r="P68" s="14">
        <f t="shared" si="15"/>
        <v>582.32098587342489</v>
      </c>
      <c r="Q68" s="14">
        <v>89.7942643136887</v>
      </c>
      <c r="R68" s="14">
        <v>15.669870875481916</v>
      </c>
      <c r="S68" s="14">
        <f t="shared" si="0"/>
        <v>12.987012987012987</v>
      </c>
      <c r="T68" s="14">
        <v>62.428959903920962</v>
      </c>
      <c r="U68" s="14">
        <f t="shared" si="16"/>
        <v>1116.4110248100301</v>
      </c>
      <c r="V68" s="14">
        <f t="shared" si="17"/>
        <v>65.840870123555092</v>
      </c>
      <c r="W68" s="14">
        <v>69.914674052727335</v>
      </c>
      <c r="X68" s="16">
        <f t="shared" si="18"/>
        <v>1.3638073759533151</v>
      </c>
      <c r="Y68" s="16">
        <f t="shared" si="23"/>
        <v>0.24252706865723322</v>
      </c>
      <c r="Z68" s="16">
        <f t="shared" si="19"/>
        <v>0.90697053702477515</v>
      </c>
      <c r="AA68" s="16">
        <f t="shared" si="20"/>
        <v>0.25753306300956175</v>
      </c>
      <c r="AB68" s="16">
        <f t="shared" si="1"/>
        <v>8.1429768148841147E-3</v>
      </c>
      <c r="AC68" s="14">
        <f t="shared" si="24"/>
        <v>65.840870123555092</v>
      </c>
      <c r="AD68" s="16">
        <f t="shared" si="2"/>
        <v>0.16659727601189653</v>
      </c>
      <c r="AE68" s="16">
        <f t="shared" si="3"/>
        <v>5.6301831156027625E-2</v>
      </c>
      <c r="AF68" s="23" t="str">
        <f t="shared" si="21"/>
        <v/>
      </c>
      <c r="AG68" s="23" t="str">
        <f t="shared" si="4"/>
        <v/>
      </c>
      <c r="AH68" s="23" t="str">
        <f t="shared" si="5"/>
        <v/>
      </c>
      <c r="AI68" s="23" t="str">
        <f t="shared" si="22"/>
        <v/>
      </c>
      <c r="AJ68" s="23" t="str">
        <f t="shared" si="6"/>
        <v/>
      </c>
      <c r="AK68" s="23" t="str">
        <f t="shared" si="7"/>
        <v/>
      </c>
      <c r="AL68" s="23" t="str">
        <f t="shared" si="8"/>
        <v/>
      </c>
      <c r="AM68" s="23" t="str">
        <f t="shared" si="9"/>
        <v/>
      </c>
      <c r="AN68" s="19">
        <f t="shared" si="10"/>
        <v>0</v>
      </c>
      <c r="AO68" s="26">
        <f t="shared" si="11"/>
        <v>582.32098587342489</v>
      </c>
    </row>
    <row r="69" spans="1:41" x14ac:dyDescent="0.2">
      <c r="A69" s="12">
        <v>44623</v>
      </c>
      <c r="B69" s="6">
        <v>3</v>
      </c>
      <c r="C69" s="6">
        <v>62</v>
      </c>
      <c r="D69" s="6">
        <v>5</v>
      </c>
      <c r="E69" s="6" t="s">
        <v>16</v>
      </c>
      <c r="F69" s="6">
        <v>9</v>
      </c>
      <c r="G69" s="6">
        <v>3</v>
      </c>
      <c r="H69" s="6" t="s">
        <v>19</v>
      </c>
      <c r="I69" s="6">
        <v>1</v>
      </c>
      <c r="J69" s="14">
        <v>14.005224562539437</v>
      </c>
      <c r="K69" s="14">
        <f t="shared" si="12"/>
        <v>14.005224562539437</v>
      </c>
      <c r="L69" s="14">
        <v>119.94132907744513</v>
      </c>
      <c r="M69" s="14">
        <f t="shared" si="13"/>
        <v>1679.8052480590602</v>
      </c>
      <c r="N69" s="16">
        <v>0.7463161872618711</v>
      </c>
      <c r="O69" s="14">
        <f t="shared" si="14"/>
        <v>1253.6658480739195</v>
      </c>
      <c r="P69" s="14">
        <f t="shared" si="15"/>
        <v>426.1393999851407</v>
      </c>
      <c r="Q69" s="14">
        <v>98.074224066796575</v>
      </c>
      <c r="R69" s="14">
        <v>17.581742916421771</v>
      </c>
      <c r="S69" s="14">
        <f t="shared" si="0"/>
        <v>12.987012987012987</v>
      </c>
      <c r="T69" s="14">
        <v>88.461373415541289</v>
      </c>
      <c r="U69" s="14">
        <f t="shared" si="16"/>
        <v>1175.8636736413421</v>
      </c>
      <c r="V69" s="14">
        <f t="shared" si="17"/>
        <v>83.958930354211589</v>
      </c>
      <c r="W69" s="14">
        <v>75.757226996564782</v>
      </c>
      <c r="X69" s="16">
        <f t="shared" si="18"/>
        <v>1.1681214095157528</v>
      </c>
      <c r="Y69" s="16">
        <f t="shared" si="23"/>
        <v>0.18486981530058519</v>
      </c>
      <c r="Z69" s="16">
        <f t="shared" si="19"/>
        <v>1.0661659818026732</v>
      </c>
      <c r="AA69" s="16">
        <f t="shared" si="20"/>
        <v>0.16681042151744016</v>
      </c>
      <c r="AB69" s="16">
        <f t="shared" si="1"/>
        <v>7.7312611101905413E-3</v>
      </c>
      <c r="AC69" s="14">
        <f t="shared" si="24"/>
        <v>83.958930354211589</v>
      </c>
      <c r="AD69" s="16">
        <f t="shared" si="2"/>
        <v>0.14658619386374636</v>
      </c>
      <c r="AE69" s="16">
        <f t="shared" si="3"/>
        <v>5.8384282451859795E-2</v>
      </c>
      <c r="AF69" s="23" t="str">
        <f t="shared" si="21"/>
        <v/>
      </c>
      <c r="AG69" s="23" t="str">
        <f t="shared" si="4"/>
        <v/>
      </c>
      <c r="AH69" s="23" t="str">
        <f t="shared" si="5"/>
        <v/>
      </c>
      <c r="AI69" s="23" t="str">
        <f t="shared" si="22"/>
        <v/>
      </c>
      <c r="AJ69" s="23" t="str">
        <f t="shared" si="6"/>
        <v/>
      </c>
      <c r="AK69" s="23" t="str">
        <f t="shared" si="7"/>
        <v/>
      </c>
      <c r="AL69" s="23" t="str">
        <f t="shared" si="8"/>
        <v/>
      </c>
      <c r="AM69" s="23" t="str">
        <f t="shared" si="9"/>
        <v/>
      </c>
      <c r="AN69" s="19">
        <f t="shared" si="10"/>
        <v>0</v>
      </c>
      <c r="AO69" s="26">
        <f t="shared" si="11"/>
        <v>426.1393999851407</v>
      </c>
    </row>
    <row r="70" spans="1:41" x14ac:dyDescent="0.2">
      <c r="A70" s="12">
        <v>44624</v>
      </c>
      <c r="B70" s="6">
        <v>4</v>
      </c>
      <c r="C70" s="6">
        <v>63</v>
      </c>
      <c r="D70" s="6">
        <v>6</v>
      </c>
      <c r="E70" s="6" t="s">
        <v>17</v>
      </c>
      <c r="F70" s="6">
        <v>9</v>
      </c>
      <c r="G70" s="6">
        <v>3</v>
      </c>
      <c r="H70" s="6" t="s">
        <v>19</v>
      </c>
      <c r="I70" s="6">
        <v>1</v>
      </c>
      <c r="J70" s="14">
        <v>25.557871374812489</v>
      </c>
      <c r="K70" s="14">
        <f t="shared" si="12"/>
        <v>25.557871374812489</v>
      </c>
      <c r="L70" s="14">
        <v>41.650414742073515</v>
      </c>
      <c r="M70" s="14">
        <f t="shared" si="13"/>
        <v>1064.4959426855087</v>
      </c>
      <c r="N70" s="16">
        <v>1.0987718828471493</v>
      </c>
      <c r="O70" s="14">
        <f t="shared" si="14"/>
        <v>1169.6382112277076</v>
      </c>
      <c r="P70" s="14">
        <f t="shared" si="15"/>
        <v>-105.14226854219896</v>
      </c>
      <c r="Q70" s="14">
        <v>83.057151364891851</v>
      </c>
      <c r="R70" s="14">
        <v>21.354037061473676</v>
      </c>
      <c r="S70" s="14">
        <f t="shared" si="0"/>
        <v>12.987012987012987</v>
      </c>
      <c r="T70" s="14">
        <v>55.523620663595715</v>
      </c>
      <c r="U70" s="14">
        <f t="shared" si="16"/>
        <v>745.14715987985608</v>
      </c>
      <c r="V70" s="14">
        <f t="shared" si="17"/>
        <v>29.155290319451456</v>
      </c>
      <c r="W70" s="14">
        <v>72.699993061875773</v>
      </c>
      <c r="X70" s="16">
        <f t="shared" si="18"/>
        <v>2.8487849187863801</v>
      </c>
      <c r="Y70" s="16">
        <f t="shared" si="23"/>
        <v>0.35155259716544818</v>
      </c>
      <c r="Z70" s="16">
        <f t="shared" si="19"/>
        <v>1.5696741183530707</v>
      </c>
      <c r="AA70" s="16">
        <f t="shared" si="20"/>
        <v>0.87661179479873375</v>
      </c>
      <c r="AB70" s="16">
        <f t="shared" si="1"/>
        <v>1.2200152641492809E-2</v>
      </c>
      <c r="AC70" s="14">
        <f t="shared" si="24"/>
        <v>29.155290319451456</v>
      </c>
      <c r="AD70" s="16">
        <f t="shared" si="2"/>
        <v>0.51269686493428157</v>
      </c>
      <c r="AE70" s="16">
        <f t="shared" si="3"/>
        <v>7.8024864195682511E-2</v>
      </c>
      <c r="AF70" s="23" t="str">
        <f t="shared" si="21"/>
        <v/>
      </c>
      <c r="AG70" s="23" t="str">
        <f t="shared" si="4"/>
        <v/>
      </c>
      <c r="AH70" s="23" t="str">
        <f t="shared" si="5"/>
        <v/>
      </c>
      <c r="AI70" s="23" t="str">
        <f t="shared" si="22"/>
        <v/>
      </c>
      <c r="AJ70" s="23" t="str">
        <f t="shared" si="6"/>
        <v/>
      </c>
      <c r="AK70" s="23" t="str">
        <f t="shared" si="7"/>
        <v/>
      </c>
      <c r="AL70" s="23" t="str">
        <f t="shared" si="8"/>
        <v/>
      </c>
      <c r="AM70" s="23" t="str">
        <f t="shared" si="9"/>
        <v/>
      </c>
      <c r="AN70" s="19">
        <f t="shared" si="10"/>
        <v>0</v>
      </c>
      <c r="AO70" s="26">
        <f t="shared" si="11"/>
        <v>-105.14226854219896</v>
      </c>
    </row>
    <row r="71" spans="1:41" x14ac:dyDescent="0.2">
      <c r="A71" s="12">
        <v>44625</v>
      </c>
      <c r="B71" s="6">
        <v>5</v>
      </c>
      <c r="C71" s="6">
        <v>64</v>
      </c>
      <c r="D71" s="6">
        <v>7</v>
      </c>
      <c r="E71" s="6" t="s">
        <v>10</v>
      </c>
      <c r="F71" s="6">
        <v>9</v>
      </c>
      <c r="G71" s="6">
        <v>3</v>
      </c>
      <c r="H71" s="6" t="s">
        <v>19</v>
      </c>
      <c r="I71" s="6">
        <v>1</v>
      </c>
      <c r="J71" s="14">
        <v>20.23351233776728</v>
      </c>
      <c r="K71" s="14">
        <f t="shared" si="12"/>
        <v>20.23351233776728</v>
      </c>
      <c r="L71" s="14">
        <v>17.393641927642619</v>
      </c>
      <c r="M71" s="14">
        <f t="shared" si="13"/>
        <v>351.93446854166319</v>
      </c>
      <c r="N71" s="16">
        <v>0.65977660738233568</v>
      </c>
      <c r="O71" s="14">
        <f t="shared" si="14"/>
        <v>232.19812967532388</v>
      </c>
      <c r="P71" s="14">
        <f t="shared" si="15"/>
        <v>119.73633886633931</v>
      </c>
      <c r="Q71" s="14">
        <v>82.765256425706468</v>
      </c>
      <c r="R71" s="14">
        <v>9.54305645467314</v>
      </c>
      <c r="S71" s="14">
        <f t="shared" si="0"/>
        <v>12.987012987012987</v>
      </c>
      <c r="T71" s="14">
        <v>76.97327435610201</v>
      </c>
      <c r="U71" s="14">
        <f t="shared" si="16"/>
        <v>246.35412797916422</v>
      </c>
      <c r="V71" s="14">
        <f t="shared" si="17"/>
        <v>12.175549349349833</v>
      </c>
      <c r="W71" s="14">
        <v>75.703438313815852</v>
      </c>
      <c r="X71" s="16">
        <f t="shared" si="18"/>
        <v>6.797660955653396</v>
      </c>
      <c r="Y71" s="16">
        <f t="shared" si="23"/>
        <v>0.26727336021242076</v>
      </c>
      <c r="Z71" s="16">
        <f t="shared" si="19"/>
        <v>0.94253801054619391</v>
      </c>
      <c r="AA71" s="16">
        <f t="shared" si="20"/>
        <v>1.6618151474904692</v>
      </c>
      <c r="AB71" s="16">
        <f t="shared" si="1"/>
        <v>3.6901793225392873E-2</v>
      </c>
      <c r="AC71" s="14">
        <f t="shared" si="24"/>
        <v>12.175549349349833</v>
      </c>
      <c r="AD71" s="16">
        <f t="shared" si="2"/>
        <v>0.54865200136763548</v>
      </c>
      <c r="AE71" s="16">
        <f t="shared" si="3"/>
        <v>0.23517235117283897</v>
      </c>
      <c r="AF71" s="23" t="str">
        <f t="shared" si="21"/>
        <v/>
      </c>
      <c r="AG71" s="23" t="str">
        <f t="shared" si="4"/>
        <v/>
      </c>
      <c r="AH71" s="23" t="str">
        <f t="shared" si="5"/>
        <v/>
      </c>
      <c r="AI71" s="23" t="str">
        <f t="shared" si="22"/>
        <v/>
      </c>
      <c r="AJ71" s="23" t="str">
        <f t="shared" si="6"/>
        <v/>
      </c>
      <c r="AK71" s="23" t="str">
        <f t="shared" si="7"/>
        <v/>
      </c>
      <c r="AL71" s="23" t="str">
        <f t="shared" si="8"/>
        <v/>
      </c>
      <c r="AM71" s="23">
        <f t="shared" si="9"/>
        <v>1000</v>
      </c>
      <c r="AN71" s="19">
        <f t="shared" si="10"/>
        <v>1000</v>
      </c>
      <c r="AO71" s="26">
        <f t="shared" si="11"/>
        <v>-880.26366113366066</v>
      </c>
    </row>
    <row r="72" spans="1:41" x14ac:dyDescent="0.2">
      <c r="A72" s="12">
        <v>44626</v>
      </c>
      <c r="B72" s="6">
        <v>6</v>
      </c>
      <c r="C72" s="6">
        <v>65</v>
      </c>
      <c r="D72" s="6">
        <v>1</v>
      </c>
      <c r="E72" s="6" t="s">
        <v>12</v>
      </c>
      <c r="F72" s="6">
        <v>10</v>
      </c>
      <c r="G72" s="6">
        <v>3</v>
      </c>
      <c r="H72" s="6" t="s">
        <v>19</v>
      </c>
      <c r="I72" s="6">
        <v>1</v>
      </c>
      <c r="J72" s="14">
        <v>7.0034144937273668</v>
      </c>
      <c r="K72" s="14">
        <f t="shared" si="12"/>
        <v>7.0034144937273668</v>
      </c>
      <c r="L72" s="14">
        <v>25.732004839801963</v>
      </c>
      <c r="M72" s="14">
        <f t="shared" si="13"/>
        <v>180.21189564773181</v>
      </c>
      <c r="N72" s="16">
        <v>0.37238631754060064</v>
      </c>
      <c r="O72" s="14">
        <f t="shared" si="14"/>
        <v>67.108444197269847</v>
      </c>
      <c r="P72" s="14">
        <f t="shared" si="15"/>
        <v>113.10345145046196</v>
      </c>
      <c r="Q72" s="14">
        <v>15.916685535977724</v>
      </c>
      <c r="R72" s="14">
        <v>5.4443594401224127</v>
      </c>
      <c r="S72" s="14">
        <f t="shared" ref="S72:S135" si="25">IF(E72=$AG$6,$S$2/5,$S$2/11)</f>
        <v>28.571428571428573</v>
      </c>
      <c r="T72" s="14">
        <v>10.380312431642672</v>
      </c>
      <c r="U72" s="14">
        <f t="shared" si="16"/>
        <v>126.14832695341225</v>
      </c>
      <c r="V72" s="14">
        <f t="shared" si="17"/>
        <v>18.012403387861372</v>
      </c>
      <c r="W72" s="14">
        <v>11.774549401877955</v>
      </c>
      <c r="X72" s="16">
        <f t="shared" si="18"/>
        <v>0.88365140360469829</v>
      </c>
      <c r="Y72" s="16">
        <f t="shared" si="23"/>
        <v>0.5947925695237537</v>
      </c>
      <c r="Z72" s="16">
        <f t="shared" si="19"/>
        <v>0.53198045362942958</v>
      </c>
      <c r="AA72" s="16">
        <f t="shared" si="20"/>
        <v>0.38881066245979118</v>
      </c>
      <c r="AB72" s="16">
        <f t="shared" ref="AB72:AB135" si="26">S72/M72</f>
        <v>0.1585435216068001</v>
      </c>
      <c r="AC72" s="14">
        <f t="shared" si="24"/>
        <v>18.012403387861372</v>
      </c>
      <c r="AD72" s="16">
        <f t="shared" ref="AD72:AD135" si="27">R72/L72</f>
        <v>0.21157929489042926</v>
      </c>
      <c r="AE72" s="16">
        <f t="shared" ref="AE72:AE135" si="28">Q72/M72</f>
        <v>8.8322058201367432E-2</v>
      </c>
      <c r="AF72" s="23" t="str">
        <f t="shared" si="21"/>
        <v/>
      </c>
      <c r="AG72" s="23">
        <f t="shared" ref="AG72:AG135" si="29">IF(E72=$AG$6,$AG$5,"")</f>
        <v>1000</v>
      </c>
      <c r="AH72" s="23" t="str">
        <f t="shared" ref="AH72:AH135" si="30">IF(B72=$AH$6,$AH$5,"")</f>
        <v/>
      </c>
      <c r="AI72" s="23" t="str">
        <f t="shared" si="22"/>
        <v/>
      </c>
      <c r="AJ72" s="23" t="str">
        <f t="shared" ref="AJ72:AJ135" si="31">IF($B72=$AJ$6,$AJ$5,"")</f>
        <v/>
      </c>
      <c r="AK72" s="23" t="str">
        <f t="shared" ref="AK72:AK135" si="32">IF($B72=$AK$6,$AK$5,"")</f>
        <v/>
      </c>
      <c r="AL72" s="23" t="str">
        <f t="shared" ref="AL72:AL135" si="33">IF($B72=$AL$6,$AL$5,"")</f>
        <v/>
      </c>
      <c r="AM72" s="23" t="str">
        <f t="shared" ref="AM72:AM135" si="34">IF($B72=$AM$6,$AM$5,"")</f>
        <v/>
      </c>
      <c r="AN72" s="19">
        <f t="shared" ref="AN72:AN135" si="35">SUM(AF72:AM72)</f>
        <v>1000</v>
      </c>
      <c r="AO72" s="26">
        <f t="shared" ref="AO72:AO135" si="36">P72-AN72</f>
        <v>-886.89654854953801</v>
      </c>
    </row>
    <row r="73" spans="1:41" x14ac:dyDescent="0.2">
      <c r="A73" s="12">
        <v>44627</v>
      </c>
      <c r="B73" s="6">
        <v>7</v>
      </c>
      <c r="C73" s="6">
        <v>66</v>
      </c>
      <c r="D73" s="6">
        <v>2</v>
      </c>
      <c r="E73" s="6" t="s">
        <v>13</v>
      </c>
      <c r="F73" s="6">
        <v>10</v>
      </c>
      <c r="G73" s="6">
        <v>3</v>
      </c>
      <c r="H73" s="6" t="s">
        <v>19</v>
      </c>
      <c r="I73" s="6">
        <v>1</v>
      </c>
      <c r="J73" s="14">
        <v>16.684610157698671</v>
      </c>
      <c r="K73" s="14">
        <f t="shared" ref="K73:K136" si="37">J73</f>
        <v>16.684610157698671</v>
      </c>
      <c r="L73" s="14">
        <v>67.523612041713179</v>
      </c>
      <c r="M73" s="14">
        <f t="shared" ref="M73:M136" si="38">K73*L73</f>
        <v>1126.605143355672</v>
      </c>
      <c r="N73" s="16">
        <v>0.4622645457046754</v>
      </c>
      <c r="O73" s="14">
        <f t="shared" ref="O73:O136" si="39">M73*N73</f>
        <v>520.78961478186045</v>
      </c>
      <c r="P73" s="14">
        <f t="shared" ref="P73:P136" si="40">M73-O73</f>
        <v>605.81552857381155</v>
      </c>
      <c r="Q73" s="14">
        <v>38.367862344882404</v>
      </c>
      <c r="R73" s="14">
        <v>6.9538732860306363</v>
      </c>
      <c r="S73" s="14">
        <f t="shared" si="25"/>
        <v>12.987012987012987</v>
      </c>
      <c r="T73" s="14">
        <v>26.288108195173095</v>
      </c>
      <c r="U73" s="14">
        <f t="shared" ref="U73:U136" si="41">M73*0.7</f>
        <v>788.6236003489704</v>
      </c>
      <c r="V73" s="14">
        <f t="shared" ref="V73:V136" si="42">U73/K73</f>
        <v>47.266528429199226</v>
      </c>
      <c r="W73" s="14">
        <v>29.590964714593461</v>
      </c>
      <c r="X73" s="16">
        <f t="shared" ref="X73:X136" si="43">Q73/V73</f>
        <v>0.81173429951289566</v>
      </c>
      <c r="Y73" s="16">
        <f t="shared" si="23"/>
        <v>0.56384137248050836</v>
      </c>
      <c r="Z73" s="16">
        <f t="shared" ref="Z73:Z136" si="44">O73/U73</f>
        <v>0.66037792243525062</v>
      </c>
      <c r="AA73" s="16">
        <f t="shared" ref="AA73:AA136" si="45">K73/V73</f>
        <v>0.35298996376877212</v>
      </c>
      <c r="AB73" s="16">
        <f t="shared" si="26"/>
        <v>1.1527564083659571E-2</v>
      </c>
      <c r="AC73" s="14">
        <f t="shared" si="24"/>
        <v>47.266528429199226</v>
      </c>
      <c r="AD73" s="16">
        <f t="shared" si="27"/>
        <v>0.10298432023652457</v>
      </c>
      <c r="AE73" s="16">
        <f t="shared" si="28"/>
        <v>3.4056175378891891E-2</v>
      </c>
      <c r="AF73" s="23" t="str">
        <f t="shared" ref="AF73:AF136" si="46">IF(B73=$AF$6,$AF$5, "")</f>
        <v/>
      </c>
      <c r="AG73" s="23" t="str">
        <f t="shared" si="29"/>
        <v/>
      </c>
      <c r="AH73" s="23" t="str">
        <f t="shared" si="30"/>
        <v/>
      </c>
      <c r="AI73" s="23" t="str">
        <f t="shared" ref="AI73:AI136" si="47">IF(B73=$AI$6,$AI$5,"")</f>
        <v/>
      </c>
      <c r="AJ73" s="23" t="str">
        <f t="shared" si="31"/>
        <v/>
      </c>
      <c r="AK73" s="23" t="str">
        <f t="shared" si="32"/>
        <v/>
      </c>
      <c r="AL73" s="23" t="str">
        <f t="shared" si="33"/>
        <v/>
      </c>
      <c r="AM73" s="23" t="str">
        <f t="shared" si="34"/>
        <v/>
      </c>
      <c r="AN73" s="19">
        <f t="shared" si="35"/>
        <v>0</v>
      </c>
      <c r="AO73" s="26">
        <f t="shared" si="36"/>
        <v>605.81552857381155</v>
      </c>
    </row>
    <row r="74" spans="1:41" x14ac:dyDescent="0.2">
      <c r="A74" s="12">
        <v>44628</v>
      </c>
      <c r="B74" s="6">
        <v>8</v>
      </c>
      <c r="C74" s="6">
        <v>67</v>
      </c>
      <c r="D74" s="6">
        <v>3</v>
      </c>
      <c r="E74" s="6" t="s">
        <v>14</v>
      </c>
      <c r="F74" s="6">
        <v>10</v>
      </c>
      <c r="G74" s="6">
        <v>3</v>
      </c>
      <c r="H74" s="6" t="s">
        <v>19</v>
      </c>
      <c r="I74" s="6">
        <v>1</v>
      </c>
      <c r="J74" s="14">
        <v>35.269549938598452</v>
      </c>
      <c r="K74" s="14">
        <f t="shared" si="37"/>
        <v>35.269549938598452</v>
      </c>
      <c r="L74" s="14">
        <v>64.602618117621134</v>
      </c>
      <c r="M74" s="14">
        <f t="shared" si="38"/>
        <v>2278.5052658636437</v>
      </c>
      <c r="N74" s="16">
        <v>0.87392531386083316</v>
      </c>
      <c r="O74" s="14">
        <f t="shared" si="39"/>
        <v>1991.243429603446</v>
      </c>
      <c r="P74" s="14">
        <f t="shared" si="40"/>
        <v>287.2618362601977</v>
      </c>
      <c r="Q74" s="14">
        <v>30.663964952230462</v>
      </c>
      <c r="R74" s="14">
        <v>15.47853865430438</v>
      </c>
      <c r="S74" s="14">
        <f t="shared" si="25"/>
        <v>12.987012987012987</v>
      </c>
      <c r="T74" s="14">
        <v>35.49439648024623</v>
      </c>
      <c r="U74" s="14">
        <f t="shared" si="41"/>
        <v>1594.9536861045506</v>
      </c>
      <c r="V74" s="14">
        <f t="shared" si="42"/>
        <v>45.221832682334792</v>
      </c>
      <c r="W74" s="14">
        <v>28.958006611499719</v>
      </c>
      <c r="X74" s="16">
        <f t="shared" si="43"/>
        <v>0.67807877596718591</v>
      </c>
      <c r="Y74" s="16">
        <f t="shared" ref="Y74:Y137" si="48">K74/W74</f>
        <v>1.2179550343977168</v>
      </c>
      <c r="Z74" s="16">
        <f t="shared" si="44"/>
        <v>1.2484647340869046</v>
      </c>
      <c r="AA74" s="16">
        <f t="shared" si="45"/>
        <v>0.77992305589100897</v>
      </c>
      <c r="AB74" s="16">
        <f t="shared" si="26"/>
        <v>5.6997950286019616E-3</v>
      </c>
      <c r="AC74" s="14">
        <f t="shared" ref="AC74:AC137" si="49">U74/K74</f>
        <v>45.221832682334792</v>
      </c>
      <c r="AD74" s="16">
        <f t="shared" si="27"/>
        <v>0.23959615113620952</v>
      </c>
      <c r="AE74" s="16">
        <f t="shared" si="28"/>
        <v>1.3457930254379994E-2</v>
      </c>
      <c r="AF74" s="23" t="str">
        <f t="shared" si="46"/>
        <v/>
      </c>
      <c r="AG74" s="23" t="str">
        <f t="shared" si="29"/>
        <v/>
      </c>
      <c r="AH74" s="23" t="str">
        <f t="shared" si="30"/>
        <v/>
      </c>
      <c r="AI74" s="23" t="str">
        <f t="shared" si="47"/>
        <v/>
      </c>
      <c r="AJ74" s="23" t="str">
        <f t="shared" si="31"/>
        <v/>
      </c>
      <c r="AK74" s="23" t="str">
        <f t="shared" si="32"/>
        <v/>
      </c>
      <c r="AL74" s="23" t="str">
        <f t="shared" si="33"/>
        <v/>
      </c>
      <c r="AM74" s="23" t="str">
        <f t="shared" si="34"/>
        <v/>
      </c>
      <c r="AN74" s="19">
        <f t="shared" si="35"/>
        <v>0</v>
      </c>
      <c r="AO74" s="26">
        <f t="shared" si="36"/>
        <v>287.2618362601977</v>
      </c>
    </row>
    <row r="75" spans="1:41" x14ac:dyDescent="0.2">
      <c r="A75" s="12">
        <v>44629</v>
      </c>
      <c r="B75" s="6">
        <v>9</v>
      </c>
      <c r="C75" s="6">
        <v>68</v>
      </c>
      <c r="D75" s="6">
        <v>4</v>
      </c>
      <c r="E75" s="6" t="s">
        <v>15</v>
      </c>
      <c r="F75" s="6">
        <v>10</v>
      </c>
      <c r="G75" s="6">
        <v>3</v>
      </c>
      <c r="H75" s="6" t="s">
        <v>19</v>
      </c>
      <c r="I75" s="6">
        <v>1</v>
      </c>
      <c r="J75" s="14">
        <v>20.438733784298105</v>
      </c>
      <c r="K75" s="14">
        <f t="shared" si="37"/>
        <v>20.438733784298105</v>
      </c>
      <c r="L75" s="14">
        <v>54.233331450433624</v>
      </c>
      <c r="M75" s="14">
        <f t="shared" si="38"/>
        <v>1108.4606237510147</v>
      </c>
      <c r="N75" s="16">
        <v>0.65789575987448501</v>
      </c>
      <c r="O75" s="14">
        <f t="shared" si="39"/>
        <v>729.25154435361947</v>
      </c>
      <c r="P75" s="14">
        <f t="shared" si="40"/>
        <v>379.20907939739527</v>
      </c>
      <c r="Q75" s="14">
        <v>51.803932131541544</v>
      </c>
      <c r="R75" s="14">
        <v>16.208370084171293</v>
      </c>
      <c r="S75" s="14">
        <f t="shared" si="25"/>
        <v>12.987012987012987</v>
      </c>
      <c r="T75" s="14">
        <v>32.399206303090068</v>
      </c>
      <c r="U75" s="14">
        <f t="shared" si="41"/>
        <v>775.92243662571025</v>
      </c>
      <c r="V75" s="14">
        <f t="shared" si="42"/>
        <v>37.963332015303536</v>
      </c>
      <c r="W75" s="14">
        <v>32.6101165414074</v>
      </c>
      <c r="X75" s="16">
        <f t="shared" si="43"/>
        <v>1.3645781173965097</v>
      </c>
      <c r="Y75" s="16">
        <f t="shared" si="48"/>
        <v>0.62676052562846807</v>
      </c>
      <c r="Z75" s="16">
        <f t="shared" si="44"/>
        <v>0.93985108553497865</v>
      </c>
      <c r="AA75" s="16">
        <f t="shared" si="45"/>
        <v>0.53838092441566965</v>
      </c>
      <c r="AB75" s="16">
        <f t="shared" si="26"/>
        <v>1.1716260107702449E-2</v>
      </c>
      <c r="AC75" s="14">
        <f t="shared" si="49"/>
        <v>37.963332015303536</v>
      </c>
      <c r="AD75" s="16">
        <f t="shared" si="27"/>
        <v>0.29886362594163846</v>
      </c>
      <c r="AE75" s="16">
        <f t="shared" si="28"/>
        <v>4.6735022446027702E-2</v>
      </c>
      <c r="AF75" s="23" t="str">
        <f t="shared" si="46"/>
        <v/>
      </c>
      <c r="AG75" s="23" t="str">
        <f t="shared" si="29"/>
        <v/>
      </c>
      <c r="AH75" s="23" t="str">
        <f t="shared" si="30"/>
        <v/>
      </c>
      <c r="AI75" s="23" t="str">
        <f t="shared" si="47"/>
        <v/>
      </c>
      <c r="AJ75" s="23" t="str">
        <f t="shared" si="31"/>
        <v/>
      </c>
      <c r="AK75" s="23" t="str">
        <f t="shared" si="32"/>
        <v/>
      </c>
      <c r="AL75" s="23" t="str">
        <f t="shared" si="33"/>
        <v/>
      </c>
      <c r="AM75" s="23" t="str">
        <f t="shared" si="34"/>
        <v/>
      </c>
      <c r="AN75" s="19">
        <f t="shared" si="35"/>
        <v>0</v>
      </c>
      <c r="AO75" s="26">
        <f t="shared" si="36"/>
        <v>379.20907939739527</v>
      </c>
    </row>
    <row r="76" spans="1:41" x14ac:dyDescent="0.2">
      <c r="A76" s="12">
        <v>44630</v>
      </c>
      <c r="B76" s="6">
        <v>10</v>
      </c>
      <c r="C76" s="6">
        <v>69</v>
      </c>
      <c r="D76" s="6">
        <v>5</v>
      </c>
      <c r="E76" s="6" t="s">
        <v>16</v>
      </c>
      <c r="F76" s="6">
        <v>10</v>
      </c>
      <c r="G76" s="6">
        <v>3</v>
      </c>
      <c r="H76" s="6" t="s">
        <v>19</v>
      </c>
      <c r="I76" s="6">
        <v>1</v>
      </c>
      <c r="J76" s="14">
        <v>15.006482852914182</v>
      </c>
      <c r="K76" s="14">
        <f t="shared" si="37"/>
        <v>15.006482852914182</v>
      </c>
      <c r="L76" s="14">
        <v>102.07876410447851</v>
      </c>
      <c r="M76" s="14">
        <f t="shared" si="38"/>
        <v>1531.8432231805284</v>
      </c>
      <c r="N76" s="16">
        <v>0.67079285254727017</v>
      </c>
      <c r="O76" s="14">
        <f t="shared" si="39"/>
        <v>1027.5494853324712</v>
      </c>
      <c r="P76" s="14">
        <f t="shared" si="40"/>
        <v>504.29373784805716</v>
      </c>
      <c r="Q76" s="14">
        <v>35.098758935431661</v>
      </c>
      <c r="R76" s="14">
        <v>8.9342019860922353</v>
      </c>
      <c r="S76" s="14">
        <f t="shared" si="25"/>
        <v>12.987012987012987</v>
      </c>
      <c r="T76" s="14">
        <v>25.096421540376699</v>
      </c>
      <c r="U76" s="14">
        <f t="shared" si="41"/>
        <v>1072.2902562263698</v>
      </c>
      <c r="V76" s="14">
        <f t="shared" si="42"/>
        <v>71.455134873134952</v>
      </c>
      <c r="W76" s="14">
        <v>34.466739466638231</v>
      </c>
      <c r="X76" s="16">
        <f t="shared" si="43"/>
        <v>0.49119995361771784</v>
      </c>
      <c r="Y76" s="16">
        <f t="shared" si="48"/>
        <v>0.4353902656629175</v>
      </c>
      <c r="Z76" s="16">
        <f t="shared" si="44"/>
        <v>0.95827550363895742</v>
      </c>
      <c r="AA76" s="16">
        <f t="shared" si="45"/>
        <v>0.21001265870615804</v>
      </c>
      <c r="AB76" s="16">
        <f t="shared" si="26"/>
        <v>8.478030121155852E-3</v>
      </c>
      <c r="AC76" s="14">
        <f t="shared" si="49"/>
        <v>71.455134873134952</v>
      </c>
      <c r="AD76" s="16">
        <f t="shared" si="27"/>
        <v>8.7522630827975165E-2</v>
      </c>
      <c r="AE76" s="16">
        <f t="shared" si="28"/>
        <v>2.2912761831172888E-2</v>
      </c>
      <c r="AF76" s="23" t="str">
        <f t="shared" si="46"/>
        <v/>
      </c>
      <c r="AG76" s="23" t="str">
        <f t="shared" si="29"/>
        <v/>
      </c>
      <c r="AH76" s="23" t="str">
        <f t="shared" si="30"/>
        <v/>
      </c>
      <c r="AI76" s="23">
        <f t="shared" si="47"/>
        <v>300</v>
      </c>
      <c r="AJ76" s="23" t="str">
        <f t="shared" si="31"/>
        <v/>
      </c>
      <c r="AK76" s="23" t="str">
        <f t="shared" si="32"/>
        <v/>
      </c>
      <c r="AL76" s="23" t="str">
        <f t="shared" si="33"/>
        <v/>
      </c>
      <c r="AM76" s="23" t="str">
        <f t="shared" si="34"/>
        <v/>
      </c>
      <c r="AN76" s="19">
        <f t="shared" si="35"/>
        <v>300</v>
      </c>
      <c r="AO76" s="26">
        <f t="shared" si="36"/>
        <v>204.29373784805716</v>
      </c>
    </row>
    <row r="77" spans="1:41" x14ac:dyDescent="0.2">
      <c r="A77" s="12">
        <v>44631</v>
      </c>
      <c r="B77" s="6">
        <v>11</v>
      </c>
      <c r="C77" s="6">
        <v>70</v>
      </c>
      <c r="D77" s="6">
        <v>6</v>
      </c>
      <c r="E77" s="6" t="s">
        <v>17</v>
      </c>
      <c r="F77" s="6">
        <v>10</v>
      </c>
      <c r="G77" s="6">
        <v>3</v>
      </c>
      <c r="H77" s="6" t="s">
        <v>19</v>
      </c>
      <c r="I77" s="6">
        <v>1</v>
      </c>
      <c r="J77" s="14">
        <v>26.040405064199287</v>
      </c>
      <c r="K77" s="14">
        <f t="shared" si="37"/>
        <v>26.040405064199287</v>
      </c>
      <c r="L77" s="14">
        <v>66.010709585516651</v>
      </c>
      <c r="M77" s="14">
        <f t="shared" si="38"/>
        <v>1718.9456161820763</v>
      </c>
      <c r="N77" s="16">
        <v>0.75896636233289594</v>
      </c>
      <c r="O77" s="14">
        <f t="shared" si="39"/>
        <v>1304.6219013617888</v>
      </c>
      <c r="P77" s="14">
        <f t="shared" si="40"/>
        <v>414.32371482028748</v>
      </c>
      <c r="Q77" s="14">
        <v>27.232528390354645</v>
      </c>
      <c r="R77" s="14">
        <v>14.319482116731534</v>
      </c>
      <c r="S77" s="14">
        <f t="shared" si="25"/>
        <v>12.987012987012987</v>
      </c>
      <c r="T77" s="14">
        <v>31.006297833483824</v>
      </c>
      <c r="U77" s="14">
        <f t="shared" si="41"/>
        <v>1203.2619313274533</v>
      </c>
      <c r="V77" s="14">
        <f t="shared" si="42"/>
        <v>46.207496709861651</v>
      </c>
      <c r="W77" s="14">
        <v>22.951637216122926</v>
      </c>
      <c r="X77" s="16">
        <f t="shared" si="43"/>
        <v>0.58935303423486807</v>
      </c>
      <c r="Y77" s="16">
        <f t="shared" si="48"/>
        <v>1.1345772338152236</v>
      </c>
      <c r="Z77" s="16">
        <f t="shared" si="44"/>
        <v>1.0842376604755657</v>
      </c>
      <c r="AA77" s="16">
        <f t="shared" si="45"/>
        <v>0.56355368540537532</v>
      </c>
      <c r="AB77" s="16">
        <f t="shared" si="26"/>
        <v>7.5552204006652879E-3</v>
      </c>
      <c r="AC77" s="14">
        <f t="shared" si="49"/>
        <v>46.207496709861651</v>
      </c>
      <c r="AD77" s="16">
        <f t="shared" si="27"/>
        <v>0.21692665033665018</v>
      </c>
      <c r="AE77" s="16">
        <f t="shared" si="28"/>
        <v>1.5842577062350812E-2</v>
      </c>
      <c r="AF77" s="23" t="str">
        <f t="shared" si="46"/>
        <v/>
      </c>
      <c r="AG77" s="23" t="str">
        <f t="shared" si="29"/>
        <v/>
      </c>
      <c r="AH77" s="23" t="str">
        <f t="shared" si="30"/>
        <v/>
      </c>
      <c r="AI77" s="23" t="str">
        <f t="shared" si="47"/>
        <v/>
      </c>
      <c r="AJ77" s="23" t="str">
        <f t="shared" si="31"/>
        <v/>
      </c>
      <c r="AK77" s="23" t="str">
        <f t="shared" si="32"/>
        <v/>
      </c>
      <c r="AL77" s="23" t="str">
        <f t="shared" si="33"/>
        <v/>
      </c>
      <c r="AM77" s="23" t="str">
        <f t="shared" si="34"/>
        <v/>
      </c>
      <c r="AN77" s="19">
        <f t="shared" si="35"/>
        <v>0</v>
      </c>
      <c r="AO77" s="26">
        <f t="shared" si="36"/>
        <v>414.32371482028748</v>
      </c>
    </row>
    <row r="78" spans="1:41" x14ac:dyDescent="0.2">
      <c r="A78" s="12">
        <v>44632</v>
      </c>
      <c r="B78" s="6">
        <v>12</v>
      </c>
      <c r="C78" s="6">
        <v>71</v>
      </c>
      <c r="D78" s="6">
        <v>7</v>
      </c>
      <c r="E78" s="6" t="s">
        <v>10</v>
      </c>
      <c r="F78" s="6">
        <v>10</v>
      </c>
      <c r="G78" s="6">
        <v>3</v>
      </c>
      <c r="H78" s="6" t="s">
        <v>19</v>
      </c>
      <c r="I78" s="6">
        <v>1</v>
      </c>
      <c r="J78" s="14">
        <v>4.7657465551176026</v>
      </c>
      <c r="K78" s="14">
        <f t="shared" si="37"/>
        <v>4.7657465551176026</v>
      </c>
      <c r="L78" s="14">
        <v>7.5623885887999638</v>
      </c>
      <c r="M78" s="14">
        <f t="shared" si="38"/>
        <v>36.040427365534093</v>
      </c>
      <c r="N78" s="16">
        <v>0.60201037487311271</v>
      </c>
      <c r="O78" s="14">
        <f t="shared" si="39"/>
        <v>21.696711188912371</v>
      </c>
      <c r="P78" s="14">
        <f t="shared" si="40"/>
        <v>14.343716176621722</v>
      </c>
      <c r="Q78" s="14">
        <v>27.976953268479082</v>
      </c>
      <c r="R78" s="14">
        <v>17.602229534307593</v>
      </c>
      <c r="S78" s="14">
        <f t="shared" si="25"/>
        <v>12.987012987012987</v>
      </c>
      <c r="T78" s="14">
        <v>39.595781466877938</v>
      </c>
      <c r="U78" s="14">
        <f t="shared" si="41"/>
        <v>25.228299155873863</v>
      </c>
      <c r="V78" s="14">
        <f t="shared" si="42"/>
        <v>5.2936720121599734</v>
      </c>
      <c r="W78" s="14">
        <v>29.964075619932615</v>
      </c>
      <c r="X78" s="16">
        <f t="shared" si="43"/>
        <v>5.2849804831530669</v>
      </c>
      <c r="Y78" s="16">
        <f t="shared" si="48"/>
        <v>0.15904867600678949</v>
      </c>
      <c r="Z78" s="16">
        <f t="shared" si="44"/>
        <v>0.860014821247304</v>
      </c>
      <c r="AA78" s="16">
        <f t="shared" si="45"/>
        <v>0.90027235238041092</v>
      </c>
      <c r="AB78" s="16">
        <f t="shared" si="26"/>
        <v>0.36034569888126877</v>
      </c>
      <c r="AC78" s="14">
        <f t="shared" si="49"/>
        <v>5.2936720121599734</v>
      </c>
      <c r="AD78" s="16">
        <f t="shared" si="27"/>
        <v>2.3276018320953273</v>
      </c>
      <c r="AE78" s="16">
        <f t="shared" si="28"/>
        <v>0.77626585791359926</v>
      </c>
      <c r="AF78" s="23" t="str">
        <f t="shared" si="46"/>
        <v/>
      </c>
      <c r="AG78" s="23" t="str">
        <f t="shared" si="29"/>
        <v/>
      </c>
      <c r="AH78" s="23" t="str">
        <f t="shared" si="30"/>
        <v/>
      </c>
      <c r="AI78" s="23" t="str">
        <f t="shared" si="47"/>
        <v/>
      </c>
      <c r="AJ78" s="23" t="str">
        <f t="shared" si="31"/>
        <v/>
      </c>
      <c r="AK78" s="23">
        <f t="shared" si="32"/>
        <v>480</v>
      </c>
      <c r="AL78" s="23" t="str">
        <f t="shared" si="33"/>
        <v/>
      </c>
      <c r="AM78" s="23" t="str">
        <f t="shared" si="34"/>
        <v/>
      </c>
      <c r="AN78" s="19">
        <f t="shared" si="35"/>
        <v>480</v>
      </c>
      <c r="AO78" s="26">
        <f t="shared" si="36"/>
        <v>-465.65628382337826</v>
      </c>
    </row>
    <row r="79" spans="1:41" x14ac:dyDescent="0.2">
      <c r="A79" s="12">
        <v>44633</v>
      </c>
      <c r="B79" s="6">
        <v>13</v>
      </c>
      <c r="C79" s="6">
        <v>72</v>
      </c>
      <c r="D79" s="6">
        <v>1</v>
      </c>
      <c r="E79" s="6" t="s">
        <v>12</v>
      </c>
      <c r="F79" s="6">
        <v>11</v>
      </c>
      <c r="G79" s="6">
        <v>3</v>
      </c>
      <c r="H79" s="6" t="s">
        <v>19</v>
      </c>
      <c r="I79" s="6">
        <v>1</v>
      </c>
      <c r="J79" s="14">
        <v>9.896644420754857</v>
      </c>
      <c r="K79" s="14">
        <f t="shared" si="37"/>
        <v>9.896644420754857</v>
      </c>
      <c r="L79" s="14">
        <v>34.840723364457425</v>
      </c>
      <c r="M79" s="14">
        <f t="shared" si="38"/>
        <v>344.80625049992096</v>
      </c>
      <c r="N79" s="16">
        <v>0.22558080990506282</v>
      </c>
      <c r="O79" s="14">
        <f t="shared" si="39"/>
        <v>77.781673248100148</v>
      </c>
      <c r="P79" s="14">
        <f t="shared" si="40"/>
        <v>267.0245772518208</v>
      </c>
      <c r="Q79" s="14">
        <v>7.7931436843644502</v>
      </c>
      <c r="R79" s="14">
        <v>6.6352154257160878</v>
      </c>
      <c r="S79" s="14">
        <f t="shared" si="25"/>
        <v>28.571428571428573</v>
      </c>
      <c r="T79" s="14">
        <v>13.535116138769464</v>
      </c>
      <c r="U79" s="14">
        <f t="shared" si="41"/>
        <v>241.36437534994465</v>
      </c>
      <c r="V79" s="14">
        <f t="shared" si="42"/>
        <v>24.388506355120196</v>
      </c>
      <c r="W79" s="14">
        <v>13.427652783710002</v>
      </c>
      <c r="X79" s="16">
        <f t="shared" si="43"/>
        <v>0.31954165502752629</v>
      </c>
      <c r="Y79" s="16">
        <f t="shared" si="48"/>
        <v>0.73703457932432903</v>
      </c>
      <c r="Z79" s="16">
        <f t="shared" si="44"/>
        <v>0.32225829986437549</v>
      </c>
      <c r="AA79" s="16">
        <f t="shared" si="45"/>
        <v>0.40579132959805575</v>
      </c>
      <c r="AB79" s="16">
        <f t="shared" si="26"/>
        <v>8.2862269839957911E-2</v>
      </c>
      <c r="AC79" s="14">
        <f t="shared" si="49"/>
        <v>24.388506355120196</v>
      </c>
      <c r="AD79" s="16">
        <f t="shared" si="27"/>
        <v>0.19044424985977665</v>
      </c>
      <c r="AE79" s="16">
        <f t="shared" si="28"/>
        <v>2.2601515120637978E-2</v>
      </c>
      <c r="AF79" s="23" t="str">
        <f t="shared" si="46"/>
        <v/>
      </c>
      <c r="AG79" s="23">
        <f t="shared" si="29"/>
        <v>1000</v>
      </c>
      <c r="AH79" s="23" t="str">
        <f t="shared" si="30"/>
        <v/>
      </c>
      <c r="AI79" s="23" t="str">
        <f t="shared" si="47"/>
        <v/>
      </c>
      <c r="AJ79" s="23" t="str">
        <f t="shared" si="31"/>
        <v/>
      </c>
      <c r="AK79" s="23" t="str">
        <f t="shared" si="32"/>
        <v/>
      </c>
      <c r="AL79" s="23" t="str">
        <f t="shared" si="33"/>
        <v/>
      </c>
      <c r="AM79" s="23" t="str">
        <f t="shared" si="34"/>
        <v/>
      </c>
      <c r="AN79" s="19">
        <f t="shared" si="35"/>
        <v>1000</v>
      </c>
      <c r="AO79" s="26">
        <f t="shared" si="36"/>
        <v>-732.9754227481792</v>
      </c>
    </row>
    <row r="80" spans="1:41" x14ac:dyDescent="0.2">
      <c r="A80" s="12">
        <v>44634</v>
      </c>
      <c r="B80" s="6">
        <v>14</v>
      </c>
      <c r="C80" s="6">
        <v>73</v>
      </c>
      <c r="D80" s="6">
        <v>2</v>
      </c>
      <c r="E80" s="6" t="s">
        <v>13</v>
      </c>
      <c r="F80" s="6">
        <v>11</v>
      </c>
      <c r="G80" s="6">
        <v>3</v>
      </c>
      <c r="H80" s="6" t="s">
        <v>19</v>
      </c>
      <c r="I80" s="6">
        <v>1</v>
      </c>
      <c r="J80" s="14">
        <v>15.756243031757851</v>
      </c>
      <c r="K80" s="14">
        <f t="shared" si="37"/>
        <v>15.756243031757851</v>
      </c>
      <c r="L80" s="14">
        <v>71.998391494313282</v>
      </c>
      <c r="M80" s="14">
        <f t="shared" si="38"/>
        <v>1134.4241542800473</v>
      </c>
      <c r="N80" s="16">
        <v>0.52596374739752305</v>
      </c>
      <c r="O80" s="14">
        <f t="shared" si="39"/>
        <v>596.66597932339948</v>
      </c>
      <c r="P80" s="14">
        <f t="shared" si="40"/>
        <v>537.75817495664785</v>
      </c>
      <c r="Q80" s="14">
        <v>40.210191807773285</v>
      </c>
      <c r="R80" s="14">
        <v>12.53534279385989</v>
      </c>
      <c r="S80" s="14">
        <f t="shared" si="25"/>
        <v>12.987012987012987</v>
      </c>
      <c r="T80" s="14">
        <v>39.321187169039902</v>
      </c>
      <c r="U80" s="14">
        <f t="shared" si="41"/>
        <v>794.09690799603311</v>
      </c>
      <c r="V80" s="14">
        <f t="shared" si="42"/>
        <v>50.398874046019294</v>
      </c>
      <c r="W80" s="14">
        <v>30.942255610777288</v>
      </c>
      <c r="X80" s="16">
        <f t="shared" si="43"/>
        <v>0.79783909003715625</v>
      </c>
      <c r="Y80" s="16">
        <f t="shared" si="48"/>
        <v>0.5092144292890497</v>
      </c>
      <c r="Z80" s="16">
        <f t="shared" si="44"/>
        <v>0.75137678199646141</v>
      </c>
      <c r="AA80" s="16">
        <f t="shared" si="45"/>
        <v>0.31263085396254686</v>
      </c>
      <c r="AB80" s="16">
        <f t="shared" si="26"/>
        <v>1.1448110425024478E-2</v>
      </c>
      <c r="AC80" s="14">
        <f t="shared" si="49"/>
        <v>50.398874046019294</v>
      </c>
      <c r="AD80" s="16">
        <f t="shared" si="27"/>
        <v>0.17410587283536719</v>
      </c>
      <c r="AE80" s="16">
        <f t="shared" si="28"/>
        <v>3.5445465134063846E-2</v>
      </c>
      <c r="AF80" s="23" t="str">
        <f t="shared" si="46"/>
        <v/>
      </c>
      <c r="AG80" s="23" t="str">
        <f t="shared" si="29"/>
        <v/>
      </c>
      <c r="AH80" s="23" t="str">
        <f t="shared" si="30"/>
        <v/>
      </c>
      <c r="AI80" s="23" t="str">
        <f t="shared" si="47"/>
        <v/>
      </c>
      <c r="AJ80" s="23" t="str">
        <f t="shared" si="31"/>
        <v/>
      </c>
      <c r="AK80" s="23" t="str">
        <f t="shared" si="32"/>
        <v/>
      </c>
      <c r="AL80" s="23" t="str">
        <f t="shared" si="33"/>
        <v/>
      </c>
      <c r="AM80" s="23" t="str">
        <f t="shared" si="34"/>
        <v/>
      </c>
      <c r="AN80" s="19">
        <f t="shared" si="35"/>
        <v>0</v>
      </c>
      <c r="AO80" s="26">
        <f t="shared" si="36"/>
        <v>537.75817495664785</v>
      </c>
    </row>
    <row r="81" spans="1:41" x14ac:dyDescent="0.2">
      <c r="A81" s="12">
        <v>44635</v>
      </c>
      <c r="B81" s="6">
        <v>15</v>
      </c>
      <c r="C81" s="6">
        <v>74</v>
      </c>
      <c r="D81" s="6">
        <v>3</v>
      </c>
      <c r="E81" s="6" t="s">
        <v>14</v>
      </c>
      <c r="F81" s="6">
        <v>11</v>
      </c>
      <c r="G81" s="6">
        <v>3</v>
      </c>
      <c r="H81" s="6" t="s">
        <v>19</v>
      </c>
      <c r="I81" s="6">
        <v>1</v>
      </c>
      <c r="J81" s="14">
        <v>22.110318358519649</v>
      </c>
      <c r="K81" s="14">
        <f t="shared" si="37"/>
        <v>22.110318358519649</v>
      </c>
      <c r="L81" s="14">
        <v>111.36835688023415</v>
      </c>
      <c r="M81" s="14">
        <f t="shared" si="38"/>
        <v>2462.3898256872089</v>
      </c>
      <c r="N81" s="16">
        <v>0.39871578403874586</v>
      </c>
      <c r="O81" s="14">
        <f t="shared" si="39"/>
        <v>981.79368995790628</v>
      </c>
      <c r="P81" s="14">
        <f t="shared" si="40"/>
        <v>1480.5961357293027</v>
      </c>
      <c r="Q81" s="14">
        <v>32.103164581784753</v>
      </c>
      <c r="R81" s="14">
        <v>15.953511651472407</v>
      </c>
      <c r="S81" s="14">
        <f t="shared" si="25"/>
        <v>12.987012987012987</v>
      </c>
      <c r="T81" s="14">
        <v>36.514442277820642</v>
      </c>
      <c r="U81" s="14">
        <f t="shared" si="41"/>
        <v>1723.6728779810462</v>
      </c>
      <c r="V81" s="14">
        <f t="shared" si="42"/>
        <v>77.9578498161639</v>
      </c>
      <c r="W81" s="14">
        <v>33.888543181072613</v>
      </c>
      <c r="X81" s="16">
        <f t="shared" si="43"/>
        <v>0.41180156530084844</v>
      </c>
      <c r="Y81" s="16">
        <f t="shared" si="48"/>
        <v>0.65244227939750077</v>
      </c>
      <c r="Z81" s="16">
        <f t="shared" si="44"/>
        <v>0.56959397719820837</v>
      </c>
      <c r="AA81" s="16">
        <f t="shared" si="45"/>
        <v>0.28361888393098372</v>
      </c>
      <c r="AB81" s="16">
        <f t="shared" si="26"/>
        <v>5.2741498732389149E-3</v>
      </c>
      <c r="AC81" s="14">
        <f t="shared" si="49"/>
        <v>77.9578498161639</v>
      </c>
      <c r="AD81" s="16">
        <f t="shared" si="27"/>
        <v>0.14324995086915809</v>
      </c>
      <c r="AE81" s="16">
        <f t="shared" si="28"/>
        <v>1.3037401408538282E-2</v>
      </c>
      <c r="AF81" s="23" t="str">
        <f t="shared" si="46"/>
        <v/>
      </c>
      <c r="AG81" s="23" t="str">
        <f t="shared" si="29"/>
        <v/>
      </c>
      <c r="AH81" s="23">
        <f t="shared" si="30"/>
        <v>300</v>
      </c>
      <c r="AI81" s="23" t="str">
        <f t="shared" si="47"/>
        <v/>
      </c>
      <c r="AJ81" s="23" t="str">
        <f t="shared" si="31"/>
        <v/>
      </c>
      <c r="AK81" s="23" t="str">
        <f t="shared" si="32"/>
        <v/>
      </c>
      <c r="AL81" s="23" t="str">
        <f t="shared" si="33"/>
        <v/>
      </c>
      <c r="AM81" s="23" t="str">
        <f t="shared" si="34"/>
        <v/>
      </c>
      <c r="AN81" s="19">
        <f t="shared" si="35"/>
        <v>300</v>
      </c>
      <c r="AO81" s="26">
        <f t="shared" si="36"/>
        <v>1180.5961357293027</v>
      </c>
    </row>
    <row r="82" spans="1:41" x14ac:dyDescent="0.2">
      <c r="A82" s="12">
        <v>44636</v>
      </c>
      <c r="B82" s="6">
        <v>16</v>
      </c>
      <c r="C82" s="6">
        <v>75</v>
      </c>
      <c r="D82" s="6">
        <v>4</v>
      </c>
      <c r="E82" s="6" t="s">
        <v>15</v>
      </c>
      <c r="F82" s="6">
        <v>11</v>
      </c>
      <c r="G82" s="6">
        <v>3</v>
      </c>
      <c r="H82" s="6" t="s">
        <v>19</v>
      </c>
      <c r="I82" s="6">
        <v>1</v>
      </c>
      <c r="J82" s="14">
        <v>12.737707602066545</v>
      </c>
      <c r="K82" s="14">
        <f t="shared" si="37"/>
        <v>12.737707602066545</v>
      </c>
      <c r="L82" s="14">
        <v>49.869675740040989</v>
      </c>
      <c r="M82" s="14">
        <f t="shared" si="38"/>
        <v>635.22534778651368</v>
      </c>
      <c r="N82" s="16">
        <v>0.78792640033279571</v>
      </c>
      <c r="O82" s="14">
        <f t="shared" si="39"/>
        <v>500.51082168157598</v>
      </c>
      <c r="P82" s="14">
        <f t="shared" si="40"/>
        <v>134.7145261049377</v>
      </c>
      <c r="Q82" s="14">
        <v>29.695225391274949</v>
      </c>
      <c r="R82" s="14">
        <v>9.8944265924877843</v>
      </c>
      <c r="S82" s="14">
        <f t="shared" si="25"/>
        <v>12.987012987012987</v>
      </c>
      <c r="T82" s="14">
        <v>36.591067410343008</v>
      </c>
      <c r="U82" s="14">
        <f t="shared" si="41"/>
        <v>444.65774345055956</v>
      </c>
      <c r="V82" s="14">
        <f t="shared" si="42"/>
        <v>34.908773018028697</v>
      </c>
      <c r="W82" s="14">
        <v>29.776380650950177</v>
      </c>
      <c r="X82" s="16">
        <f t="shared" si="43"/>
        <v>0.85065222360977277</v>
      </c>
      <c r="Y82" s="16">
        <f t="shared" si="48"/>
        <v>0.42777890810111197</v>
      </c>
      <c r="Z82" s="16">
        <f t="shared" si="44"/>
        <v>1.1256091433325655</v>
      </c>
      <c r="AA82" s="16">
        <f t="shared" si="45"/>
        <v>0.36488557175836955</v>
      </c>
      <c r="AB82" s="16">
        <f t="shared" si="26"/>
        <v>2.0444733561510296E-2</v>
      </c>
      <c r="AC82" s="14">
        <f t="shared" si="49"/>
        <v>34.908773018028697</v>
      </c>
      <c r="AD82" s="16">
        <f t="shared" si="27"/>
        <v>0.19840567330064721</v>
      </c>
      <c r="AE82" s="16">
        <f t="shared" si="28"/>
        <v>4.6747544780368099E-2</v>
      </c>
      <c r="AF82" s="23" t="str">
        <f t="shared" si="46"/>
        <v/>
      </c>
      <c r="AG82" s="23" t="str">
        <f t="shared" si="29"/>
        <v/>
      </c>
      <c r="AH82" s="23" t="str">
        <f t="shared" si="30"/>
        <v/>
      </c>
      <c r="AI82" s="23" t="str">
        <f t="shared" si="47"/>
        <v/>
      </c>
      <c r="AJ82" s="23" t="str">
        <f t="shared" si="31"/>
        <v/>
      </c>
      <c r="AK82" s="23" t="str">
        <f t="shared" si="32"/>
        <v/>
      </c>
      <c r="AL82" s="23" t="str">
        <f t="shared" si="33"/>
        <v/>
      </c>
      <c r="AM82" s="23" t="str">
        <f t="shared" si="34"/>
        <v/>
      </c>
      <c r="AN82" s="19">
        <f t="shared" si="35"/>
        <v>0</v>
      </c>
      <c r="AO82" s="26">
        <f t="shared" si="36"/>
        <v>134.7145261049377</v>
      </c>
    </row>
    <row r="83" spans="1:41" x14ac:dyDescent="0.2">
      <c r="A83" s="12">
        <v>44637</v>
      </c>
      <c r="B83" s="6">
        <v>17</v>
      </c>
      <c r="C83" s="6">
        <v>76</v>
      </c>
      <c r="D83" s="6">
        <v>5</v>
      </c>
      <c r="E83" s="6" t="s">
        <v>16</v>
      </c>
      <c r="F83" s="6">
        <v>11</v>
      </c>
      <c r="G83" s="6">
        <v>3</v>
      </c>
      <c r="H83" s="6" t="s">
        <v>19</v>
      </c>
      <c r="I83" s="6">
        <v>1</v>
      </c>
      <c r="J83" s="14">
        <v>16.956660387434145</v>
      </c>
      <c r="K83" s="14">
        <f t="shared" si="37"/>
        <v>16.956660387434145</v>
      </c>
      <c r="L83" s="14">
        <v>94.88004211406647</v>
      </c>
      <c r="M83" s="14">
        <f t="shared" si="38"/>
        <v>1608.8486516736743</v>
      </c>
      <c r="N83" s="16">
        <v>0.75562765575409785</v>
      </c>
      <c r="O83" s="14">
        <f t="shared" si="39"/>
        <v>1215.6905351273197</v>
      </c>
      <c r="P83" s="14">
        <f t="shared" si="40"/>
        <v>393.15811654635468</v>
      </c>
      <c r="Q83" s="14">
        <v>31.675190012477508</v>
      </c>
      <c r="R83" s="14">
        <v>8.1982658439506473</v>
      </c>
      <c r="S83" s="14">
        <f t="shared" si="25"/>
        <v>12.987012987012987</v>
      </c>
      <c r="T83" s="14">
        <v>30.835614593988925</v>
      </c>
      <c r="U83" s="14">
        <f t="shared" si="41"/>
        <v>1126.1940561715719</v>
      </c>
      <c r="V83" s="14">
        <f t="shared" si="42"/>
        <v>66.416029479846529</v>
      </c>
      <c r="W83" s="14">
        <v>24.099737538509789</v>
      </c>
      <c r="X83" s="16">
        <f t="shared" si="43"/>
        <v>0.47692086173397519</v>
      </c>
      <c r="Y83" s="16">
        <f t="shared" si="48"/>
        <v>0.70360352930560022</v>
      </c>
      <c r="Z83" s="16">
        <f t="shared" si="44"/>
        <v>1.0794680796487113</v>
      </c>
      <c r="AA83" s="16">
        <f t="shared" si="45"/>
        <v>0.2553097576027113</v>
      </c>
      <c r="AB83" s="16">
        <f t="shared" si="26"/>
        <v>8.0722403400112774E-3</v>
      </c>
      <c r="AC83" s="14">
        <f t="shared" si="49"/>
        <v>66.416029479846529</v>
      </c>
      <c r="AD83" s="16">
        <f t="shared" si="27"/>
        <v>8.6406642127061312E-2</v>
      </c>
      <c r="AE83" s="16">
        <f t="shared" si="28"/>
        <v>1.9688110487910731E-2</v>
      </c>
      <c r="AF83" s="23" t="str">
        <f t="shared" si="46"/>
        <v/>
      </c>
      <c r="AG83" s="23" t="str">
        <f t="shared" si="29"/>
        <v/>
      </c>
      <c r="AH83" s="23" t="str">
        <f t="shared" si="30"/>
        <v/>
      </c>
      <c r="AI83" s="23" t="str">
        <f t="shared" si="47"/>
        <v/>
      </c>
      <c r="AJ83" s="23" t="str">
        <f t="shared" si="31"/>
        <v/>
      </c>
      <c r="AK83" s="23" t="str">
        <f t="shared" si="32"/>
        <v/>
      </c>
      <c r="AL83" s="23" t="str">
        <f t="shared" si="33"/>
        <v/>
      </c>
      <c r="AM83" s="23" t="str">
        <f t="shared" si="34"/>
        <v/>
      </c>
      <c r="AN83" s="19">
        <f t="shared" si="35"/>
        <v>0</v>
      </c>
      <c r="AO83" s="26">
        <f t="shared" si="36"/>
        <v>393.15811654635468</v>
      </c>
    </row>
    <row r="84" spans="1:41" x14ac:dyDescent="0.2">
      <c r="A84" s="12">
        <v>44638</v>
      </c>
      <c r="B84" s="6">
        <v>18</v>
      </c>
      <c r="C84" s="6">
        <v>77</v>
      </c>
      <c r="D84" s="6">
        <v>6</v>
      </c>
      <c r="E84" s="6" t="s">
        <v>17</v>
      </c>
      <c r="F84" s="6">
        <v>11</v>
      </c>
      <c r="G84" s="6">
        <v>3</v>
      </c>
      <c r="H84" s="6" t="s">
        <v>19</v>
      </c>
      <c r="I84" s="6">
        <v>1</v>
      </c>
      <c r="J84" s="14">
        <v>18.25169076161179</v>
      </c>
      <c r="K84" s="14">
        <f t="shared" si="37"/>
        <v>18.25169076161179</v>
      </c>
      <c r="L84" s="14">
        <v>25.691214009062914</v>
      </c>
      <c r="M84" s="14">
        <f t="shared" si="38"/>
        <v>468.90809338380501</v>
      </c>
      <c r="N84" s="16">
        <v>0.57626796639615652</v>
      </c>
      <c r="O84" s="14">
        <f t="shared" si="39"/>
        <v>270.21671340098436</v>
      </c>
      <c r="P84" s="14">
        <f t="shared" si="40"/>
        <v>198.69137998282065</v>
      </c>
      <c r="Q84" s="14">
        <v>37.81736202656537</v>
      </c>
      <c r="R84" s="14">
        <v>13.314325012355313</v>
      </c>
      <c r="S84" s="14">
        <f t="shared" si="25"/>
        <v>12.987012987012987</v>
      </c>
      <c r="T84" s="14">
        <v>29.127963062451514</v>
      </c>
      <c r="U84" s="14">
        <f t="shared" si="41"/>
        <v>328.23566536866349</v>
      </c>
      <c r="V84" s="14">
        <f t="shared" si="42"/>
        <v>17.98384980634404</v>
      </c>
      <c r="W84" s="14">
        <v>22.998918465884703</v>
      </c>
      <c r="X84" s="16">
        <f t="shared" si="43"/>
        <v>2.1028513045757755</v>
      </c>
      <c r="Y84" s="16">
        <f t="shared" si="48"/>
        <v>0.79358908936023742</v>
      </c>
      <c r="Z84" s="16">
        <f t="shared" si="44"/>
        <v>0.82323995199450928</v>
      </c>
      <c r="AA84" s="16">
        <f t="shared" si="45"/>
        <v>1.014893415934405</v>
      </c>
      <c r="AB84" s="16">
        <f t="shared" si="26"/>
        <v>2.7696286692972503E-2</v>
      </c>
      <c r="AC84" s="14">
        <f t="shared" si="49"/>
        <v>17.98384980634404</v>
      </c>
      <c r="AD84" s="16">
        <f t="shared" si="27"/>
        <v>0.51824429190689514</v>
      </c>
      <c r="AE84" s="16">
        <f t="shared" si="28"/>
        <v>8.0649838550795827E-2</v>
      </c>
      <c r="AF84" s="23" t="str">
        <f t="shared" si="46"/>
        <v/>
      </c>
      <c r="AG84" s="23" t="str">
        <f t="shared" si="29"/>
        <v/>
      </c>
      <c r="AH84" s="23" t="str">
        <f t="shared" si="30"/>
        <v/>
      </c>
      <c r="AI84" s="23" t="str">
        <f t="shared" si="47"/>
        <v/>
      </c>
      <c r="AJ84" s="23" t="str">
        <f t="shared" si="31"/>
        <v/>
      </c>
      <c r="AK84" s="23" t="str">
        <f t="shared" si="32"/>
        <v/>
      </c>
      <c r="AL84" s="23" t="str">
        <f t="shared" si="33"/>
        <v/>
      </c>
      <c r="AM84" s="23" t="str">
        <f t="shared" si="34"/>
        <v/>
      </c>
      <c r="AN84" s="19">
        <f t="shared" si="35"/>
        <v>0</v>
      </c>
      <c r="AO84" s="26">
        <f t="shared" si="36"/>
        <v>198.69137998282065</v>
      </c>
    </row>
    <row r="85" spans="1:41" x14ac:dyDescent="0.2">
      <c r="A85" s="12">
        <v>44639</v>
      </c>
      <c r="B85" s="6">
        <v>19</v>
      </c>
      <c r="C85" s="6">
        <v>78</v>
      </c>
      <c r="D85" s="6">
        <v>7</v>
      </c>
      <c r="E85" s="6" t="s">
        <v>10</v>
      </c>
      <c r="F85" s="6">
        <v>11</v>
      </c>
      <c r="G85" s="6">
        <v>3</v>
      </c>
      <c r="H85" s="6" t="s">
        <v>19</v>
      </c>
      <c r="I85" s="6">
        <v>1</v>
      </c>
      <c r="J85" s="14">
        <v>2.7208643404800927</v>
      </c>
      <c r="K85" s="14">
        <f t="shared" si="37"/>
        <v>2.7208643404800927</v>
      </c>
      <c r="L85" s="14">
        <v>47.964387263573975</v>
      </c>
      <c r="M85" s="14">
        <f t="shared" si="38"/>
        <v>130.50459091843595</v>
      </c>
      <c r="N85" s="16">
        <v>0.83930639023368847</v>
      </c>
      <c r="O85" s="14">
        <f t="shared" si="39"/>
        <v>109.53333711267668</v>
      </c>
      <c r="P85" s="14">
        <f t="shared" si="40"/>
        <v>20.971253805759275</v>
      </c>
      <c r="Q85" s="14">
        <v>46.320224617501999</v>
      </c>
      <c r="R85" s="14">
        <v>6.4936080614752312</v>
      </c>
      <c r="S85" s="14">
        <f t="shared" si="25"/>
        <v>12.987012987012987</v>
      </c>
      <c r="T85" s="14">
        <v>33.416375471378871</v>
      </c>
      <c r="U85" s="14">
        <f t="shared" si="41"/>
        <v>91.35321364290516</v>
      </c>
      <c r="V85" s="14">
        <f t="shared" si="42"/>
        <v>33.575071084501779</v>
      </c>
      <c r="W85" s="14">
        <v>21.688212266515599</v>
      </c>
      <c r="X85" s="16">
        <f t="shared" si="43"/>
        <v>1.3796016842651859</v>
      </c>
      <c r="Y85" s="16">
        <f t="shared" si="48"/>
        <v>0.12545360157143204</v>
      </c>
      <c r="Z85" s="16">
        <f t="shared" si="44"/>
        <v>1.1990091289052693</v>
      </c>
      <c r="AA85" s="16">
        <f t="shared" si="45"/>
        <v>8.1038230228380401E-2</v>
      </c>
      <c r="AB85" s="16">
        <f t="shared" si="26"/>
        <v>9.951384005432988E-2</v>
      </c>
      <c r="AC85" s="14">
        <f t="shared" si="49"/>
        <v>33.575071084501779</v>
      </c>
      <c r="AD85" s="16">
        <f t="shared" si="27"/>
        <v>0.13538394696447484</v>
      </c>
      <c r="AE85" s="16">
        <f t="shared" si="28"/>
        <v>0.35493176363773798</v>
      </c>
      <c r="AF85" s="23" t="str">
        <f t="shared" si="46"/>
        <v/>
      </c>
      <c r="AG85" s="23" t="str">
        <f t="shared" si="29"/>
        <v/>
      </c>
      <c r="AH85" s="23" t="str">
        <f t="shared" si="30"/>
        <v/>
      </c>
      <c r="AI85" s="23" t="str">
        <f t="shared" si="47"/>
        <v/>
      </c>
      <c r="AJ85" s="23" t="str">
        <f t="shared" si="31"/>
        <v/>
      </c>
      <c r="AK85" s="23" t="str">
        <f t="shared" si="32"/>
        <v/>
      </c>
      <c r="AL85" s="23" t="str">
        <f t="shared" si="33"/>
        <v/>
      </c>
      <c r="AM85" s="23" t="str">
        <f t="shared" si="34"/>
        <v/>
      </c>
      <c r="AN85" s="19">
        <f t="shared" si="35"/>
        <v>0</v>
      </c>
      <c r="AO85" s="26">
        <f t="shared" si="36"/>
        <v>20.971253805759275</v>
      </c>
    </row>
    <row r="86" spans="1:41" x14ac:dyDescent="0.2">
      <c r="A86" s="12">
        <v>44640</v>
      </c>
      <c r="B86" s="6">
        <v>20</v>
      </c>
      <c r="C86" s="6">
        <v>79</v>
      </c>
      <c r="D86" s="6">
        <v>1</v>
      </c>
      <c r="E86" s="6" t="s">
        <v>12</v>
      </c>
      <c r="F86" s="6">
        <v>12</v>
      </c>
      <c r="G86" s="6">
        <v>3</v>
      </c>
      <c r="H86" s="6" t="s">
        <v>19</v>
      </c>
      <c r="I86" s="6">
        <v>1</v>
      </c>
      <c r="J86" s="14">
        <v>5.7482674065192239</v>
      </c>
      <c r="K86" s="14">
        <f t="shared" si="37"/>
        <v>5.7482674065192239</v>
      </c>
      <c r="L86" s="14">
        <v>43.077302216725961</v>
      </c>
      <c r="M86" s="14">
        <f t="shared" si="38"/>
        <v>247.61985229318415</v>
      </c>
      <c r="N86" s="16">
        <v>0.31110795466237606</v>
      </c>
      <c r="O86" s="14">
        <f t="shared" si="39"/>
        <v>77.036505780732199</v>
      </c>
      <c r="P86" s="14">
        <f t="shared" si="40"/>
        <v>170.58334651245195</v>
      </c>
      <c r="Q86" s="14">
        <v>12.345584457686027</v>
      </c>
      <c r="R86" s="14">
        <v>1.2690280814105592</v>
      </c>
      <c r="S86" s="14">
        <f t="shared" si="25"/>
        <v>28.571428571428573</v>
      </c>
      <c r="T86" s="14">
        <v>13.673651011533634</v>
      </c>
      <c r="U86" s="14">
        <f t="shared" si="41"/>
        <v>173.33389660522889</v>
      </c>
      <c r="V86" s="14">
        <f t="shared" si="42"/>
        <v>30.154111551708169</v>
      </c>
      <c r="W86" s="14">
        <v>12.325803870397475</v>
      </c>
      <c r="X86" s="16">
        <f t="shared" si="43"/>
        <v>0.40941628926840906</v>
      </c>
      <c r="Y86" s="16">
        <f t="shared" si="48"/>
        <v>0.46636044731530008</v>
      </c>
      <c r="Z86" s="16">
        <f t="shared" si="44"/>
        <v>0.4444399352319659</v>
      </c>
      <c r="AA86" s="16">
        <f t="shared" si="45"/>
        <v>0.19062963923384427</v>
      </c>
      <c r="AB86" s="16">
        <f t="shared" si="26"/>
        <v>0.11538424042673179</v>
      </c>
      <c r="AC86" s="14">
        <f t="shared" si="49"/>
        <v>30.154111551708169</v>
      </c>
      <c r="AD86" s="16">
        <f t="shared" si="27"/>
        <v>2.945932117628814E-2</v>
      </c>
      <c r="AE86" s="16">
        <f t="shared" si="28"/>
        <v>4.9857005984595866E-2</v>
      </c>
      <c r="AF86" s="23" t="str">
        <f t="shared" si="46"/>
        <v/>
      </c>
      <c r="AG86" s="23">
        <f t="shared" si="29"/>
        <v>1000</v>
      </c>
      <c r="AH86" s="23" t="str">
        <f t="shared" si="30"/>
        <v/>
      </c>
      <c r="AI86" s="23" t="str">
        <f t="shared" si="47"/>
        <v/>
      </c>
      <c r="AJ86" s="23">
        <f t="shared" si="31"/>
        <v>100</v>
      </c>
      <c r="AK86" s="23" t="str">
        <f t="shared" si="32"/>
        <v/>
      </c>
      <c r="AL86" s="23" t="str">
        <f t="shared" si="33"/>
        <v/>
      </c>
      <c r="AM86" s="23" t="str">
        <f t="shared" si="34"/>
        <v/>
      </c>
      <c r="AN86" s="19">
        <f t="shared" si="35"/>
        <v>1100</v>
      </c>
      <c r="AO86" s="26">
        <f t="shared" si="36"/>
        <v>-929.41665348754805</v>
      </c>
    </row>
    <row r="87" spans="1:41" x14ac:dyDescent="0.2">
      <c r="A87" s="12">
        <v>44641</v>
      </c>
      <c r="B87" s="6">
        <v>21</v>
      </c>
      <c r="C87" s="6">
        <v>80</v>
      </c>
      <c r="D87" s="6">
        <v>2</v>
      </c>
      <c r="E87" s="6" t="s">
        <v>13</v>
      </c>
      <c r="F87" s="6">
        <v>12</v>
      </c>
      <c r="G87" s="6">
        <v>3</v>
      </c>
      <c r="H87" s="6" t="s">
        <v>19</v>
      </c>
      <c r="I87" s="6">
        <v>1</v>
      </c>
      <c r="J87" s="14">
        <v>16.849415268073493</v>
      </c>
      <c r="K87" s="14">
        <f t="shared" si="37"/>
        <v>16.849415268073493</v>
      </c>
      <c r="L87" s="14">
        <v>92.797398398102999</v>
      </c>
      <c r="M87" s="14">
        <f t="shared" si="38"/>
        <v>1563.5819014064953</v>
      </c>
      <c r="N87" s="16">
        <v>0.68762603569801839</v>
      </c>
      <c r="O87" s="14">
        <f t="shared" si="39"/>
        <v>1075.1596243533181</v>
      </c>
      <c r="P87" s="14">
        <f t="shared" si="40"/>
        <v>488.42227705317714</v>
      </c>
      <c r="Q87" s="14">
        <v>25.0041040038878</v>
      </c>
      <c r="R87" s="14">
        <v>11.569480716770034</v>
      </c>
      <c r="S87" s="14">
        <f t="shared" si="25"/>
        <v>12.987012987012987</v>
      </c>
      <c r="T87" s="14">
        <v>30.196148896801322</v>
      </c>
      <c r="U87" s="14">
        <f t="shared" si="41"/>
        <v>1094.5073309845466</v>
      </c>
      <c r="V87" s="14">
        <f t="shared" si="42"/>
        <v>64.958178878672086</v>
      </c>
      <c r="W87" s="14">
        <v>32.263524662268459</v>
      </c>
      <c r="X87" s="16">
        <f t="shared" si="43"/>
        <v>0.38492618536289464</v>
      </c>
      <c r="Y87" s="16">
        <f t="shared" si="48"/>
        <v>0.522243476013597</v>
      </c>
      <c r="Z87" s="16">
        <f t="shared" si="44"/>
        <v>0.98232290814002632</v>
      </c>
      <c r="AA87" s="16">
        <f t="shared" si="45"/>
        <v>0.25938866450589043</v>
      </c>
      <c r="AB87" s="16">
        <f t="shared" si="26"/>
        <v>8.305937140440629E-3</v>
      </c>
      <c r="AC87" s="14">
        <f t="shared" si="49"/>
        <v>64.958178878672086</v>
      </c>
      <c r="AD87" s="16">
        <f t="shared" si="27"/>
        <v>0.12467462360460466</v>
      </c>
      <c r="AE87" s="16">
        <f t="shared" si="28"/>
        <v>1.5991553740418558E-2</v>
      </c>
      <c r="AF87" s="23" t="str">
        <f t="shared" si="46"/>
        <v/>
      </c>
      <c r="AG87" s="23" t="str">
        <f t="shared" si="29"/>
        <v/>
      </c>
      <c r="AH87" s="23" t="str">
        <f t="shared" si="30"/>
        <v/>
      </c>
      <c r="AI87" s="23" t="str">
        <f t="shared" si="47"/>
        <v/>
      </c>
      <c r="AJ87" s="23" t="str">
        <f t="shared" si="31"/>
        <v/>
      </c>
      <c r="AK87" s="23" t="str">
        <f t="shared" si="32"/>
        <v/>
      </c>
      <c r="AL87" s="23" t="str">
        <f t="shared" si="33"/>
        <v/>
      </c>
      <c r="AM87" s="23" t="str">
        <f t="shared" si="34"/>
        <v/>
      </c>
      <c r="AN87" s="19">
        <f t="shared" si="35"/>
        <v>0</v>
      </c>
      <c r="AO87" s="26">
        <f t="shared" si="36"/>
        <v>488.42227705317714</v>
      </c>
    </row>
    <row r="88" spans="1:41" x14ac:dyDescent="0.2">
      <c r="A88" s="12">
        <v>44642</v>
      </c>
      <c r="B88" s="6">
        <v>22</v>
      </c>
      <c r="C88" s="6">
        <v>81</v>
      </c>
      <c r="D88" s="6">
        <v>3</v>
      </c>
      <c r="E88" s="6" t="s">
        <v>14</v>
      </c>
      <c r="F88" s="6">
        <v>12</v>
      </c>
      <c r="G88" s="6">
        <v>3</v>
      </c>
      <c r="H88" s="6" t="s">
        <v>19</v>
      </c>
      <c r="I88" s="6">
        <v>1</v>
      </c>
      <c r="J88" s="14">
        <v>12.885150615638935</v>
      </c>
      <c r="K88" s="14">
        <f t="shared" si="37"/>
        <v>12.885150615638935</v>
      </c>
      <c r="L88" s="14">
        <v>73.528279653758332</v>
      </c>
      <c r="M88" s="14">
        <f t="shared" si="38"/>
        <v>947.42295784749592</v>
      </c>
      <c r="N88" s="16">
        <v>0.92004284135248204</v>
      </c>
      <c r="O88" s="14">
        <f t="shared" si="39"/>
        <v>871.66971010058296</v>
      </c>
      <c r="P88" s="14">
        <f t="shared" si="40"/>
        <v>75.753247746912962</v>
      </c>
      <c r="Q88" s="14">
        <v>40.963561103881617</v>
      </c>
      <c r="R88" s="14">
        <v>9.2238004092949488</v>
      </c>
      <c r="S88" s="14">
        <f t="shared" si="25"/>
        <v>12.987012987012987</v>
      </c>
      <c r="T88" s="14">
        <v>30.263931080641004</v>
      </c>
      <c r="U88" s="14">
        <f t="shared" si="41"/>
        <v>663.19607049324713</v>
      </c>
      <c r="V88" s="14">
        <f t="shared" si="42"/>
        <v>51.469795757630834</v>
      </c>
      <c r="W88" s="14">
        <v>34.104753778985717</v>
      </c>
      <c r="X88" s="16">
        <f t="shared" si="43"/>
        <v>0.7958757267422889</v>
      </c>
      <c r="Y88" s="16">
        <f t="shared" si="48"/>
        <v>0.37781098491842396</v>
      </c>
      <c r="Z88" s="16">
        <f t="shared" si="44"/>
        <v>1.3143469162178314</v>
      </c>
      <c r="AA88" s="16">
        <f t="shared" si="45"/>
        <v>0.25034392357635499</v>
      </c>
      <c r="AB88" s="16">
        <f t="shared" si="26"/>
        <v>1.3707724601184374E-2</v>
      </c>
      <c r="AC88" s="14">
        <f t="shared" si="49"/>
        <v>51.469795757630834</v>
      </c>
      <c r="AD88" s="16">
        <f t="shared" si="27"/>
        <v>0.12544561701605761</v>
      </c>
      <c r="AE88" s="16">
        <f t="shared" si="28"/>
        <v>4.3236825500776399E-2</v>
      </c>
      <c r="AF88" s="23" t="str">
        <f t="shared" si="46"/>
        <v/>
      </c>
      <c r="AG88" s="23" t="str">
        <f t="shared" si="29"/>
        <v/>
      </c>
      <c r="AH88" s="23" t="str">
        <f t="shared" si="30"/>
        <v/>
      </c>
      <c r="AI88" s="23" t="str">
        <f t="shared" si="47"/>
        <v/>
      </c>
      <c r="AJ88" s="23" t="str">
        <f t="shared" si="31"/>
        <v/>
      </c>
      <c r="AK88" s="23" t="str">
        <f t="shared" si="32"/>
        <v/>
      </c>
      <c r="AL88" s="23" t="str">
        <f t="shared" si="33"/>
        <v/>
      </c>
      <c r="AM88" s="23" t="str">
        <f t="shared" si="34"/>
        <v/>
      </c>
      <c r="AN88" s="19">
        <f t="shared" si="35"/>
        <v>0</v>
      </c>
      <c r="AO88" s="26">
        <f t="shared" si="36"/>
        <v>75.753247746912962</v>
      </c>
    </row>
    <row r="89" spans="1:41" x14ac:dyDescent="0.2">
      <c r="A89" s="12">
        <v>44643</v>
      </c>
      <c r="B89" s="6">
        <v>23</v>
      </c>
      <c r="C89" s="6">
        <v>82</v>
      </c>
      <c r="D89" s="6">
        <v>4</v>
      </c>
      <c r="E89" s="6" t="s">
        <v>15</v>
      </c>
      <c r="F89" s="6">
        <v>12</v>
      </c>
      <c r="G89" s="6">
        <v>3</v>
      </c>
      <c r="H89" s="6" t="s">
        <v>19</v>
      </c>
      <c r="I89" s="6">
        <v>1</v>
      </c>
      <c r="J89" s="14">
        <v>4.3434594328286416</v>
      </c>
      <c r="K89" s="14">
        <f t="shared" si="37"/>
        <v>4.3434594328286416</v>
      </c>
      <c r="L89" s="14">
        <v>48.616740326883431</v>
      </c>
      <c r="M89" s="14">
        <f t="shared" si="38"/>
        <v>211.16483936618246</v>
      </c>
      <c r="N89" s="16">
        <v>0.28150578815148625</v>
      </c>
      <c r="O89" s="14">
        <f t="shared" si="39"/>
        <v>59.444124535659185</v>
      </c>
      <c r="P89" s="14">
        <f t="shared" si="40"/>
        <v>151.72071483052326</v>
      </c>
      <c r="Q89" s="14">
        <v>41.854412708819282</v>
      </c>
      <c r="R89" s="14">
        <v>14.779357693347874</v>
      </c>
      <c r="S89" s="14">
        <f t="shared" si="25"/>
        <v>12.987012987012987</v>
      </c>
      <c r="T89" s="14">
        <v>32.357771311634735</v>
      </c>
      <c r="U89" s="14">
        <f t="shared" si="41"/>
        <v>147.81538755632772</v>
      </c>
      <c r="V89" s="14">
        <f t="shared" si="42"/>
        <v>34.031718228818406</v>
      </c>
      <c r="W89" s="14">
        <v>27.635377826105621</v>
      </c>
      <c r="X89" s="16">
        <f t="shared" si="43"/>
        <v>1.2298648110390307</v>
      </c>
      <c r="Y89" s="16">
        <f t="shared" si="48"/>
        <v>0.1571702569134269</v>
      </c>
      <c r="Z89" s="16">
        <f t="shared" si="44"/>
        <v>0.40215112593069463</v>
      </c>
      <c r="AA89" s="16">
        <f t="shared" si="45"/>
        <v>0.12762974245451281</v>
      </c>
      <c r="AB89" s="16">
        <f t="shared" si="26"/>
        <v>6.1501777597036948E-2</v>
      </c>
      <c r="AC89" s="14">
        <f t="shared" si="49"/>
        <v>34.031718228818406</v>
      </c>
      <c r="AD89" s="16">
        <f t="shared" si="27"/>
        <v>0.3039972979261093</v>
      </c>
      <c r="AE89" s="16">
        <f t="shared" si="28"/>
        <v>0.19820730020417482</v>
      </c>
      <c r="AF89" s="23" t="str">
        <f t="shared" si="46"/>
        <v/>
      </c>
      <c r="AG89" s="23" t="str">
        <f t="shared" si="29"/>
        <v/>
      </c>
      <c r="AH89" s="23" t="str">
        <f t="shared" si="30"/>
        <v/>
      </c>
      <c r="AI89" s="23" t="str">
        <f t="shared" si="47"/>
        <v/>
      </c>
      <c r="AJ89" s="23" t="str">
        <f t="shared" si="31"/>
        <v/>
      </c>
      <c r="AK89" s="23" t="str">
        <f t="shared" si="32"/>
        <v/>
      </c>
      <c r="AL89" s="23" t="str">
        <f t="shared" si="33"/>
        <v/>
      </c>
      <c r="AM89" s="23" t="str">
        <f t="shared" si="34"/>
        <v/>
      </c>
      <c r="AN89" s="19">
        <f t="shared" si="35"/>
        <v>0</v>
      </c>
      <c r="AO89" s="26">
        <f t="shared" si="36"/>
        <v>151.72071483052326</v>
      </c>
    </row>
    <row r="90" spans="1:41" x14ac:dyDescent="0.2">
      <c r="A90" s="12">
        <v>44644</v>
      </c>
      <c r="B90" s="6">
        <v>24</v>
      </c>
      <c r="C90" s="6">
        <v>83</v>
      </c>
      <c r="D90" s="6">
        <v>5</v>
      </c>
      <c r="E90" s="6" t="s">
        <v>16</v>
      </c>
      <c r="F90" s="6">
        <v>12</v>
      </c>
      <c r="G90" s="6">
        <v>3</v>
      </c>
      <c r="H90" s="6" t="s">
        <v>19</v>
      </c>
      <c r="I90" s="6">
        <v>1</v>
      </c>
      <c r="J90" s="14">
        <v>21.752882756069543</v>
      </c>
      <c r="K90" s="14">
        <f t="shared" si="37"/>
        <v>21.752882756069543</v>
      </c>
      <c r="L90" s="14">
        <v>19.497970492849305</v>
      </c>
      <c r="M90" s="14">
        <f t="shared" si="38"/>
        <v>424.13706611225439</v>
      </c>
      <c r="N90" s="16">
        <v>0.47380947411448687</v>
      </c>
      <c r="O90" s="14">
        <f t="shared" si="39"/>
        <v>200.9601602471086</v>
      </c>
      <c r="P90" s="14">
        <f t="shared" si="40"/>
        <v>223.17690586514578</v>
      </c>
      <c r="Q90" s="14">
        <v>42.158304351991013</v>
      </c>
      <c r="R90" s="14">
        <v>20.448059568281238</v>
      </c>
      <c r="S90" s="14">
        <f t="shared" si="25"/>
        <v>12.987012987012987</v>
      </c>
      <c r="T90" s="14">
        <v>28.753546686838618</v>
      </c>
      <c r="U90" s="14">
        <f t="shared" si="41"/>
        <v>296.89594627857804</v>
      </c>
      <c r="V90" s="14">
        <f t="shared" si="42"/>
        <v>13.648579344994511</v>
      </c>
      <c r="W90" s="14">
        <v>31.120462010996881</v>
      </c>
      <c r="X90" s="16">
        <f t="shared" si="43"/>
        <v>3.0888419436453787</v>
      </c>
      <c r="Y90" s="16">
        <f t="shared" si="48"/>
        <v>0.69898971128329768</v>
      </c>
      <c r="Z90" s="16">
        <f t="shared" si="44"/>
        <v>0.67687067730640993</v>
      </c>
      <c r="AA90" s="16">
        <f t="shared" si="45"/>
        <v>1.5937836610113718</v>
      </c>
      <c r="AB90" s="16">
        <f t="shared" si="26"/>
        <v>3.0619849158799468E-2</v>
      </c>
      <c r="AC90" s="14">
        <f t="shared" si="49"/>
        <v>13.648579344994511</v>
      </c>
      <c r="AD90" s="16">
        <f t="shared" si="27"/>
        <v>1.0487275881241265</v>
      </c>
      <c r="AE90" s="16">
        <f t="shared" si="28"/>
        <v>9.9397830843751742E-2</v>
      </c>
      <c r="AF90" s="23" t="str">
        <f t="shared" si="46"/>
        <v/>
      </c>
      <c r="AG90" s="23" t="str">
        <f t="shared" si="29"/>
        <v/>
      </c>
      <c r="AH90" s="23" t="str">
        <f t="shared" si="30"/>
        <v/>
      </c>
      <c r="AI90" s="23" t="str">
        <f t="shared" si="47"/>
        <v/>
      </c>
      <c r="AJ90" s="23" t="str">
        <f t="shared" si="31"/>
        <v/>
      </c>
      <c r="AK90" s="23" t="str">
        <f t="shared" si="32"/>
        <v/>
      </c>
      <c r="AL90" s="23" t="str">
        <f t="shared" si="33"/>
        <v/>
      </c>
      <c r="AM90" s="23" t="str">
        <f t="shared" si="34"/>
        <v/>
      </c>
      <c r="AN90" s="19">
        <f t="shared" si="35"/>
        <v>0</v>
      </c>
      <c r="AO90" s="26">
        <f t="shared" si="36"/>
        <v>223.17690586514578</v>
      </c>
    </row>
    <row r="91" spans="1:41" x14ac:dyDescent="0.2">
      <c r="A91" s="12">
        <v>44645</v>
      </c>
      <c r="B91" s="6">
        <v>25</v>
      </c>
      <c r="C91" s="6">
        <v>84</v>
      </c>
      <c r="D91" s="6">
        <v>6</v>
      </c>
      <c r="E91" s="6" t="s">
        <v>17</v>
      </c>
      <c r="F91" s="6">
        <v>12</v>
      </c>
      <c r="G91" s="6">
        <v>3</v>
      </c>
      <c r="H91" s="6" t="s">
        <v>19</v>
      </c>
      <c r="I91" s="6">
        <v>1</v>
      </c>
      <c r="J91" s="14">
        <v>22.09802807385438</v>
      </c>
      <c r="K91" s="14">
        <f t="shared" si="37"/>
        <v>22.09802807385438</v>
      </c>
      <c r="L91" s="14">
        <v>49.640570357750164</v>
      </c>
      <c r="M91" s="14">
        <f t="shared" si="38"/>
        <v>1096.9587173677066</v>
      </c>
      <c r="N91" s="16">
        <v>0.71899009524488744</v>
      </c>
      <c r="O91" s="14">
        <f t="shared" si="39"/>
        <v>788.70245267991697</v>
      </c>
      <c r="P91" s="14">
        <f t="shared" si="40"/>
        <v>308.25626468778967</v>
      </c>
      <c r="Q91" s="14">
        <v>51.56548835907445</v>
      </c>
      <c r="R91" s="14">
        <v>9.5963593770606312</v>
      </c>
      <c r="S91" s="14">
        <f t="shared" si="25"/>
        <v>12.987012987012987</v>
      </c>
      <c r="T91" s="14">
        <v>32.783627119639355</v>
      </c>
      <c r="U91" s="14">
        <f t="shared" si="41"/>
        <v>767.8711021573946</v>
      </c>
      <c r="V91" s="14">
        <f t="shared" si="42"/>
        <v>34.748399250425109</v>
      </c>
      <c r="W91" s="14">
        <v>27.996063958062344</v>
      </c>
      <c r="X91" s="16">
        <f t="shared" si="43"/>
        <v>1.483967304146927</v>
      </c>
      <c r="Y91" s="16">
        <f t="shared" si="48"/>
        <v>0.78932624625221859</v>
      </c>
      <c r="Z91" s="16">
        <f t="shared" si="44"/>
        <v>1.0271287074926965</v>
      </c>
      <c r="AA91" s="16">
        <f t="shared" si="45"/>
        <v>0.63594377152737569</v>
      </c>
      <c r="AB91" s="16">
        <f t="shared" si="26"/>
        <v>1.1839108237525103E-2</v>
      </c>
      <c r="AC91" s="14">
        <f t="shared" si="49"/>
        <v>34.748399250425109</v>
      </c>
      <c r="AD91" s="16">
        <f t="shared" si="27"/>
        <v>0.19331686376489013</v>
      </c>
      <c r="AE91" s="16">
        <f t="shared" si="28"/>
        <v>4.7007683646302083E-2</v>
      </c>
      <c r="AF91" s="23" t="str">
        <f t="shared" si="46"/>
        <v/>
      </c>
      <c r="AG91" s="23" t="str">
        <f t="shared" si="29"/>
        <v/>
      </c>
      <c r="AH91" s="23" t="str">
        <f t="shared" si="30"/>
        <v/>
      </c>
      <c r="AI91" s="23" t="str">
        <f t="shared" si="47"/>
        <v/>
      </c>
      <c r="AJ91" s="23" t="str">
        <f t="shared" si="31"/>
        <v/>
      </c>
      <c r="AK91" s="23" t="str">
        <f t="shared" si="32"/>
        <v/>
      </c>
      <c r="AL91" s="23">
        <f t="shared" si="33"/>
        <v>83</v>
      </c>
      <c r="AM91" s="23" t="str">
        <f t="shared" si="34"/>
        <v/>
      </c>
      <c r="AN91" s="19">
        <f t="shared" si="35"/>
        <v>83</v>
      </c>
      <c r="AO91" s="26">
        <f t="shared" si="36"/>
        <v>225.25626468778967</v>
      </c>
    </row>
    <row r="92" spans="1:41" x14ac:dyDescent="0.2">
      <c r="A92" s="12">
        <v>44646</v>
      </c>
      <c r="B92" s="6">
        <v>26</v>
      </c>
      <c r="C92" s="6">
        <v>85</v>
      </c>
      <c r="D92" s="6">
        <v>7</v>
      </c>
      <c r="E92" s="6" t="s">
        <v>10</v>
      </c>
      <c r="F92" s="6">
        <v>12</v>
      </c>
      <c r="G92" s="6">
        <v>3</v>
      </c>
      <c r="H92" s="6" t="s">
        <v>19</v>
      </c>
      <c r="I92" s="6">
        <v>1</v>
      </c>
      <c r="J92" s="14">
        <v>18.041295270133507</v>
      </c>
      <c r="K92" s="14">
        <f t="shared" si="37"/>
        <v>18.041295270133507</v>
      </c>
      <c r="L92" s="14">
        <v>44.59956435341816</v>
      </c>
      <c r="M92" s="14">
        <f t="shared" si="38"/>
        <v>804.63390941933801</v>
      </c>
      <c r="N92" s="16">
        <v>0.6469204740934118</v>
      </c>
      <c r="O92" s="14">
        <f t="shared" si="39"/>
        <v>520.53415015319354</v>
      </c>
      <c r="P92" s="14">
        <f t="shared" si="40"/>
        <v>284.09975926614447</v>
      </c>
      <c r="Q92" s="14">
        <v>26.970393961433391</v>
      </c>
      <c r="R92" s="14">
        <v>10.36653107680957</v>
      </c>
      <c r="S92" s="14">
        <f t="shared" si="25"/>
        <v>12.987012987012987</v>
      </c>
      <c r="T92" s="14">
        <v>30.714906175693756</v>
      </c>
      <c r="U92" s="14">
        <f t="shared" si="41"/>
        <v>563.2437365935366</v>
      </c>
      <c r="V92" s="14">
        <f t="shared" si="42"/>
        <v>31.219695047392712</v>
      </c>
      <c r="W92" s="14">
        <v>32.857422730247684</v>
      </c>
      <c r="X92" s="16">
        <f t="shared" si="43"/>
        <v>0.86389037178266104</v>
      </c>
      <c r="Y92" s="16">
        <f t="shared" si="48"/>
        <v>0.54907822254498251</v>
      </c>
      <c r="Z92" s="16">
        <f t="shared" si="44"/>
        <v>0.92417210584773124</v>
      </c>
      <c r="AA92" s="16">
        <f t="shared" si="45"/>
        <v>0.57788185447507157</v>
      </c>
      <c r="AB92" s="16">
        <f t="shared" si="26"/>
        <v>1.614027551533968E-2</v>
      </c>
      <c r="AC92" s="14">
        <f t="shared" si="49"/>
        <v>31.219695047392712</v>
      </c>
      <c r="AD92" s="16">
        <f t="shared" si="27"/>
        <v>0.23243570261499805</v>
      </c>
      <c r="AE92" s="16">
        <f t="shared" si="28"/>
        <v>3.3518838375698717E-2</v>
      </c>
      <c r="AF92" s="23" t="str">
        <f t="shared" si="46"/>
        <v/>
      </c>
      <c r="AG92" s="23" t="str">
        <f t="shared" si="29"/>
        <v/>
      </c>
      <c r="AH92" s="23" t="str">
        <f t="shared" si="30"/>
        <v/>
      </c>
      <c r="AI92" s="23" t="str">
        <f t="shared" si="47"/>
        <v/>
      </c>
      <c r="AJ92" s="23" t="str">
        <f t="shared" si="31"/>
        <v/>
      </c>
      <c r="AK92" s="23" t="str">
        <f t="shared" si="32"/>
        <v/>
      </c>
      <c r="AL92" s="23" t="str">
        <f t="shared" si="33"/>
        <v/>
      </c>
      <c r="AM92" s="23" t="str">
        <f t="shared" si="34"/>
        <v/>
      </c>
      <c r="AN92" s="19">
        <f t="shared" si="35"/>
        <v>0</v>
      </c>
      <c r="AO92" s="26">
        <f t="shared" si="36"/>
        <v>284.09975926614447</v>
      </c>
    </row>
    <row r="93" spans="1:41" x14ac:dyDescent="0.2">
      <c r="A93" s="12">
        <v>44647</v>
      </c>
      <c r="B93" s="6">
        <v>27</v>
      </c>
      <c r="C93" s="6">
        <v>86</v>
      </c>
      <c r="D93" s="6">
        <v>1</v>
      </c>
      <c r="E93" s="6" t="s">
        <v>12</v>
      </c>
      <c r="F93" s="6">
        <v>13</v>
      </c>
      <c r="G93" s="6">
        <v>3</v>
      </c>
      <c r="H93" s="6" t="s">
        <v>19</v>
      </c>
      <c r="I93" s="6">
        <v>1</v>
      </c>
      <c r="J93" s="14">
        <v>2.759224381213448</v>
      </c>
      <c r="K93" s="14">
        <f t="shared" si="37"/>
        <v>2.759224381213448</v>
      </c>
      <c r="L93" s="14">
        <v>12.182142551431687</v>
      </c>
      <c r="M93" s="14">
        <f t="shared" si="38"/>
        <v>33.613264743328109</v>
      </c>
      <c r="N93" s="16">
        <v>0.25775493350796952</v>
      </c>
      <c r="O93" s="14">
        <f t="shared" si="39"/>
        <v>8.6639848189023123</v>
      </c>
      <c r="P93" s="14">
        <f t="shared" si="40"/>
        <v>24.949279924425795</v>
      </c>
      <c r="Q93" s="14">
        <v>17.300827149731788</v>
      </c>
      <c r="R93" s="14">
        <v>3.5240942134795294</v>
      </c>
      <c r="S93" s="14">
        <f t="shared" si="25"/>
        <v>28.571428571428573</v>
      </c>
      <c r="T93" s="14">
        <v>12.970071636590085</v>
      </c>
      <c r="U93" s="14">
        <f t="shared" si="41"/>
        <v>23.529285320329674</v>
      </c>
      <c r="V93" s="14">
        <f t="shared" si="42"/>
        <v>8.5274997860021795</v>
      </c>
      <c r="W93" s="14">
        <v>12.502195300751778</v>
      </c>
      <c r="X93" s="16">
        <f t="shared" si="43"/>
        <v>2.0288276263730847</v>
      </c>
      <c r="Y93" s="16">
        <f t="shared" si="48"/>
        <v>0.22069919040918609</v>
      </c>
      <c r="Z93" s="16">
        <f t="shared" si="44"/>
        <v>0.36822133358281361</v>
      </c>
      <c r="AA93" s="16">
        <f t="shared" si="45"/>
        <v>0.32356780421650577</v>
      </c>
      <c r="AB93" s="16">
        <f t="shared" si="26"/>
        <v>0.85000456782763745</v>
      </c>
      <c r="AC93" s="14">
        <f t="shared" si="49"/>
        <v>8.5274997860021795</v>
      </c>
      <c r="AD93" s="16">
        <f t="shared" si="27"/>
        <v>0.28928361317405255</v>
      </c>
      <c r="AE93" s="16">
        <f t="shared" si="28"/>
        <v>0.51470237365639482</v>
      </c>
      <c r="AF93" s="23" t="str">
        <f t="shared" si="46"/>
        <v/>
      </c>
      <c r="AG93" s="23">
        <f t="shared" si="29"/>
        <v>1000</v>
      </c>
      <c r="AH93" s="23" t="str">
        <f t="shared" si="30"/>
        <v/>
      </c>
      <c r="AI93" s="23" t="str">
        <f t="shared" si="47"/>
        <v/>
      </c>
      <c r="AJ93" s="23" t="str">
        <f t="shared" si="31"/>
        <v/>
      </c>
      <c r="AK93" s="23" t="str">
        <f t="shared" si="32"/>
        <v/>
      </c>
      <c r="AL93" s="23" t="str">
        <f t="shared" si="33"/>
        <v/>
      </c>
      <c r="AM93" s="23" t="str">
        <f t="shared" si="34"/>
        <v/>
      </c>
      <c r="AN93" s="19">
        <f t="shared" si="35"/>
        <v>1000</v>
      </c>
      <c r="AO93" s="26">
        <f t="shared" si="36"/>
        <v>-975.05072007557419</v>
      </c>
    </row>
    <row r="94" spans="1:41" x14ac:dyDescent="0.2">
      <c r="A94" s="12">
        <v>44648</v>
      </c>
      <c r="B94" s="6">
        <v>28</v>
      </c>
      <c r="C94" s="6">
        <v>87</v>
      </c>
      <c r="D94" s="6">
        <v>2</v>
      </c>
      <c r="E94" s="6" t="s">
        <v>13</v>
      </c>
      <c r="F94" s="6">
        <v>13</v>
      </c>
      <c r="G94" s="6">
        <v>3</v>
      </c>
      <c r="H94" s="6" t="s">
        <v>19</v>
      </c>
      <c r="I94" s="6">
        <v>1</v>
      </c>
      <c r="J94" s="14">
        <v>18.907750123501657</v>
      </c>
      <c r="K94" s="14">
        <f t="shared" si="37"/>
        <v>18.907750123501657</v>
      </c>
      <c r="L94" s="14">
        <v>39.873222401582929</v>
      </c>
      <c r="M94" s="14">
        <f t="shared" si="38"/>
        <v>753.91292578793866</v>
      </c>
      <c r="N94" s="16">
        <v>0.58448957148854908</v>
      </c>
      <c r="O94" s="14">
        <f t="shared" si="39"/>
        <v>440.65424293347058</v>
      </c>
      <c r="P94" s="14">
        <f t="shared" si="40"/>
        <v>313.25868285446808</v>
      </c>
      <c r="Q94" s="14">
        <v>54.799249819074412</v>
      </c>
      <c r="R94" s="14">
        <v>12.629137923019636</v>
      </c>
      <c r="S94" s="14">
        <f t="shared" si="25"/>
        <v>12.987012987012987</v>
      </c>
      <c r="T94" s="14">
        <v>34.251886673020429</v>
      </c>
      <c r="U94" s="14">
        <f t="shared" si="41"/>
        <v>527.73904805155701</v>
      </c>
      <c r="V94" s="14">
        <f t="shared" si="42"/>
        <v>27.911255681108049</v>
      </c>
      <c r="W94" s="14">
        <v>30.576604575589034</v>
      </c>
      <c r="X94" s="16">
        <f t="shared" si="43"/>
        <v>1.9633387492546854</v>
      </c>
      <c r="Y94" s="16">
        <f t="shared" si="48"/>
        <v>0.61837311192481925</v>
      </c>
      <c r="Z94" s="16">
        <f t="shared" si="44"/>
        <v>0.83498510212649879</v>
      </c>
      <c r="AA94" s="16">
        <f t="shared" si="45"/>
        <v>0.67742384432741642</v>
      </c>
      <c r="AB94" s="16">
        <f t="shared" si="26"/>
        <v>1.7226144482719728E-2</v>
      </c>
      <c r="AC94" s="14">
        <f t="shared" si="49"/>
        <v>27.911255681108049</v>
      </c>
      <c r="AD94" s="16">
        <f t="shared" si="27"/>
        <v>0.31673231212228964</v>
      </c>
      <c r="AE94" s="16">
        <f t="shared" si="28"/>
        <v>7.2686444209458204E-2</v>
      </c>
      <c r="AF94" s="23" t="str">
        <f t="shared" si="46"/>
        <v/>
      </c>
      <c r="AG94" s="23" t="str">
        <f t="shared" si="29"/>
        <v/>
      </c>
      <c r="AH94" s="23" t="str">
        <f t="shared" si="30"/>
        <v/>
      </c>
      <c r="AI94" s="23" t="str">
        <f t="shared" si="47"/>
        <v/>
      </c>
      <c r="AJ94" s="23" t="str">
        <f t="shared" si="31"/>
        <v/>
      </c>
      <c r="AK94" s="23" t="str">
        <f t="shared" si="32"/>
        <v/>
      </c>
      <c r="AL94" s="23" t="str">
        <f t="shared" si="33"/>
        <v/>
      </c>
      <c r="AM94" s="23" t="str">
        <f t="shared" si="34"/>
        <v/>
      </c>
      <c r="AN94" s="19">
        <f t="shared" si="35"/>
        <v>0</v>
      </c>
      <c r="AO94" s="26">
        <f t="shared" si="36"/>
        <v>313.25868285446808</v>
      </c>
    </row>
    <row r="95" spans="1:41" x14ac:dyDescent="0.2">
      <c r="A95" s="12">
        <v>44649</v>
      </c>
      <c r="B95" s="6">
        <v>29</v>
      </c>
      <c r="C95" s="6">
        <v>88</v>
      </c>
      <c r="D95" s="6">
        <v>3</v>
      </c>
      <c r="E95" s="6" t="s">
        <v>14</v>
      </c>
      <c r="F95" s="6">
        <v>13</v>
      </c>
      <c r="G95" s="6">
        <v>3</v>
      </c>
      <c r="H95" s="6" t="s">
        <v>19</v>
      </c>
      <c r="I95" s="6">
        <v>1</v>
      </c>
      <c r="J95" s="14">
        <v>17.985093407803522</v>
      </c>
      <c r="K95" s="14">
        <f t="shared" si="37"/>
        <v>17.985093407803522</v>
      </c>
      <c r="L95" s="14">
        <v>45.782386421119028</v>
      </c>
      <c r="M95" s="14">
        <f t="shared" si="38"/>
        <v>823.40049621598132</v>
      </c>
      <c r="N95" s="16">
        <v>0.79734363279095399</v>
      </c>
      <c r="O95" s="14">
        <f t="shared" si="39"/>
        <v>656.53314289472473</v>
      </c>
      <c r="P95" s="14">
        <f t="shared" si="40"/>
        <v>166.86735332125659</v>
      </c>
      <c r="Q95" s="14">
        <v>37.795412505852354</v>
      </c>
      <c r="R95" s="14">
        <v>3.4401589164295605</v>
      </c>
      <c r="S95" s="14">
        <f t="shared" si="25"/>
        <v>12.987012987012987</v>
      </c>
      <c r="T95" s="14">
        <v>28.02606662395138</v>
      </c>
      <c r="U95" s="14">
        <f t="shared" si="41"/>
        <v>576.38034735118686</v>
      </c>
      <c r="V95" s="14">
        <f t="shared" si="42"/>
        <v>32.047670494783318</v>
      </c>
      <c r="W95" s="14">
        <v>32.621755415340502</v>
      </c>
      <c r="X95" s="16">
        <f t="shared" si="43"/>
        <v>1.1793497599772391</v>
      </c>
      <c r="Y95" s="16">
        <f t="shared" si="48"/>
        <v>0.55132206034951647</v>
      </c>
      <c r="Z95" s="16">
        <f t="shared" si="44"/>
        <v>1.1390623325585059</v>
      </c>
      <c r="AA95" s="16">
        <f t="shared" si="45"/>
        <v>0.56119815044688237</v>
      </c>
      <c r="AB95" s="16">
        <f t="shared" si="26"/>
        <v>1.5772413359836548E-2</v>
      </c>
      <c r="AC95" s="14">
        <f t="shared" si="49"/>
        <v>32.047670494783318</v>
      </c>
      <c r="AD95" s="16">
        <f t="shared" si="27"/>
        <v>7.5141537725579202E-2</v>
      </c>
      <c r="AE95" s="16">
        <f t="shared" si="28"/>
        <v>4.5901614924383605E-2</v>
      </c>
      <c r="AF95" s="23" t="str">
        <f t="shared" si="46"/>
        <v/>
      </c>
      <c r="AG95" s="23" t="str">
        <f t="shared" si="29"/>
        <v/>
      </c>
      <c r="AH95" s="23" t="str">
        <f t="shared" si="30"/>
        <v/>
      </c>
      <c r="AI95" s="23" t="str">
        <f t="shared" si="47"/>
        <v/>
      </c>
      <c r="AJ95" s="23" t="str">
        <f t="shared" si="31"/>
        <v/>
      </c>
      <c r="AK95" s="23" t="str">
        <f t="shared" si="32"/>
        <v/>
      </c>
      <c r="AL95" s="23" t="str">
        <f t="shared" si="33"/>
        <v/>
      </c>
      <c r="AM95" s="23" t="str">
        <f t="shared" si="34"/>
        <v/>
      </c>
      <c r="AN95" s="19">
        <f t="shared" si="35"/>
        <v>0</v>
      </c>
      <c r="AO95" s="26">
        <f t="shared" si="36"/>
        <v>166.86735332125659</v>
      </c>
    </row>
    <row r="96" spans="1:41" x14ac:dyDescent="0.2">
      <c r="A96" s="12">
        <v>44650</v>
      </c>
      <c r="B96" s="6">
        <v>30</v>
      </c>
      <c r="C96" s="6">
        <v>89</v>
      </c>
      <c r="D96" s="6">
        <v>4</v>
      </c>
      <c r="E96" s="6" t="s">
        <v>15</v>
      </c>
      <c r="F96" s="6">
        <v>13</v>
      </c>
      <c r="G96" s="6">
        <v>3</v>
      </c>
      <c r="H96" s="6" t="s">
        <v>19</v>
      </c>
      <c r="I96" s="6">
        <v>1</v>
      </c>
      <c r="J96" s="14">
        <v>20.027311529915675</v>
      </c>
      <c r="K96" s="14">
        <f t="shared" si="37"/>
        <v>20.027311529915675</v>
      </c>
      <c r="L96" s="14">
        <v>14.11966050569248</v>
      </c>
      <c r="M96" s="14">
        <f t="shared" si="38"/>
        <v>282.77883964414997</v>
      </c>
      <c r="N96" s="16">
        <v>0.56344457915161628</v>
      </c>
      <c r="O96" s="14">
        <f t="shared" si="39"/>
        <v>159.33020429628047</v>
      </c>
      <c r="P96" s="14">
        <f t="shared" si="40"/>
        <v>123.4486353478695</v>
      </c>
      <c r="Q96" s="14">
        <v>34.550084858402826</v>
      </c>
      <c r="R96" s="14">
        <v>14.249250621092944</v>
      </c>
      <c r="S96" s="14">
        <f t="shared" si="25"/>
        <v>12.987012987012987</v>
      </c>
      <c r="T96" s="14">
        <v>25.14064992514232</v>
      </c>
      <c r="U96" s="14">
        <f t="shared" si="41"/>
        <v>197.94518775090498</v>
      </c>
      <c r="V96" s="14">
        <f t="shared" si="42"/>
        <v>9.8837623539847357</v>
      </c>
      <c r="W96" s="14">
        <v>36.525381588299872</v>
      </c>
      <c r="X96" s="16">
        <f t="shared" si="43"/>
        <v>3.4956409938846438</v>
      </c>
      <c r="Y96" s="16">
        <f t="shared" si="48"/>
        <v>0.54831217797135889</v>
      </c>
      <c r="Z96" s="16">
        <f t="shared" si="44"/>
        <v>0.80492082735945181</v>
      </c>
      <c r="AA96" s="16">
        <f t="shared" si="45"/>
        <v>2.026284203589888</v>
      </c>
      <c r="AB96" s="16">
        <f t="shared" si="26"/>
        <v>4.5926396060454511E-2</v>
      </c>
      <c r="AC96" s="14">
        <f t="shared" si="49"/>
        <v>9.8837623539847357</v>
      </c>
      <c r="AD96" s="16">
        <f t="shared" si="27"/>
        <v>1.0091779908835783</v>
      </c>
      <c r="AE96" s="16">
        <f t="shared" si="28"/>
        <v>0.12218058784695769</v>
      </c>
      <c r="AF96" s="23" t="str">
        <f t="shared" si="46"/>
        <v/>
      </c>
      <c r="AG96" s="23" t="str">
        <f t="shared" si="29"/>
        <v/>
      </c>
      <c r="AH96" s="23" t="str">
        <f t="shared" si="30"/>
        <v/>
      </c>
      <c r="AI96" s="23" t="str">
        <f t="shared" si="47"/>
        <v/>
      </c>
      <c r="AJ96" s="23" t="str">
        <f t="shared" si="31"/>
        <v/>
      </c>
      <c r="AK96" s="23" t="str">
        <f t="shared" si="32"/>
        <v/>
      </c>
      <c r="AL96" s="23" t="str">
        <f t="shared" si="33"/>
        <v/>
      </c>
      <c r="AM96" s="23" t="str">
        <f t="shared" si="34"/>
        <v/>
      </c>
      <c r="AN96" s="19">
        <f t="shared" si="35"/>
        <v>0</v>
      </c>
      <c r="AO96" s="26">
        <f t="shared" si="36"/>
        <v>123.4486353478695</v>
      </c>
    </row>
    <row r="97" spans="1:41" x14ac:dyDescent="0.2">
      <c r="A97" s="12">
        <v>44651</v>
      </c>
      <c r="B97" s="6">
        <v>31</v>
      </c>
      <c r="C97" s="6">
        <v>90</v>
      </c>
      <c r="D97" s="6">
        <v>5</v>
      </c>
      <c r="E97" s="6" t="s">
        <v>16</v>
      </c>
      <c r="F97" s="6">
        <v>13</v>
      </c>
      <c r="G97" s="6">
        <v>3</v>
      </c>
      <c r="H97" s="6" t="s">
        <v>19</v>
      </c>
      <c r="I97" s="6">
        <v>1</v>
      </c>
      <c r="J97" s="14">
        <v>1.2430441637330754</v>
      </c>
      <c r="K97" s="14">
        <f t="shared" si="37"/>
        <v>1.2430441637330754</v>
      </c>
      <c r="L97" s="14">
        <v>84.151824533780768</v>
      </c>
      <c r="M97" s="14">
        <f t="shared" si="38"/>
        <v>104.60443435420601</v>
      </c>
      <c r="N97" s="16">
        <v>0.41485098407562848</v>
      </c>
      <c r="O97" s="14">
        <f t="shared" si="39"/>
        <v>43.395252530516842</v>
      </c>
      <c r="P97" s="14">
        <f t="shared" si="40"/>
        <v>61.209181823689164</v>
      </c>
      <c r="Q97" s="14">
        <v>34.639162021925443</v>
      </c>
      <c r="R97" s="14">
        <v>14.575981459028363</v>
      </c>
      <c r="S97" s="14">
        <f t="shared" si="25"/>
        <v>12.987012987012987</v>
      </c>
      <c r="T97" s="14">
        <v>41.179095024647765</v>
      </c>
      <c r="U97" s="14">
        <f t="shared" si="41"/>
        <v>73.223104047944204</v>
      </c>
      <c r="V97" s="14">
        <f t="shared" si="42"/>
        <v>58.906277173646536</v>
      </c>
      <c r="W97" s="14">
        <v>33.932346958941139</v>
      </c>
      <c r="X97" s="16">
        <f t="shared" si="43"/>
        <v>0.58803855351127665</v>
      </c>
      <c r="Y97" s="16">
        <f t="shared" si="48"/>
        <v>3.6633014664066273E-2</v>
      </c>
      <c r="Z97" s="16">
        <f t="shared" si="44"/>
        <v>0.59264426296518358</v>
      </c>
      <c r="AA97" s="16">
        <f t="shared" si="45"/>
        <v>2.1102066254650158E-2</v>
      </c>
      <c r="AB97" s="16">
        <f t="shared" si="26"/>
        <v>0.12415356067064089</v>
      </c>
      <c r="AC97" s="14">
        <f t="shared" si="49"/>
        <v>58.906277173646536</v>
      </c>
      <c r="AD97" s="16">
        <f t="shared" si="27"/>
        <v>0.17321052205085793</v>
      </c>
      <c r="AE97" s="16">
        <f t="shared" si="28"/>
        <v>0.33114429838253456</v>
      </c>
      <c r="AF97" s="23" t="str">
        <f t="shared" si="46"/>
        <v/>
      </c>
      <c r="AG97" s="23" t="str">
        <f t="shared" si="29"/>
        <v/>
      </c>
      <c r="AH97" s="23" t="str">
        <f t="shared" si="30"/>
        <v/>
      </c>
      <c r="AI97" s="23" t="str">
        <f t="shared" si="47"/>
        <v/>
      </c>
      <c r="AJ97" s="23" t="str">
        <f t="shared" si="31"/>
        <v/>
      </c>
      <c r="AK97" s="23" t="str">
        <f t="shared" si="32"/>
        <v/>
      </c>
      <c r="AL97" s="23" t="str">
        <f t="shared" si="33"/>
        <v/>
      </c>
      <c r="AM97" s="23" t="str">
        <f t="shared" si="34"/>
        <v/>
      </c>
      <c r="AN97" s="19">
        <f t="shared" si="35"/>
        <v>0</v>
      </c>
      <c r="AO97" s="26">
        <f t="shared" si="36"/>
        <v>61.209181823689164</v>
      </c>
    </row>
    <row r="98" spans="1:41" x14ac:dyDescent="0.2">
      <c r="A98" s="12">
        <v>44652</v>
      </c>
      <c r="B98" s="6">
        <v>1</v>
      </c>
      <c r="C98" s="6">
        <v>91</v>
      </c>
      <c r="D98" s="6">
        <v>6</v>
      </c>
      <c r="E98" s="6" t="s">
        <v>17</v>
      </c>
      <c r="F98" s="6">
        <v>13</v>
      </c>
      <c r="G98" s="6">
        <v>4</v>
      </c>
      <c r="H98" s="6" t="s">
        <v>20</v>
      </c>
      <c r="I98" s="6">
        <v>2</v>
      </c>
      <c r="J98" s="14">
        <v>13.567359009403061</v>
      </c>
      <c r="K98" s="14">
        <f t="shared" si="37"/>
        <v>13.567359009403061</v>
      </c>
      <c r="L98" s="14">
        <v>105.58567448601754</v>
      </c>
      <c r="M98" s="14">
        <f t="shared" si="38"/>
        <v>1432.5187520017689</v>
      </c>
      <c r="N98" s="16">
        <v>0.64382352614598204</v>
      </c>
      <c r="O98" s="14">
        <f t="shared" si="39"/>
        <v>922.28927418402043</v>
      </c>
      <c r="P98" s="14">
        <f t="shared" si="40"/>
        <v>510.22947781774849</v>
      </c>
      <c r="Q98" s="14">
        <v>39.094251125200685</v>
      </c>
      <c r="R98" s="14">
        <v>3.5086074667683156</v>
      </c>
      <c r="S98" s="14">
        <f t="shared" si="25"/>
        <v>12.987012987012987</v>
      </c>
      <c r="T98" s="14">
        <v>31.414717731074891</v>
      </c>
      <c r="U98" s="14">
        <f t="shared" si="41"/>
        <v>1002.7631264012382</v>
      </c>
      <c r="V98" s="14">
        <f t="shared" si="42"/>
        <v>73.909972140212275</v>
      </c>
      <c r="W98" s="14">
        <v>33.113959665183359</v>
      </c>
      <c r="X98" s="16">
        <f t="shared" si="43"/>
        <v>0.52894420053407964</v>
      </c>
      <c r="Y98" s="16">
        <f t="shared" si="48"/>
        <v>0.40971720526881111</v>
      </c>
      <c r="Z98" s="16">
        <f t="shared" si="44"/>
        <v>0.91974789449426009</v>
      </c>
      <c r="AA98" s="16">
        <f t="shared" si="45"/>
        <v>0.18356601438930126</v>
      </c>
      <c r="AB98" s="16">
        <f t="shared" si="26"/>
        <v>9.0658589766208861E-3</v>
      </c>
      <c r="AC98" s="14">
        <f t="shared" si="49"/>
        <v>73.909972140212275</v>
      </c>
      <c r="AD98" s="16">
        <f t="shared" si="27"/>
        <v>3.3229957414658104E-2</v>
      </c>
      <c r="AE98" s="16">
        <f t="shared" si="28"/>
        <v>2.7290568497320731E-2</v>
      </c>
      <c r="AF98" s="23">
        <f t="shared" si="46"/>
        <v>3000</v>
      </c>
      <c r="AG98" s="23" t="str">
        <f t="shared" si="29"/>
        <v/>
      </c>
      <c r="AH98" s="23" t="str">
        <f t="shared" si="30"/>
        <v/>
      </c>
      <c r="AI98" s="23" t="str">
        <f t="shared" si="47"/>
        <v/>
      </c>
      <c r="AJ98" s="23" t="str">
        <f t="shared" si="31"/>
        <v/>
      </c>
      <c r="AK98" s="23" t="str">
        <f t="shared" si="32"/>
        <v/>
      </c>
      <c r="AL98" s="23" t="str">
        <f t="shared" si="33"/>
        <v/>
      </c>
      <c r="AM98" s="23" t="str">
        <f t="shared" si="34"/>
        <v/>
      </c>
      <c r="AN98" s="19">
        <f t="shared" si="35"/>
        <v>3000</v>
      </c>
      <c r="AO98" s="26">
        <f t="shared" si="36"/>
        <v>-2489.7705221822516</v>
      </c>
    </row>
    <row r="99" spans="1:41" x14ac:dyDescent="0.2">
      <c r="A99" s="12">
        <v>44653</v>
      </c>
      <c r="B99" s="6">
        <v>2</v>
      </c>
      <c r="C99" s="6">
        <v>92</v>
      </c>
      <c r="D99" s="6">
        <v>7</v>
      </c>
      <c r="E99" s="6" t="s">
        <v>10</v>
      </c>
      <c r="F99" s="6">
        <v>13</v>
      </c>
      <c r="G99" s="6">
        <v>4</v>
      </c>
      <c r="H99" s="6" t="s">
        <v>20</v>
      </c>
      <c r="I99" s="6">
        <v>2</v>
      </c>
      <c r="J99" s="14">
        <v>16.415465926649365</v>
      </c>
      <c r="K99" s="14">
        <f t="shared" si="37"/>
        <v>16.415465926649365</v>
      </c>
      <c r="L99" s="14">
        <v>108.1032226885078</v>
      </c>
      <c r="M99" s="14">
        <f t="shared" si="38"/>
        <v>1774.5647686041882</v>
      </c>
      <c r="N99" s="16">
        <v>0.49389328542145294</v>
      </c>
      <c r="O99" s="14">
        <f t="shared" si="39"/>
        <v>876.44562375908288</v>
      </c>
      <c r="P99" s="14">
        <f t="shared" si="40"/>
        <v>898.11914484510532</v>
      </c>
      <c r="Q99" s="14">
        <v>24.359656295617235</v>
      </c>
      <c r="R99" s="14">
        <v>2.4373241038359774</v>
      </c>
      <c r="S99" s="14">
        <f t="shared" si="25"/>
        <v>12.987012987012987</v>
      </c>
      <c r="T99" s="14">
        <v>28.51248770834404</v>
      </c>
      <c r="U99" s="14">
        <f t="shared" si="41"/>
        <v>1242.1953380229318</v>
      </c>
      <c r="V99" s="14">
        <f t="shared" si="42"/>
        <v>75.672255881955451</v>
      </c>
      <c r="W99" s="14">
        <v>23.980987406315421</v>
      </c>
      <c r="X99" s="16">
        <f t="shared" si="43"/>
        <v>0.32191000534749431</v>
      </c>
      <c r="Y99" s="16">
        <f t="shared" si="48"/>
        <v>0.68452001781737859</v>
      </c>
      <c r="Z99" s="16">
        <f t="shared" si="44"/>
        <v>0.70556183631636127</v>
      </c>
      <c r="AA99" s="16">
        <f t="shared" si="45"/>
        <v>0.21692845991345344</v>
      </c>
      <c r="AB99" s="16">
        <f t="shared" si="26"/>
        <v>7.3184215176480289E-3</v>
      </c>
      <c r="AC99" s="14">
        <f t="shared" si="49"/>
        <v>75.672255881955451</v>
      </c>
      <c r="AD99" s="16">
        <f t="shared" si="27"/>
        <v>2.2546266829241195E-2</v>
      </c>
      <c r="AE99" s="16">
        <f t="shared" si="28"/>
        <v>1.372711592531937E-2</v>
      </c>
      <c r="AF99" s="23" t="str">
        <f t="shared" si="46"/>
        <v/>
      </c>
      <c r="AG99" s="23" t="str">
        <f t="shared" si="29"/>
        <v/>
      </c>
      <c r="AH99" s="23" t="str">
        <f t="shared" si="30"/>
        <v/>
      </c>
      <c r="AI99" s="23" t="str">
        <f t="shared" si="47"/>
        <v/>
      </c>
      <c r="AJ99" s="23" t="str">
        <f t="shared" si="31"/>
        <v/>
      </c>
      <c r="AK99" s="23" t="str">
        <f t="shared" si="32"/>
        <v/>
      </c>
      <c r="AL99" s="23" t="str">
        <f t="shared" si="33"/>
        <v/>
      </c>
      <c r="AM99" s="23" t="str">
        <f t="shared" si="34"/>
        <v/>
      </c>
      <c r="AN99" s="19">
        <f t="shared" si="35"/>
        <v>0</v>
      </c>
      <c r="AO99" s="26">
        <f t="shared" si="36"/>
        <v>898.11914484510532</v>
      </c>
    </row>
    <row r="100" spans="1:41" x14ac:dyDescent="0.2">
      <c r="A100" s="12">
        <v>44654</v>
      </c>
      <c r="B100" s="6">
        <v>3</v>
      </c>
      <c r="C100" s="6">
        <v>93</v>
      </c>
      <c r="D100" s="6">
        <v>1</v>
      </c>
      <c r="E100" s="6" t="s">
        <v>12</v>
      </c>
      <c r="F100" s="6">
        <v>14</v>
      </c>
      <c r="G100" s="6">
        <v>4</v>
      </c>
      <c r="H100" s="6" t="s">
        <v>20</v>
      </c>
      <c r="I100" s="6">
        <v>2</v>
      </c>
      <c r="J100" s="14">
        <v>12.788308734405284</v>
      </c>
      <c r="K100" s="14">
        <f t="shared" si="37"/>
        <v>12.788308734405284</v>
      </c>
      <c r="L100" s="14">
        <v>18.090927944629197</v>
      </c>
      <c r="M100" s="14">
        <f t="shared" si="38"/>
        <v>231.3523718477982</v>
      </c>
      <c r="N100" s="16">
        <v>0.24587493552140516</v>
      </c>
      <c r="O100" s="14">
        <f t="shared" si="39"/>
        <v>56.883749510801529</v>
      </c>
      <c r="P100" s="14">
        <f t="shared" si="40"/>
        <v>174.46862233699667</v>
      </c>
      <c r="Q100" s="14">
        <v>12.145399151869968</v>
      </c>
      <c r="R100" s="14">
        <v>6.6955699597703369</v>
      </c>
      <c r="S100" s="14">
        <f t="shared" si="25"/>
        <v>28.571428571428573</v>
      </c>
      <c r="T100" s="14">
        <v>16.006669696857077</v>
      </c>
      <c r="U100" s="14">
        <f t="shared" si="41"/>
        <v>161.94666029345873</v>
      </c>
      <c r="V100" s="14">
        <f t="shared" si="42"/>
        <v>12.663649561240439</v>
      </c>
      <c r="W100" s="14">
        <v>13.108794045884117</v>
      </c>
      <c r="X100" s="16">
        <f t="shared" si="43"/>
        <v>0.95907574614535485</v>
      </c>
      <c r="Y100" s="16">
        <f t="shared" si="48"/>
        <v>0.97555188445580476</v>
      </c>
      <c r="Z100" s="16">
        <f t="shared" si="44"/>
        <v>0.35124990788772165</v>
      </c>
      <c r="AA100" s="16">
        <f t="shared" si="45"/>
        <v>1.0098438584044831</v>
      </c>
      <c r="AB100" s="16">
        <f t="shared" si="26"/>
        <v>0.12349745257950115</v>
      </c>
      <c r="AC100" s="14">
        <f t="shared" si="49"/>
        <v>12.663649561240439</v>
      </c>
      <c r="AD100" s="16">
        <f t="shared" si="27"/>
        <v>0.37010649648616317</v>
      </c>
      <c r="AE100" s="16">
        <f t="shared" si="28"/>
        <v>5.2497404953601119E-2</v>
      </c>
      <c r="AF100" s="23" t="str">
        <f t="shared" si="46"/>
        <v/>
      </c>
      <c r="AG100" s="23">
        <f t="shared" si="29"/>
        <v>1000</v>
      </c>
      <c r="AH100" s="23" t="str">
        <f t="shared" si="30"/>
        <v/>
      </c>
      <c r="AI100" s="23" t="str">
        <f t="shared" si="47"/>
        <v/>
      </c>
      <c r="AJ100" s="23" t="str">
        <f t="shared" si="31"/>
        <v/>
      </c>
      <c r="AK100" s="23" t="str">
        <f t="shared" si="32"/>
        <v/>
      </c>
      <c r="AL100" s="23" t="str">
        <f t="shared" si="33"/>
        <v/>
      </c>
      <c r="AM100" s="23" t="str">
        <f t="shared" si="34"/>
        <v/>
      </c>
      <c r="AN100" s="19">
        <f t="shared" si="35"/>
        <v>1000</v>
      </c>
      <c r="AO100" s="26">
        <f t="shared" si="36"/>
        <v>-825.53137766300335</v>
      </c>
    </row>
    <row r="101" spans="1:41" x14ac:dyDescent="0.2">
      <c r="A101" s="12">
        <v>44655</v>
      </c>
      <c r="B101" s="6">
        <v>4</v>
      </c>
      <c r="C101" s="6">
        <v>94</v>
      </c>
      <c r="D101" s="6">
        <v>2</v>
      </c>
      <c r="E101" s="6" t="s">
        <v>13</v>
      </c>
      <c r="F101" s="6">
        <v>14</v>
      </c>
      <c r="G101" s="6">
        <v>4</v>
      </c>
      <c r="H101" s="6" t="s">
        <v>20</v>
      </c>
      <c r="I101" s="6">
        <v>2</v>
      </c>
      <c r="J101" s="14">
        <v>19.028807251434309</v>
      </c>
      <c r="K101" s="14">
        <f t="shared" si="37"/>
        <v>19.028807251434309</v>
      </c>
      <c r="L101" s="14">
        <v>66.328180371697414</v>
      </c>
      <c r="M101" s="14">
        <f t="shared" si="38"/>
        <v>1262.1461596313984</v>
      </c>
      <c r="N101" s="16">
        <v>0.33508825278356913</v>
      </c>
      <c r="O101" s="14">
        <f t="shared" si="39"/>
        <v>422.93035138837701</v>
      </c>
      <c r="P101" s="14">
        <f t="shared" si="40"/>
        <v>839.21580824302146</v>
      </c>
      <c r="Q101" s="14">
        <v>43.779874150952701</v>
      </c>
      <c r="R101" s="14">
        <v>18.166874829395276</v>
      </c>
      <c r="S101" s="14">
        <f t="shared" si="25"/>
        <v>12.987012987012987</v>
      </c>
      <c r="T101" s="14">
        <v>26.581501237317966</v>
      </c>
      <c r="U101" s="14">
        <f t="shared" si="41"/>
        <v>883.50231174197882</v>
      </c>
      <c r="V101" s="14">
        <f t="shared" si="42"/>
        <v>46.429726260188183</v>
      </c>
      <c r="W101" s="14">
        <v>36.482717566830047</v>
      </c>
      <c r="X101" s="16">
        <f t="shared" si="43"/>
        <v>0.94292768183930398</v>
      </c>
      <c r="Y101" s="16">
        <f t="shared" si="48"/>
        <v>0.52158415053858898</v>
      </c>
      <c r="Z101" s="16">
        <f t="shared" si="44"/>
        <v>0.47869750397652733</v>
      </c>
      <c r="AA101" s="16">
        <f t="shared" si="45"/>
        <v>0.40984103901019175</v>
      </c>
      <c r="AB101" s="16">
        <f t="shared" si="26"/>
        <v>1.028962682959457E-2</v>
      </c>
      <c r="AC101" s="14">
        <f t="shared" si="49"/>
        <v>46.429726260188183</v>
      </c>
      <c r="AD101" s="16">
        <f t="shared" si="27"/>
        <v>0.27389376171017615</v>
      </c>
      <c r="AE101" s="16">
        <f t="shared" si="28"/>
        <v>3.4686849709813582E-2</v>
      </c>
      <c r="AF101" s="23" t="str">
        <f t="shared" si="46"/>
        <v/>
      </c>
      <c r="AG101" s="23" t="str">
        <f t="shared" si="29"/>
        <v/>
      </c>
      <c r="AH101" s="23" t="str">
        <f t="shared" si="30"/>
        <v/>
      </c>
      <c r="AI101" s="23" t="str">
        <f t="shared" si="47"/>
        <v/>
      </c>
      <c r="AJ101" s="23" t="str">
        <f t="shared" si="31"/>
        <v/>
      </c>
      <c r="AK101" s="23" t="str">
        <f t="shared" si="32"/>
        <v/>
      </c>
      <c r="AL101" s="23" t="str">
        <f t="shared" si="33"/>
        <v/>
      </c>
      <c r="AM101" s="23" t="str">
        <f t="shared" si="34"/>
        <v/>
      </c>
      <c r="AN101" s="19">
        <f t="shared" si="35"/>
        <v>0</v>
      </c>
      <c r="AO101" s="26">
        <f t="shared" si="36"/>
        <v>839.21580824302146</v>
      </c>
    </row>
    <row r="102" spans="1:41" x14ac:dyDescent="0.2">
      <c r="A102" s="12">
        <v>44656</v>
      </c>
      <c r="B102" s="6">
        <v>5</v>
      </c>
      <c r="C102" s="6">
        <v>95</v>
      </c>
      <c r="D102" s="6">
        <v>3</v>
      </c>
      <c r="E102" s="6" t="s">
        <v>14</v>
      </c>
      <c r="F102" s="6">
        <v>14</v>
      </c>
      <c r="G102" s="6">
        <v>4</v>
      </c>
      <c r="H102" s="6" t="s">
        <v>20</v>
      </c>
      <c r="I102" s="6">
        <v>2</v>
      </c>
      <c r="J102" s="14">
        <v>17.650596470389836</v>
      </c>
      <c r="K102" s="14">
        <f t="shared" si="37"/>
        <v>17.650596470389836</v>
      </c>
      <c r="L102" s="14">
        <v>108.22852052839411</v>
      </c>
      <c r="M102" s="14">
        <f t="shared" si="38"/>
        <v>1910.2979424339869</v>
      </c>
      <c r="N102" s="16">
        <v>0.32532581002540079</v>
      </c>
      <c r="O102" s="14">
        <f t="shared" si="39"/>
        <v>621.46922551219325</v>
      </c>
      <c r="P102" s="14">
        <f t="shared" si="40"/>
        <v>1288.8287169217938</v>
      </c>
      <c r="Q102" s="14">
        <v>24.368912729331658</v>
      </c>
      <c r="R102" s="14">
        <v>6.6554587892311279</v>
      </c>
      <c r="S102" s="14">
        <f t="shared" si="25"/>
        <v>12.987012987012987</v>
      </c>
      <c r="T102" s="14">
        <v>31.665727705091687</v>
      </c>
      <c r="U102" s="14">
        <f t="shared" si="41"/>
        <v>1337.2085597037908</v>
      </c>
      <c r="V102" s="14">
        <f t="shared" si="42"/>
        <v>75.759964369875874</v>
      </c>
      <c r="W102" s="14">
        <v>28.883381922180693</v>
      </c>
      <c r="X102" s="16">
        <f t="shared" si="43"/>
        <v>0.32165950620511868</v>
      </c>
      <c r="Y102" s="16">
        <f t="shared" si="48"/>
        <v>0.61109867666968887</v>
      </c>
      <c r="Z102" s="16">
        <f t="shared" si="44"/>
        <v>0.464751157179144</v>
      </c>
      <c r="AA102" s="16">
        <f t="shared" si="45"/>
        <v>0.23298052760711396</v>
      </c>
      <c r="AB102" s="16">
        <f t="shared" si="26"/>
        <v>6.7984227478493304E-3</v>
      </c>
      <c r="AC102" s="14">
        <f t="shared" si="49"/>
        <v>75.759964369875874</v>
      </c>
      <c r="AD102" s="16">
        <f t="shared" si="27"/>
        <v>6.1494500310433846E-2</v>
      </c>
      <c r="AE102" s="16">
        <f t="shared" si="28"/>
        <v>1.2756603139237146E-2</v>
      </c>
      <c r="AF102" s="23" t="str">
        <f t="shared" si="46"/>
        <v/>
      </c>
      <c r="AG102" s="23" t="str">
        <f t="shared" si="29"/>
        <v/>
      </c>
      <c r="AH102" s="23" t="str">
        <f t="shared" si="30"/>
        <v/>
      </c>
      <c r="AI102" s="23" t="str">
        <f t="shared" si="47"/>
        <v/>
      </c>
      <c r="AJ102" s="23" t="str">
        <f t="shared" si="31"/>
        <v/>
      </c>
      <c r="AK102" s="23" t="str">
        <f t="shared" si="32"/>
        <v/>
      </c>
      <c r="AL102" s="23" t="str">
        <f t="shared" si="33"/>
        <v/>
      </c>
      <c r="AM102" s="23">
        <f t="shared" si="34"/>
        <v>1000</v>
      </c>
      <c r="AN102" s="19">
        <f t="shared" si="35"/>
        <v>1000</v>
      </c>
      <c r="AO102" s="26">
        <f t="shared" si="36"/>
        <v>288.82871692179378</v>
      </c>
    </row>
    <row r="103" spans="1:41" x14ac:dyDescent="0.2">
      <c r="A103" s="12">
        <v>44657</v>
      </c>
      <c r="B103" s="6">
        <v>6</v>
      </c>
      <c r="C103" s="6">
        <v>96</v>
      </c>
      <c r="D103" s="6">
        <v>4</v>
      </c>
      <c r="E103" s="6" t="s">
        <v>15</v>
      </c>
      <c r="F103" s="6">
        <v>14</v>
      </c>
      <c r="G103" s="6">
        <v>4</v>
      </c>
      <c r="H103" s="6" t="s">
        <v>20</v>
      </c>
      <c r="I103" s="6">
        <v>2</v>
      </c>
      <c r="J103" s="14">
        <v>14.115119678837461</v>
      </c>
      <c r="K103" s="14">
        <f t="shared" si="37"/>
        <v>14.115119678837461</v>
      </c>
      <c r="L103" s="14">
        <v>36.609521740037309</v>
      </c>
      <c r="M103" s="14">
        <f t="shared" si="38"/>
        <v>516.74778074562846</v>
      </c>
      <c r="N103" s="16">
        <v>0.70897726600299582</v>
      </c>
      <c r="O103" s="14">
        <f t="shared" si="39"/>
        <v>366.36242880615117</v>
      </c>
      <c r="P103" s="14">
        <f t="shared" si="40"/>
        <v>150.38535193947729</v>
      </c>
      <c r="Q103" s="14">
        <v>42.548060962857896</v>
      </c>
      <c r="R103" s="14">
        <v>12.76728807049229</v>
      </c>
      <c r="S103" s="14">
        <f t="shared" si="25"/>
        <v>12.987012987012987</v>
      </c>
      <c r="T103" s="14">
        <v>30.035376853794453</v>
      </c>
      <c r="U103" s="14">
        <f t="shared" si="41"/>
        <v>361.72344652193988</v>
      </c>
      <c r="V103" s="14">
        <f t="shared" si="42"/>
        <v>25.626665218026112</v>
      </c>
      <c r="W103" s="14">
        <v>27.525273389027042</v>
      </c>
      <c r="X103" s="16">
        <f t="shared" si="43"/>
        <v>1.6603042417290044</v>
      </c>
      <c r="Y103" s="16">
        <f t="shared" si="48"/>
        <v>0.51280579412753291</v>
      </c>
      <c r="Z103" s="16">
        <f t="shared" si="44"/>
        <v>1.0128246657185656</v>
      </c>
      <c r="AA103" s="16">
        <f t="shared" si="45"/>
        <v>0.55079814555460427</v>
      </c>
      <c r="AB103" s="16">
        <f t="shared" si="26"/>
        <v>2.5132208537545525E-2</v>
      </c>
      <c r="AC103" s="14">
        <f t="shared" si="49"/>
        <v>25.626665218026112</v>
      </c>
      <c r="AD103" s="16">
        <f t="shared" si="27"/>
        <v>0.34874227970395982</v>
      </c>
      <c r="AE103" s="16">
        <f t="shared" si="28"/>
        <v>8.233815905597934E-2</v>
      </c>
      <c r="AF103" s="23" t="str">
        <f t="shared" si="46"/>
        <v/>
      </c>
      <c r="AG103" s="23" t="str">
        <f t="shared" si="29"/>
        <v/>
      </c>
      <c r="AH103" s="23" t="str">
        <f t="shared" si="30"/>
        <v/>
      </c>
      <c r="AI103" s="23" t="str">
        <f t="shared" si="47"/>
        <v/>
      </c>
      <c r="AJ103" s="23" t="str">
        <f t="shared" si="31"/>
        <v/>
      </c>
      <c r="AK103" s="23" t="str">
        <f t="shared" si="32"/>
        <v/>
      </c>
      <c r="AL103" s="23" t="str">
        <f t="shared" si="33"/>
        <v/>
      </c>
      <c r="AM103" s="23" t="str">
        <f t="shared" si="34"/>
        <v/>
      </c>
      <c r="AN103" s="19">
        <f t="shared" si="35"/>
        <v>0</v>
      </c>
      <c r="AO103" s="26">
        <f t="shared" si="36"/>
        <v>150.38535193947729</v>
      </c>
    </row>
    <row r="104" spans="1:41" x14ac:dyDescent="0.2">
      <c r="A104" s="12">
        <v>44658</v>
      </c>
      <c r="B104" s="6">
        <v>7</v>
      </c>
      <c r="C104" s="6">
        <v>97</v>
      </c>
      <c r="D104" s="6">
        <v>5</v>
      </c>
      <c r="E104" s="6" t="s">
        <v>16</v>
      </c>
      <c r="F104" s="6">
        <v>14</v>
      </c>
      <c r="G104" s="6">
        <v>4</v>
      </c>
      <c r="H104" s="6" t="s">
        <v>20</v>
      </c>
      <c r="I104" s="6">
        <v>2</v>
      </c>
      <c r="J104" s="14">
        <v>19.723834551617827</v>
      </c>
      <c r="K104" s="14">
        <f t="shared" si="37"/>
        <v>19.723834551617827</v>
      </c>
      <c r="L104" s="14">
        <v>70.82237083395529</v>
      </c>
      <c r="M104" s="14">
        <f t="shared" si="38"/>
        <v>1396.888724882258</v>
      </c>
      <c r="N104" s="16">
        <v>0.74914207568861513</v>
      </c>
      <c r="O104" s="14">
        <f t="shared" si="39"/>
        <v>1046.4681188643176</v>
      </c>
      <c r="P104" s="14">
        <f t="shared" si="40"/>
        <v>350.42060601794037</v>
      </c>
      <c r="Q104" s="14">
        <v>40.516345038606524</v>
      </c>
      <c r="R104" s="14">
        <v>11.820868135282756</v>
      </c>
      <c r="S104" s="14">
        <f t="shared" si="25"/>
        <v>12.987012987012987</v>
      </c>
      <c r="T104" s="14">
        <v>32.174231220848782</v>
      </c>
      <c r="U104" s="14">
        <f t="shared" si="41"/>
        <v>977.82210741758047</v>
      </c>
      <c r="V104" s="14">
        <f t="shared" si="42"/>
        <v>49.575659583768697</v>
      </c>
      <c r="W104" s="14">
        <v>25.290422673913906</v>
      </c>
      <c r="X104" s="16">
        <f t="shared" si="43"/>
        <v>0.81726285396456455</v>
      </c>
      <c r="Y104" s="16">
        <f t="shared" si="48"/>
        <v>0.77989343262191502</v>
      </c>
      <c r="Z104" s="16">
        <f t="shared" si="44"/>
        <v>1.0702029652694502</v>
      </c>
      <c r="AA104" s="16">
        <f t="shared" si="45"/>
        <v>0.39785319483828918</v>
      </c>
      <c r="AB104" s="16">
        <f t="shared" si="26"/>
        <v>9.2970991573488766E-3</v>
      </c>
      <c r="AC104" s="14">
        <f t="shared" si="49"/>
        <v>49.575659583768697</v>
      </c>
      <c r="AD104" s="16">
        <f t="shared" si="27"/>
        <v>0.16690867583347441</v>
      </c>
      <c r="AE104" s="16">
        <f t="shared" si="28"/>
        <v>2.9004704753430949E-2</v>
      </c>
      <c r="AF104" s="23" t="str">
        <f t="shared" si="46"/>
        <v/>
      </c>
      <c r="AG104" s="23" t="str">
        <f t="shared" si="29"/>
        <v/>
      </c>
      <c r="AH104" s="23" t="str">
        <f t="shared" si="30"/>
        <v/>
      </c>
      <c r="AI104" s="23" t="str">
        <f t="shared" si="47"/>
        <v/>
      </c>
      <c r="AJ104" s="23" t="str">
        <f t="shared" si="31"/>
        <v/>
      </c>
      <c r="AK104" s="23" t="str">
        <f t="shared" si="32"/>
        <v/>
      </c>
      <c r="AL104" s="23" t="str">
        <f t="shared" si="33"/>
        <v/>
      </c>
      <c r="AM104" s="23" t="str">
        <f t="shared" si="34"/>
        <v/>
      </c>
      <c r="AN104" s="19">
        <f t="shared" si="35"/>
        <v>0</v>
      </c>
      <c r="AO104" s="26">
        <f t="shared" si="36"/>
        <v>350.42060601794037</v>
      </c>
    </row>
    <row r="105" spans="1:41" x14ac:dyDescent="0.2">
      <c r="A105" s="12">
        <v>44659</v>
      </c>
      <c r="B105" s="6">
        <v>8</v>
      </c>
      <c r="C105" s="6">
        <v>98</v>
      </c>
      <c r="D105" s="6">
        <v>6</v>
      </c>
      <c r="E105" s="6" t="s">
        <v>17</v>
      </c>
      <c r="F105" s="6">
        <v>14</v>
      </c>
      <c r="G105" s="6">
        <v>4</v>
      </c>
      <c r="H105" s="6" t="s">
        <v>20</v>
      </c>
      <c r="I105" s="6">
        <v>2</v>
      </c>
      <c r="J105" s="14">
        <v>25.907810103172306</v>
      </c>
      <c r="K105" s="14">
        <f t="shared" si="37"/>
        <v>25.907810103172306</v>
      </c>
      <c r="L105" s="14">
        <v>70.941605023892592</v>
      </c>
      <c r="M105" s="14">
        <f t="shared" si="38"/>
        <v>1837.9416313732636</v>
      </c>
      <c r="N105" s="16">
        <v>0.42738767718128562</v>
      </c>
      <c r="O105" s="14">
        <f t="shared" si="39"/>
        <v>785.51360462740183</v>
      </c>
      <c r="P105" s="14">
        <f t="shared" si="40"/>
        <v>1052.4280267458616</v>
      </c>
      <c r="Q105" s="14">
        <v>33.251620518193171</v>
      </c>
      <c r="R105" s="14">
        <v>12.547860232595646</v>
      </c>
      <c r="S105" s="14">
        <f t="shared" si="25"/>
        <v>12.987012987012987</v>
      </c>
      <c r="T105" s="14">
        <v>33.203603364126636</v>
      </c>
      <c r="U105" s="14">
        <f t="shared" si="41"/>
        <v>1286.5591419612845</v>
      </c>
      <c r="V105" s="14">
        <f t="shared" si="42"/>
        <v>49.659123516724812</v>
      </c>
      <c r="W105" s="14">
        <v>29.95962027291052</v>
      </c>
      <c r="X105" s="16">
        <f t="shared" si="43"/>
        <v>0.66959741057439892</v>
      </c>
      <c r="Y105" s="16">
        <f t="shared" si="48"/>
        <v>0.86475762600362927</v>
      </c>
      <c r="Z105" s="16">
        <f t="shared" si="44"/>
        <v>0.61055382454469376</v>
      </c>
      <c r="AA105" s="16">
        <f t="shared" si="45"/>
        <v>0.52171299588980369</v>
      </c>
      <c r="AB105" s="16">
        <f t="shared" si="26"/>
        <v>7.0660638865388875E-3</v>
      </c>
      <c r="AC105" s="14">
        <f t="shared" si="49"/>
        <v>49.659123516724812</v>
      </c>
      <c r="AD105" s="16">
        <f t="shared" si="27"/>
        <v>0.17687589995137018</v>
      </c>
      <c r="AE105" s="16">
        <f t="shared" si="28"/>
        <v>1.8091771768262519E-2</v>
      </c>
      <c r="AF105" s="23" t="str">
        <f t="shared" si="46"/>
        <v/>
      </c>
      <c r="AG105" s="23" t="str">
        <f t="shared" si="29"/>
        <v/>
      </c>
      <c r="AH105" s="23" t="str">
        <f t="shared" si="30"/>
        <v/>
      </c>
      <c r="AI105" s="23" t="str">
        <f t="shared" si="47"/>
        <v/>
      </c>
      <c r="AJ105" s="23" t="str">
        <f t="shared" si="31"/>
        <v/>
      </c>
      <c r="AK105" s="23" t="str">
        <f t="shared" si="32"/>
        <v/>
      </c>
      <c r="AL105" s="23" t="str">
        <f t="shared" si="33"/>
        <v/>
      </c>
      <c r="AM105" s="23" t="str">
        <f t="shared" si="34"/>
        <v/>
      </c>
      <c r="AN105" s="19">
        <f t="shared" si="35"/>
        <v>0</v>
      </c>
      <c r="AO105" s="26">
        <f t="shared" si="36"/>
        <v>1052.4280267458616</v>
      </c>
    </row>
    <row r="106" spans="1:41" x14ac:dyDescent="0.2">
      <c r="A106" s="12">
        <v>44660</v>
      </c>
      <c r="B106" s="6">
        <v>9</v>
      </c>
      <c r="C106" s="6">
        <v>99</v>
      </c>
      <c r="D106" s="6">
        <v>7</v>
      </c>
      <c r="E106" s="6" t="s">
        <v>10</v>
      </c>
      <c r="F106" s="6">
        <v>14</v>
      </c>
      <c r="G106" s="6">
        <v>4</v>
      </c>
      <c r="H106" s="6" t="s">
        <v>20</v>
      </c>
      <c r="I106" s="6">
        <v>2</v>
      </c>
      <c r="J106" s="14">
        <v>13.203030931682287</v>
      </c>
      <c r="K106" s="14">
        <f t="shared" si="37"/>
        <v>13.203030931682287</v>
      </c>
      <c r="L106" s="14">
        <v>22.839353421375847</v>
      </c>
      <c r="M106" s="14">
        <f t="shared" si="38"/>
        <v>301.54868968204897</v>
      </c>
      <c r="N106" s="16">
        <v>0.75663127900592009</v>
      </c>
      <c r="O106" s="14">
        <f t="shared" si="39"/>
        <v>228.16117075668802</v>
      </c>
      <c r="P106" s="14">
        <f t="shared" si="40"/>
        <v>73.387518925360951</v>
      </c>
      <c r="Q106" s="14">
        <v>34.800195317831736</v>
      </c>
      <c r="R106" s="14">
        <v>10.001852903304581</v>
      </c>
      <c r="S106" s="14">
        <f t="shared" si="25"/>
        <v>12.987012987012987</v>
      </c>
      <c r="T106" s="14">
        <v>32.736147368843966</v>
      </c>
      <c r="U106" s="14">
        <f t="shared" si="41"/>
        <v>211.08408277743428</v>
      </c>
      <c r="V106" s="14">
        <f t="shared" si="42"/>
        <v>15.987547394963093</v>
      </c>
      <c r="W106" s="14">
        <v>36.322279634542198</v>
      </c>
      <c r="X106" s="16">
        <f t="shared" si="43"/>
        <v>2.1767063113630303</v>
      </c>
      <c r="Y106" s="16">
        <f t="shared" si="48"/>
        <v>0.36349675913860618</v>
      </c>
      <c r="Z106" s="16">
        <f t="shared" si="44"/>
        <v>1.0809018271513144</v>
      </c>
      <c r="AA106" s="16">
        <f t="shared" si="45"/>
        <v>0.82583216834384032</v>
      </c>
      <c r="AB106" s="16">
        <f t="shared" si="26"/>
        <v>4.3067714871208397E-2</v>
      </c>
      <c r="AC106" s="14">
        <f t="shared" si="49"/>
        <v>15.987547394963093</v>
      </c>
      <c r="AD106" s="16">
        <f t="shared" si="27"/>
        <v>0.43792189379335184</v>
      </c>
      <c r="AE106" s="16">
        <f t="shared" si="28"/>
        <v>0.11540489648462689</v>
      </c>
      <c r="AF106" s="23" t="str">
        <f t="shared" si="46"/>
        <v/>
      </c>
      <c r="AG106" s="23" t="str">
        <f t="shared" si="29"/>
        <v/>
      </c>
      <c r="AH106" s="23" t="str">
        <f t="shared" si="30"/>
        <v/>
      </c>
      <c r="AI106" s="23" t="str">
        <f t="shared" si="47"/>
        <v/>
      </c>
      <c r="AJ106" s="23" t="str">
        <f t="shared" si="31"/>
        <v/>
      </c>
      <c r="AK106" s="23" t="str">
        <f t="shared" si="32"/>
        <v/>
      </c>
      <c r="AL106" s="23" t="str">
        <f t="shared" si="33"/>
        <v/>
      </c>
      <c r="AM106" s="23" t="str">
        <f t="shared" si="34"/>
        <v/>
      </c>
      <c r="AN106" s="19">
        <f t="shared" si="35"/>
        <v>0</v>
      </c>
      <c r="AO106" s="26">
        <f t="shared" si="36"/>
        <v>73.387518925360951</v>
      </c>
    </row>
    <row r="107" spans="1:41" x14ac:dyDescent="0.2">
      <c r="A107" s="12">
        <v>44661</v>
      </c>
      <c r="B107" s="6">
        <v>10</v>
      </c>
      <c r="C107" s="6">
        <v>100</v>
      </c>
      <c r="D107" s="6">
        <v>1</v>
      </c>
      <c r="E107" s="6" t="s">
        <v>12</v>
      </c>
      <c r="F107" s="6">
        <v>15</v>
      </c>
      <c r="G107" s="6">
        <v>4</v>
      </c>
      <c r="H107" s="6" t="s">
        <v>20</v>
      </c>
      <c r="I107" s="6">
        <v>2</v>
      </c>
      <c r="J107" s="14">
        <v>8.926963800037198</v>
      </c>
      <c r="K107" s="14">
        <f t="shared" si="37"/>
        <v>8.926963800037198</v>
      </c>
      <c r="L107" s="14">
        <v>35.731028979831791</v>
      </c>
      <c r="M107" s="14">
        <f t="shared" si="38"/>
        <v>318.96960224103844</v>
      </c>
      <c r="N107" s="16">
        <v>0.2345069053735937</v>
      </c>
      <c r="O107" s="14">
        <f t="shared" si="39"/>
        <v>74.800574329792028</v>
      </c>
      <c r="P107" s="14">
        <f t="shared" si="40"/>
        <v>244.16902791124642</v>
      </c>
      <c r="Q107" s="14">
        <v>24.446507822359159</v>
      </c>
      <c r="R107" s="14">
        <v>8.5491147620660541</v>
      </c>
      <c r="S107" s="14">
        <f t="shared" si="25"/>
        <v>28.571428571428573</v>
      </c>
      <c r="T107" s="14">
        <v>22.614160665514163</v>
      </c>
      <c r="U107" s="14">
        <f t="shared" si="41"/>
        <v>223.27872156872689</v>
      </c>
      <c r="V107" s="14">
        <f t="shared" si="42"/>
        <v>25.011720285882252</v>
      </c>
      <c r="W107" s="14">
        <v>20.355140996668908</v>
      </c>
      <c r="X107" s="16">
        <f t="shared" si="43"/>
        <v>0.97740209561506552</v>
      </c>
      <c r="Y107" s="16">
        <f t="shared" si="48"/>
        <v>0.43856064674266243</v>
      </c>
      <c r="Z107" s="16">
        <f t="shared" si="44"/>
        <v>0.33500986481941963</v>
      </c>
      <c r="AA107" s="16">
        <f t="shared" si="45"/>
        <v>0.35691122793644792</v>
      </c>
      <c r="AB107" s="16">
        <f t="shared" si="26"/>
        <v>8.9574142396922699E-2</v>
      </c>
      <c r="AC107" s="14">
        <f t="shared" si="49"/>
        <v>25.011720285882252</v>
      </c>
      <c r="AD107" s="16">
        <f t="shared" si="27"/>
        <v>0.23926304408673932</v>
      </c>
      <c r="AE107" s="16">
        <f t="shared" si="28"/>
        <v>7.6642124047561933E-2</v>
      </c>
      <c r="AF107" s="23" t="str">
        <f t="shared" si="46"/>
        <v/>
      </c>
      <c r="AG107" s="23">
        <f t="shared" si="29"/>
        <v>1000</v>
      </c>
      <c r="AH107" s="23" t="str">
        <f t="shared" si="30"/>
        <v/>
      </c>
      <c r="AI107" s="23">
        <f t="shared" si="47"/>
        <v>300</v>
      </c>
      <c r="AJ107" s="23" t="str">
        <f t="shared" si="31"/>
        <v/>
      </c>
      <c r="AK107" s="23" t="str">
        <f t="shared" si="32"/>
        <v/>
      </c>
      <c r="AL107" s="23" t="str">
        <f t="shared" si="33"/>
        <v/>
      </c>
      <c r="AM107" s="23" t="str">
        <f t="shared" si="34"/>
        <v/>
      </c>
      <c r="AN107" s="19">
        <f t="shared" si="35"/>
        <v>1300</v>
      </c>
      <c r="AO107" s="26">
        <f t="shared" si="36"/>
        <v>-1055.8309720887537</v>
      </c>
    </row>
    <row r="108" spans="1:41" x14ac:dyDescent="0.2">
      <c r="A108" s="12">
        <v>44662</v>
      </c>
      <c r="B108" s="6">
        <v>11</v>
      </c>
      <c r="C108" s="6">
        <v>101</v>
      </c>
      <c r="D108" s="6">
        <v>2</v>
      </c>
      <c r="E108" s="6" t="s">
        <v>13</v>
      </c>
      <c r="F108" s="6">
        <v>15</v>
      </c>
      <c r="G108" s="6">
        <v>4</v>
      </c>
      <c r="H108" s="6" t="s">
        <v>20</v>
      </c>
      <c r="I108" s="6">
        <v>2</v>
      </c>
      <c r="J108" s="14">
        <v>18.548857017520294</v>
      </c>
      <c r="K108" s="14">
        <f t="shared" si="37"/>
        <v>18.548857017520294</v>
      </c>
      <c r="L108" s="14">
        <v>60.147813039794457</v>
      </c>
      <c r="M108" s="14">
        <f t="shared" si="38"/>
        <v>1115.6731839916902</v>
      </c>
      <c r="N108" s="16">
        <v>0.59981184539392762</v>
      </c>
      <c r="O108" s="14">
        <f t="shared" si="39"/>
        <v>669.19399134657465</v>
      </c>
      <c r="P108" s="14">
        <f t="shared" si="40"/>
        <v>446.47919264511552</v>
      </c>
      <c r="Q108" s="14">
        <v>38.429735439844805</v>
      </c>
      <c r="R108" s="14">
        <v>9.9047899808665463</v>
      </c>
      <c r="S108" s="14">
        <f t="shared" si="25"/>
        <v>12.987012987012987</v>
      </c>
      <c r="T108" s="14">
        <v>38.09514049364752</v>
      </c>
      <c r="U108" s="14">
        <f t="shared" si="41"/>
        <v>780.97122879418305</v>
      </c>
      <c r="V108" s="14">
        <f t="shared" si="42"/>
        <v>42.103469127856123</v>
      </c>
      <c r="W108" s="14">
        <v>50.783778563314499</v>
      </c>
      <c r="X108" s="16">
        <f t="shared" si="43"/>
        <v>0.9127451071346343</v>
      </c>
      <c r="Y108" s="16">
        <f t="shared" si="48"/>
        <v>0.3652516126659337</v>
      </c>
      <c r="Z108" s="16">
        <f t="shared" si="44"/>
        <v>0.85687406484846818</v>
      </c>
      <c r="AA108" s="16">
        <f t="shared" si="45"/>
        <v>0.44055412539030342</v>
      </c>
      <c r="AB108" s="16">
        <f t="shared" si="26"/>
        <v>1.1640517288896063E-2</v>
      </c>
      <c r="AC108" s="14">
        <f t="shared" si="49"/>
        <v>42.103469127856123</v>
      </c>
      <c r="AD108" s="16">
        <f t="shared" si="27"/>
        <v>0.16467414990322971</v>
      </c>
      <c r="AE108" s="16">
        <f t="shared" si="28"/>
        <v>3.4445333984231566E-2</v>
      </c>
      <c r="AF108" s="23" t="str">
        <f t="shared" si="46"/>
        <v/>
      </c>
      <c r="AG108" s="23" t="str">
        <f t="shared" si="29"/>
        <v/>
      </c>
      <c r="AH108" s="23" t="str">
        <f t="shared" si="30"/>
        <v/>
      </c>
      <c r="AI108" s="23" t="str">
        <f t="shared" si="47"/>
        <v/>
      </c>
      <c r="AJ108" s="23" t="str">
        <f t="shared" si="31"/>
        <v/>
      </c>
      <c r="AK108" s="23" t="str">
        <f t="shared" si="32"/>
        <v/>
      </c>
      <c r="AL108" s="23" t="str">
        <f t="shared" si="33"/>
        <v/>
      </c>
      <c r="AM108" s="23" t="str">
        <f t="shared" si="34"/>
        <v/>
      </c>
      <c r="AN108" s="19">
        <f t="shared" si="35"/>
        <v>0</v>
      </c>
      <c r="AO108" s="26">
        <f t="shared" si="36"/>
        <v>446.47919264511552</v>
      </c>
    </row>
    <row r="109" spans="1:41" x14ac:dyDescent="0.2">
      <c r="A109" s="12">
        <v>44663</v>
      </c>
      <c r="B109" s="6">
        <v>12</v>
      </c>
      <c r="C109" s="6">
        <v>102</v>
      </c>
      <c r="D109" s="6">
        <v>3</v>
      </c>
      <c r="E109" s="6" t="s">
        <v>14</v>
      </c>
      <c r="F109" s="6">
        <v>15</v>
      </c>
      <c r="G109" s="6">
        <v>4</v>
      </c>
      <c r="H109" s="6" t="s">
        <v>20</v>
      </c>
      <c r="I109" s="6">
        <v>2</v>
      </c>
      <c r="J109" s="14">
        <v>6.8044545199975621</v>
      </c>
      <c r="K109" s="14">
        <f t="shared" si="37"/>
        <v>6.8044545199975621</v>
      </c>
      <c r="L109" s="14">
        <v>64.096849502848869</v>
      </c>
      <c r="M109" s="14">
        <f t="shared" si="38"/>
        <v>436.14409731726346</v>
      </c>
      <c r="N109" s="16">
        <v>0.58449763636469254</v>
      </c>
      <c r="O109" s="14">
        <f t="shared" si="39"/>
        <v>254.92519399635293</v>
      </c>
      <c r="P109" s="14">
        <f t="shared" si="40"/>
        <v>181.21890332091053</v>
      </c>
      <c r="Q109" s="14">
        <v>40.685175215369917</v>
      </c>
      <c r="R109" s="14">
        <v>6.8562540582903786</v>
      </c>
      <c r="S109" s="14">
        <f t="shared" si="25"/>
        <v>12.987012987012987</v>
      </c>
      <c r="T109" s="14">
        <v>40.881653390167436</v>
      </c>
      <c r="U109" s="14">
        <f t="shared" si="41"/>
        <v>305.30086812208441</v>
      </c>
      <c r="V109" s="14">
        <f t="shared" si="42"/>
        <v>44.867794651994203</v>
      </c>
      <c r="W109" s="14">
        <v>36.7105467610834</v>
      </c>
      <c r="X109" s="16">
        <f t="shared" si="43"/>
        <v>0.90677902782907593</v>
      </c>
      <c r="Y109" s="16">
        <f t="shared" si="48"/>
        <v>0.18535421344393915</v>
      </c>
      <c r="Z109" s="16">
        <f t="shared" si="44"/>
        <v>0.83499662337813219</v>
      </c>
      <c r="AA109" s="16">
        <f t="shared" si="45"/>
        <v>0.15165564906353449</v>
      </c>
      <c r="AB109" s="16">
        <f t="shared" si="26"/>
        <v>2.9776885820297756E-2</v>
      </c>
      <c r="AC109" s="14">
        <f t="shared" si="49"/>
        <v>44.867794651994203</v>
      </c>
      <c r="AD109" s="16">
        <f t="shared" si="27"/>
        <v>0.10696709918614086</v>
      </c>
      <c r="AE109" s="16">
        <f t="shared" si="28"/>
        <v>9.3283791906449615E-2</v>
      </c>
      <c r="AF109" s="23" t="str">
        <f t="shared" si="46"/>
        <v/>
      </c>
      <c r="AG109" s="23" t="str">
        <f t="shared" si="29"/>
        <v/>
      </c>
      <c r="AH109" s="23" t="str">
        <f t="shared" si="30"/>
        <v/>
      </c>
      <c r="AI109" s="23" t="str">
        <f t="shared" si="47"/>
        <v/>
      </c>
      <c r="AJ109" s="23" t="str">
        <f t="shared" si="31"/>
        <v/>
      </c>
      <c r="AK109" s="23">
        <f t="shared" si="32"/>
        <v>480</v>
      </c>
      <c r="AL109" s="23" t="str">
        <f t="shared" si="33"/>
        <v/>
      </c>
      <c r="AM109" s="23" t="str">
        <f t="shared" si="34"/>
        <v/>
      </c>
      <c r="AN109" s="19">
        <f t="shared" si="35"/>
        <v>480</v>
      </c>
      <c r="AO109" s="26">
        <f t="shared" si="36"/>
        <v>-298.7810966790895</v>
      </c>
    </row>
    <row r="110" spans="1:41" x14ac:dyDescent="0.2">
      <c r="A110" s="12">
        <v>44664</v>
      </c>
      <c r="B110" s="6">
        <v>13</v>
      </c>
      <c r="C110" s="6">
        <v>103</v>
      </c>
      <c r="D110" s="6">
        <v>4</v>
      </c>
      <c r="E110" s="6" t="s">
        <v>15</v>
      </c>
      <c r="F110" s="6">
        <v>15</v>
      </c>
      <c r="G110" s="6">
        <v>4</v>
      </c>
      <c r="H110" s="6" t="s">
        <v>20</v>
      </c>
      <c r="I110" s="6">
        <v>2</v>
      </c>
      <c r="J110" s="14">
        <v>14.337530296352025</v>
      </c>
      <c r="K110" s="14">
        <f t="shared" si="37"/>
        <v>14.337530296352025</v>
      </c>
      <c r="L110" s="14">
        <v>64.24021105295185</v>
      </c>
      <c r="M110" s="14">
        <f t="shared" si="38"/>
        <v>921.04597221574534</v>
      </c>
      <c r="N110" s="16">
        <v>0.91636566461267899</v>
      </c>
      <c r="O110" s="14">
        <f t="shared" si="39"/>
        <v>844.01490446831258</v>
      </c>
      <c r="P110" s="14">
        <f t="shared" si="40"/>
        <v>77.031067747432758</v>
      </c>
      <c r="Q110" s="14">
        <v>55.203778455713703</v>
      </c>
      <c r="R110" s="14">
        <v>15.570292598872307</v>
      </c>
      <c r="S110" s="14">
        <f t="shared" si="25"/>
        <v>12.987012987012987</v>
      </c>
      <c r="T110" s="14">
        <v>43.711796871571984</v>
      </c>
      <c r="U110" s="14">
        <f t="shared" si="41"/>
        <v>644.73218055102166</v>
      </c>
      <c r="V110" s="14">
        <f t="shared" si="42"/>
        <v>44.968147737066289</v>
      </c>
      <c r="W110" s="14">
        <v>42.306575013561435</v>
      </c>
      <c r="X110" s="16">
        <f t="shared" si="43"/>
        <v>1.2276195759384236</v>
      </c>
      <c r="Y110" s="16">
        <f t="shared" si="48"/>
        <v>0.33889602955937959</v>
      </c>
      <c r="Z110" s="16">
        <f t="shared" si="44"/>
        <v>1.3090938065895417</v>
      </c>
      <c r="AA110" s="16">
        <f t="shared" si="45"/>
        <v>0.3188374664703813</v>
      </c>
      <c r="AB110" s="16">
        <f t="shared" si="26"/>
        <v>1.4100287476172705E-2</v>
      </c>
      <c r="AC110" s="14">
        <f t="shared" si="49"/>
        <v>44.968147737066289</v>
      </c>
      <c r="AD110" s="16">
        <f t="shared" si="27"/>
        <v>0.24237611215252769</v>
      </c>
      <c r="AE110" s="16">
        <f t="shared" si="28"/>
        <v>5.9935964241731463E-2</v>
      </c>
      <c r="AF110" s="23" t="str">
        <f t="shared" si="46"/>
        <v/>
      </c>
      <c r="AG110" s="23" t="str">
        <f t="shared" si="29"/>
        <v/>
      </c>
      <c r="AH110" s="23" t="str">
        <f t="shared" si="30"/>
        <v/>
      </c>
      <c r="AI110" s="23" t="str">
        <f t="shared" si="47"/>
        <v/>
      </c>
      <c r="AJ110" s="23" t="str">
        <f t="shared" si="31"/>
        <v/>
      </c>
      <c r="AK110" s="23" t="str">
        <f t="shared" si="32"/>
        <v/>
      </c>
      <c r="AL110" s="23" t="str">
        <f t="shared" si="33"/>
        <v/>
      </c>
      <c r="AM110" s="23" t="str">
        <f t="shared" si="34"/>
        <v/>
      </c>
      <c r="AN110" s="19">
        <f t="shared" si="35"/>
        <v>0</v>
      </c>
      <c r="AO110" s="26">
        <f t="shared" si="36"/>
        <v>77.031067747432758</v>
      </c>
    </row>
    <row r="111" spans="1:41" x14ac:dyDescent="0.2">
      <c r="A111" s="12">
        <v>44665</v>
      </c>
      <c r="B111" s="6">
        <v>14</v>
      </c>
      <c r="C111" s="6">
        <v>104</v>
      </c>
      <c r="D111" s="6">
        <v>5</v>
      </c>
      <c r="E111" s="6" t="s">
        <v>16</v>
      </c>
      <c r="F111" s="6">
        <v>15</v>
      </c>
      <c r="G111" s="6">
        <v>4</v>
      </c>
      <c r="H111" s="6" t="s">
        <v>20</v>
      </c>
      <c r="I111" s="6">
        <v>2</v>
      </c>
      <c r="J111" s="14">
        <v>24.463033674064604</v>
      </c>
      <c r="K111" s="14">
        <f t="shared" si="37"/>
        <v>24.463033674064604</v>
      </c>
      <c r="L111" s="14">
        <v>50.059561909477324</v>
      </c>
      <c r="M111" s="14">
        <f t="shared" si="38"/>
        <v>1224.6087487004656</v>
      </c>
      <c r="N111" s="16">
        <v>0.74265471551113227</v>
      </c>
      <c r="O111" s="14">
        <f t="shared" si="39"/>
        <v>909.46146187858801</v>
      </c>
      <c r="P111" s="14">
        <f t="shared" si="40"/>
        <v>315.14728682187763</v>
      </c>
      <c r="Q111" s="14">
        <v>51.742610932048109</v>
      </c>
      <c r="R111" s="14">
        <v>11.593313391574972</v>
      </c>
      <c r="S111" s="14">
        <f t="shared" si="25"/>
        <v>12.987012987012987</v>
      </c>
      <c r="T111" s="14">
        <v>37.929468224561141</v>
      </c>
      <c r="U111" s="14">
        <f t="shared" si="41"/>
        <v>857.22612409032592</v>
      </c>
      <c r="V111" s="14">
        <f t="shared" si="42"/>
        <v>35.041693336634125</v>
      </c>
      <c r="W111" s="14">
        <v>37.67652452400597</v>
      </c>
      <c r="X111" s="16">
        <f t="shared" si="43"/>
        <v>1.4766013284510457</v>
      </c>
      <c r="Y111" s="16">
        <f t="shared" si="48"/>
        <v>0.64929114304260582</v>
      </c>
      <c r="Z111" s="16">
        <f t="shared" si="44"/>
        <v>1.0609353078730461</v>
      </c>
      <c r="AA111" s="16">
        <f t="shared" si="45"/>
        <v>0.69811220134415919</v>
      </c>
      <c r="AB111" s="16">
        <f t="shared" si="26"/>
        <v>1.0605030382801518E-2</v>
      </c>
      <c r="AC111" s="14">
        <f t="shared" si="49"/>
        <v>35.041693336634125</v>
      </c>
      <c r="AD111" s="16">
        <f t="shared" si="27"/>
        <v>0.23159038851636682</v>
      </c>
      <c r="AE111" s="16">
        <f t="shared" si="28"/>
        <v>4.2252360998528311E-2</v>
      </c>
      <c r="AF111" s="23" t="str">
        <f t="shared" si="46"/>
        <v/>
      </c>
      <c r="AG111" s="23" t="str">
        <f t="shared" si="29"/>
        <v/>
      </c>
      <c r="AH111" s="23" t="str">
        <f t="shared" si="30"/>
        <v/>
      </c>
      <c r="AI111" s="23" t="str">
        <f t="shared" si="47"/>
        <v/>
      </c>
      <c r="AJ111" s="23" t="str">
        <f t="shared" si="31"/>
        <v/>
      </c>
      <c r="AK111" s="23" t="str">
        <f t="shared" si="32"/>
        <v/>
      </c>
      <c r="AL111" s="23" t="str">
        <f t="shared" si="33"/>
        <v/>
      </c>
      <c r="AM111" s="23" t="str">
        <f t="shared" si="34"/>
        <v/>
      </c>
      <c r="AN111" s="19">
        <f t="shared" si="35"/>
        <v>0</v>
      </c>
      <c r="AO111" s="26">
        <f t="shared" si="36"/>
        <v>315.14728682187763</v>
      </c>
    </row>
    <row r="112" spans="1:41" x14ac:dyDescent="0.2">
      <c r="A112" s="12">
        <v>44666</v>
      </c>
      <c r="B112" s="6">
        <v>15</v>
      </c>
      <c r="C112" s="6">
        <v>105</v>
      </c>
      <c r="D112" s="6">
        <v>6</v>
      </c>
      <c r="E112" s="6" t="s">
        <v>17</v>
      </c>
      <c r="F112" s="6">
        <v>15</v>
      </c>
      <c r="G112" s="6">
        <v>4</v>
      </c>
      <c r="H112" s="6" t="s">
        <v>20</v>
      </c>
      <c r="I112" s="6">
        <v>2</v>
      </c>
      <c r="J112" s="14">
        <v>2.6306686541323199</v>
      </c>
      <c r="K112" s="14">
        <f t="shared" si="37"/>
        <v>2.6306686541323199</v>
      </c>
      <c r="L112" s="14">
        <v>61.07028903383862</v>
      </c>
      <c r="M112" s="14">
        <f t="shared" si="38"/>
        <v>160.65569506012002</v>
      </c>
      <c r="N112" s="16">
        <v>0.59264771203440059</v>
      </c>
      <c r="O112" s="14">
        <f t="shared" si="39"/>
        <v>95.212230102676486</v>
      </c>
      <c r="P112" s="14">
        <f t="shared" si="40"/>
        <v>65.443464957443538</v>
      </c>
      <c r="Q112" s="14">
        <v>35.867077828891112</v>
      </c>
      <c r="R112" s="14">
        <v>17.310908807586014</v>
      </c>
      <c r="S112" s="14">
        <f t="shared" si="25"/>
        <v>12.987012987012987</v>
      </c>
      <c r="T112" s="14">
        <v>44.084093627753717</v>
      </c>
      <c r="U112" s="14">
        <f t="shared" si="41"/>
        <v>112.45898654208401</v>
      </c>
      <c r="V112" s="14">
        <f t="shared" si="42"/>
        <v>42.74920232368703</v>
      </c>
      <c r="W112" s="14">
        <v>40.611317283970351</v>
      </c>
      <c r="X112" s="16">
        <f t="shared" si="43"/>
        <v>0.83901162780334315</v>
      </c>
      <c r="Y112" s="16">
        <f t="shared" si="48"/>
        <v>6.4776737866877029E-2</v>
      </c>
      <c r="Z112" s="16">
        <f t="shared" si="44"/>
        <v>0.84663958862057231</v>
      </c>
      <c r="AA112" s="16">
        <f t="shared" si="45"/>
        <v>6.1537257098120988E-2</v>
      </c>
      <c r="AB112" s="16">
        <f t="shared" si="26"/>
        <v>8.0837551274811834E-2</v>
      </c>
      <c r="AC112" s="14">
        <f t="shared" si="49"/>
        <v>42.74920232368703</v>
      </c>
      <c r="AD112" s="16">
        <f t="shared" si="27"/>
        <v>0.2834587666351826</v>
      </c>
      <c r="AE112" s="16">
        <f t="shared" si="28"/>
        <v>0.22325431921644021</v>
      </c>
      <c r="AF112" s="23" t="str">
        <f t="shared" si="46"/>
        <v/>
      </c>
      <c r="AG112" s="23" t="str">
        <f t="shared" si="29"/>
        <v/>
      </c>
      <c r="AH112" s="23">
        <f t="shared" si="30"/>
        <v>300</v>
      </c>
      <c r="AI112" s="23" t="str">
        <f t="shared" si="47"/>
        <v/>
      </c>
      <c r="AJ112" s="23" t="str">
        <f t="shared" si="31"/>
        <v/>
      </c>
      <c r="AK112" s="23" t="str">
        <f t="shared" si="32"/>
        <v/>
      </c>
      <c r="AL112" s="23" t="str">
        <f t="shared" si="33"/>
        <v/>
      </c>
      <c r="AM112" s="23" t="str">
        <f t="shared" si="34"/>
        <v/>
      </c>
      <c r="AN112" s="19">
        <f t="shared" si="35"/>
        <v>300</v>
      </c>
      <c r="AO112" s="26">
        <f t="shared" si="36"/>
        <v>-234.55653504255645</v>
      </c>
    </row>
    <row r="113" spans="1:41" x14ac:dyDescent="0.2">
      <c r="A113" s="12">
        <v>44667</v>
      </c>
      <c r="B113" s="6">
        <v>16</v>
      </c>
      <c r="C113" s="6">
        <v>106</v>
      </c>
      <c r="D113" s="6">
        <v>7</v>
      </c>
      <c r="E113" s="6" t="s">
        <v>10</v>
      </c>
      <c r="F113" s="6">
        <v>15</v>
      </c>
      <c r="G113" s="6">
        <v>4</v>
      </c>
      <c r="H113" s="6" t="s">
        <v>20</v>
      </c>
      <c r="I113" s="6">
        <v>2</v>
      </c>
      <c r="J113" s="14">
        <v>24.447642321557815</v>
      </c>
      <c r="K113" s="14">
        <f t="shared" si="37"/>
        <v>24.447642321557815</v>
      </c>
      <c r="L113" s="14">
        <v>61.785742269249049</v>
      </c>
      <c r="M113" s="14">
        <f t="shared" si="38"/>
        <v>1510.5157275705567</v>
      </c>
      <c r="N113" s="16">
        <v>0.83595717044676954</v>
      </c>
      <c r="O113" s="14">
        <f t="shared" si="39"/>
        <v>1262.726453535226</v>
      </c>
      <c r="P113" s="14">
        <f t="shared" si="40"/>
        <v>247.78927403533066</v>
      </c>
      <c r="Q113" s="14">
        <v>45.301624729698318</v>
      </c>
      <c r="R113" s="14">
        <v>10.863452150124216</v>
      </c>
      <c r="S113" s="14">
        <f t="shared" si="25"/>
        <v>12.987012987012987</v>
      </c>
      <c r="T113" s="14">
        <v>43.903940852554449</v>
      </c>
      <c r="U113" s="14">
        <f t="shared" si="41"/>
        <v>1057.3610092993897</v>
      </c>
      <c r="V113" s="14">
        <f t="shared" si="42"/>
        <v>43.250019588474338</v>
      </c>
      <c r="W113" s="14">
        <v>45.587902043233719</v>
      </c>
      <c r="X113" s="16">
        <f t="shared" si="43"/>
        <v>1.0474359355381822</v>
      </c>
      <c r="Y113" s="16">
        <f t="shared" si="48"/>
        <v>0.53627478400678896</v>
      </c>
      <c r="Z113" s="16">
        <f t="shared" si="44"/>
        <v>1.1942245292096707</v>
      </c>
      <c r="AA113" s="16">
        <f t="shared" si="45"/>
        <v>0.56526315026393303</v>
      </c>
      <c r="AB113" s="16">
        <f t="shared" si="26"/>
        <v>8.5977343697709752E-3</v>
      </c>
      <c r="AC113" s="14">
        <f t="shared" si="49"/>
        <v>43.250019588474338</v>
      </c>
      <c r="AD113" s="16">
        <f t="shared" si="27"/>
        <v>0.1758245794439697</v>
      </c>
      <c r="AE113" s="16">
        <f t="shared" si="28"/>
        <v>2.9990832867764539E-2</v>
      </c>
      <c r="AF113" s="23" t="str">
        <f t="shared" si="46"/>
        <v/>
      </c>
      <c r="AG113" s="23" t="str">
        <f t="shared" si="29"/>
        <v/>
      </c>
      <c r="AH113" s="23" t="str">
        <f t="shared" si="30"/>
        <v/>
      </c>
      <c r="AI113" s="23" t="str">
        <f t="shared" si="47"/>
        <v/>
      </c>
      <c r="AJ113" s="23" t="str">
        <f t="shared" si="31"/>
        <v/>
      </c>
      <c r="AK113" s="23" t="str">
        <f t="shared" si="32"/>
        <v/>
      </c>
      <c r="AL113" s="23" t="str">
        <f t="shared" si="33"/>
        <v/>
      </c>
      <c r="AM113" s="23" t="str">
        <f t="shared" si="34"/>
        <v/>
      </c>
      <c r="AN113" s="19">
        <f t="shared" si="35"/>
        <v>0</v>
      </c>
      <c r="AO113" s="26">
        <f t="shared" si="36"/>
        <v>247.78927403533066</v>
      </c>
    </row>
    <row r="114" spans="1:41" x14ac:dyDescent="0.2">
      <c r="A114" s="12">
        <v>44668</v>
      </c>
      <c r="B114" s="6">
        <v>17</v>
      </c>
      <c r="C114" s="6">
        <v>107</v>
      </c>
      <c r="D114" s="6">
        <v>1</v>
      </c>
      <c r="E114" s="6" t="s">
        <v>12</v>
      </c>
      <c r="F114" s="6">
        <v>16</v>
      </c>
      <c r="G114" s="6">
        <v>4</v>
      </c>
      <c r="H114" s="6" t="s">
        <v>20</v>
      </c>
      <c r="I114" s="6">
        <v>2</v>
      </c>
      <c r="J114" s="14">
        <v>8.2401495843252768</v>
      </c>
      <c r="K114" s="14">
        <f t="shared" si="37"/>
        <v>8.2401495843252768</v>
      </c>
      <c r="L114" s="14">
        <v>41.79296279832927</v>
      </c>
      <c r="M114" s="14">
        <f t="shared" si="38"/>
        <v>344.38026503037469</v>
      </c>
      <c r="N114" s="16">
        <v>0.33395706333127373</v>
      </c>
      <c r="O114" s="14">
        <f t="shared" si="39"/>
        <v>115.00822197878968</v>
      </c>
      <c r="P114" s="14">
        <f t="shared" si="40"/>
        <v>229.37204305158502</v>
      </c>
      <c r="Q114" s="14">
        <v>27.229281232803363</v>
      </c>
      <c r="R114" s="14">
        <v>14.131270766253017</v>
      </c>
      <c r="S114" s="14">
        <f t="shared" si="25"/>
        <v>28.571428571428573</v>
      </c>
      <c r="T114" s="14">
        <v>25.628934331644309</v>
      </c>
      <c r="U114" s="14">
        <f t="shared" si="41"/>
        <v>241.06618552126227</v>
      </c>
      <c r="V114" s="14">
        <f t="shared" si="42"/>
        <v>29.255073958830486</v>
      </c>
      <c r="W114" s="14">
        <v>26.519117298248538</v>
      </c>
      <c r="X114" s="16">
        <f t="shared" si="43"/>
        <v>0.9307541410123269</v>
      </c>
      <c r="Y114" s="16">
        <f t="shared" si="48"/>
        <v>0.31072488166374601</v>
      </c>
      <c r="Z114" s="16">
        <f t="shared" si="44"/>
        <v>0.47708151904467683</v>
      </c>
      <c r="AA114" s="16">
        <f t="shared" si="45"/>
        <v>0.28166565553453443</v>
      </c>
      <c r="AB114" s="16">
        <f t="shared" si="26"/>
        <v>8.2964767359443622E-2</v>
      </c>
      <c r="AC114" s="14">
        <f t="shared" si="49"/>
        <v>29.255073958830486</v>
      </c>
      <c r="AD114" s="16">
        <f t="shared" si="27"/>
        <v>0.3381256034525012</v>
      </c>
      <c r="AE114" s="16">
        <f t="shared" si="28"/>
        <v>7.9067484399553828E-2</v>
      </c>
      <c r="AF114" s="23" t="str">
        <f t="shared" si="46"/>
        <v/>
      </c>
      <c r="AG114" s="23">
        <f t="shared" si="29"/>
        <v>1000</v>
      </c>
      <c r="AH114" s="23" t="str">
        <f t="shared" si="30"/>
        <v/>
      </c>
      <c r="AI114" s="23" t="str">
        <f t="shared" si="47"/>
        <v/>
      </c>
      <c r="AJ114" s="23" t="str">
        <f t="shared" si="31"/>
        <v/>
      </c>
      <c r="AK114" s="23" t="str">
        <f t="shared" si="32"/>
        <v/>
      </c>
      <c r="AL114" s="23" t="str">
        <f t="shared" si="33"/>
        <v/>
      </c>
      <c r="AM114" s="23" t="str">
        <f t="shared" si="34"/>
        <v/>
      </c>
      <c r="AN114" s="19">
        <f t="shared" si="35"/>
        <v>1000</v>
      </c>
      <c r="AO114" s="26">
        <f t="shared" si="36"/>
        <v>-770.62795694841498</v>
      </c>
    </row>
    <row r="115" spans="1:41" x14ac:dyDescent="0.2">
      <c r="A115" s="12">
        <v>44669</v>
      </c>
      <c r="B115" s="6">
        <v>18</v>
      </c>
      <c r="C115" s="6">
        <v>108</v>
      </c>
      <c r="D115" s="6">
        <v>2</v>
      </c>
      <c r="E115" s="6" t="s">
        <v>13</v>
      </c>
      <c r="F115" s="6">
        <v>16</v>
      </c>
      <c r="G115" s="6">
        <v>4</v>
      </c>
      <c r="H115" s="6" t="s">
        <v>20</v>
      </c>
      <c r="I115" s="6">
        <v>2</v>
      </c>
      <c r="J115" s="14">
        <v>0.16906770131868543</v>
      </c>
      <c r="K115" s="14">
        <f t="shared" si="37"/>
        <v>0.16906770131868543</v>
      </c>
      <c r="L115" s="14">
        <v>57.693264235702287</v>
      </c>
      <c r="M115" s="14">
        <f t="shared" si="38"/>
        <v>9.7540675659017104</v>
      </c>
      <c r="N115" s="16">
        <v>0.76625690700154003</v>
      </c>
      <c r="O115" s="14">
        <f t="shared" si="39"/>
        <v>7.4741216437318849</v>
      </c>
      <c r="P115" s="14">
        <f t="shared" si="40"/>
        <v>2.2799459221698255</v>
      </c>
      <c r="Q115" s="14">
        <v>66.808851293013163</v>
      </c>
      <c r="R115" s="14">
        <v>27.653432109795993</v>
      </c>
      <c r="S115" s="14">
        <f t="shared" si="25"/>
        <v>12.987012987012987</v>
      </c>
      <c r="T115" s="14">
        <v>62.832884709561874</v>
      </c>
      <c r="U115" s="14">
        <f t="shared" si="41"/>
        <v>6.8278472961311971</v>
      </c>
      <c r="V115" s="14">
        <f t="shared" si="42"/>
        <v>40.385284964991598</v>
      </c>
      <c r="W115" s="14">
        <v>44.066286366893479</v>
      </c>
      <c r="X115" s="16">
        <f t="shared" si="43"/>
        <v>1.6542869847501906</v>
      </c>
      <c r="Y115" s="16">
        <f t="shared" si="48"/>
        <v>3.8366677852323893E-3</v>
      </c>
      <c r="Z115" s="16">
        <f t="shared" si="44"/>
        <v>1.0946527242879143</v>
      </c>
      <c r="AA115" s="16">
        <f t="shared" si="45"/>
        <v>4.1863689080129931E-3</v>
      </c>
      <c r="AB115" s="16">
        <f t="shared" si="26"/>
        <v>1.3314458710961787</v>
      </c>
      <c r="AC115" s="14">
        <f t="shared" si="49"/>
        <v>40.385284964991598</v>
      </c>
      <c r="AD115" s="16">
        <f t="shared" si="27"/>
        <v>0.4793182094329001</v>
      </c>
      <c r="AE115" s="16">
        <f t="shared" si="28"/>
        <v>6.8493324289205955</v>
      </c>
      <c r="AF115" s="23" t="str">
        <f t="shared" si="46"/>
        <v/>
      </c>
      <c r="AG115" s="23" t="str">
        <f t="shared" si="29"/>
        <v/>
      </c>
      <c r="AH115" s="23" t="str">
        <f t="shared" si="30"/>
        <v/>
      </c>
      <c r="AI115" s="23" t="str">
        <f t="shared" si="47"/>
        <v/>
      </c>
      <c r="AJ115" s="23" t="str">
        <f t="shared" si="31"/>
        <v/>
      </c>
      <c r="AK115" s="23" t="str">
        <f t="shared" si="32"/>
        <v/>
      </c>
      <c r="AL115" s="23" t="str">
        <f t="shared" si="33"/>
        <v/>
      </c>
      <c r="AM115" s="23" t="str">
        <f t="shared" si="34"/>
        <v/>
      </c>
      <c r="AN115" s="19">
        <f t="shared" si="35"/>
        <v>0</v>
      </c>
      <c r="AO115" s="26">
        <f t="shared" si="36"/>
        <v>2.2799459221698255</v>
      </c>
    </row>
    <row r="116" spans="1:41" x14ac:dyDescent="0.2">
      <c r="A116" s="12">
        <v>44670</v>
      </c>
      <c r="B116" s="6">
        <v>19</v>
      </c>
      <c r="C116" s="6">
        <v>109</v>
      </c>
      <c r="D116" s="6">
        <v>3</v>
      </c>
      <c r="E116" s="6" t="s">
        <v>14</v>
      </c>
      <c r="F116" s="6">
        <v>16</v>
      </c>
      <c r="G116" s="6">
        <v>4</v>
      </c>
      <c r="H116" s="6" t="s">
        <v>20</v>
      </c>
      <c r="I116" s="6">
        <v>2</v>
      </c>
      <c r="J116" s="14">
        <v>13.740251147763859</v>
      </c>
      <c r="K116" s="14">
        <f t="shared" si="37"/>
        <v>13.740251147763859</v>
      </c>
      <c r="L116" s="14">
        <v>127.65558294379504</v>
      </c>
      <c r="M116" s="14">
        <f t="shared" si="38"/>
        <v>1754.0197700619442</v>
      </c>
      <c r="N116" s="16">
        <v>1.0182977928352266</v>
      </c>
      <c r="O116" s="14">
        <f t="shared" si="39"/>
        <v>1786.1144604434294</v>
      </c>
      <c r="P116" s="14">
        <f t="shared" si="40"/>
        <v>-32.094690381485179</v>
      </c>
      <c r="Q116" s="14">
        <v>54.534353105483405</v>
      </c>
      <c r="R116" s="14">
        <v>21.127123566380423</v>
      </c>
      <c r="S116" s="14">
        <f t="shared" si="25"/>
        <v>12.987012987012987</v>
      </c>
      <c r="T116" s="14">
        <v>61.652364746054388</v>
      </c>
      <c r="U116" s="14">
        <f t="shared" si="41"/>
        <v>1227.8138390433608</v>
      </c>
      <c r="V116" s="14">
        <f t="shared" si="42"/>
        <v>89.358908060656518</v>
      </c>
      <c r="W116" s="14">
        <v>51.060308233375345</v>
      </c>
      <c r="X116" s="16">
        <f t="shared" si="43"/>
        <v>0.61028446171774697</v>
      </c>
      <c r="Y116" s="16">
        <f t="shared" si="48"/>
        <v>0.2690984763539403</v>
      </c>
      <c r="Z116" s="16">
        <f t="shared" si="44"/>
        <v>1.4547111326217523</v>
      </c>
      <c r="AA116" s="16">
        <f t="shared" si="45"/>
        <v>0.15376476107381509</v>
      </c>
      <c r="AB116" s="16">
        <f t="shared" si="26"/>
        <v>7.4041428772232956E-3</v>
      </c>
      <c r="AC116" s="14">
        <f t="shared" si="49"/>
        <v>89.358908060656518</v>
      </c>
      <c r="AD116" s="16">
        <f t="shared" si="27"/>
        <v>0.1655009759791109</v>
      </c>
      <c r="AE116" s="16">
        <f t="shared" si="28"/>
        <v>3.1091070942465771E-2</v>
      </c>
      <c r="AF116" s="23" t="str">
        <f t="shared" si="46"/>
        <v/>
      </c>
      <c r="AG116" s="23" t="str">
        <f t="shared" si="29"/>
        <v/>
      </c>
      <c r="AH116" s="23" t="str">
        <f t="shared" si="30"/>
        <v/>
      </c>
      <c r="AI116" s="23" t="str">
        <f t="shared" si="47"/>
        <v/>
      </c>
      <c r="AJ116" s="23" t="str">
        <f t="shared" si="31"/>
        <v/>
      </c>
      <c r="AK116" s="23" t="str">
        <f t="shared" si="32"/>
        <v/>
      </c>
      <c r="AL116" s="23" t="str">
        <f t="shared" si="33"/>
        <v/>
      </c>
      <c r="AM116" s="23" t="str">
        <f t="shared" si="34"/>
        <v/>
      </c>
      <c r="AN116" s="19">
        <f t="shared" si="35"/>
        <v>0</v>
      </c>
      <c r="AO116" s="26">
        <f t="shared" si="36"/>
        <v>-32.094690381485179</v>
      </c>
    </row>
    <row r="117" spans="1:41" x14ac:dyDescent="0.2">
      <c r="A117" s="12">
        <v>44671</v>
      </c>
      <c r="B117" s="6">
        <v>20</v>
      </c>
      <c r="C117" s="6">
        <v>110</v>
      </c>
      <c r="D117" s="6">
        <v>4</v>
      </c>
      <c r="E117" s="6" t="s">
        <v>15</v>
      </c>
      <c r="F117" s="6">
        <v>16</v>
      </c>
      <c r="G117" s="6">
        <v>4</v>
      </c>
      <c r="H117" s="6" t="s">
        <v>20</v>
      </c>
      <c r="I117" s="6">
        <v>2</v>
      </c>
      <c r="J117" s="14">
        <v>21.52324233021638</v>
      </c>
      <c r="K117" s="14">
        <f t="shared" si="37"/>
        <v>21.52324233021638</v>
      </c>
      <c r="L117" s="14">
        <v>147.84232229148935</v>
      </c>
      <c r="M117" s="14">
        <f t="shared" si="38"/>
        <v>3182.0461293416765</v>
      </c>
      <c r="N117" s="16">
        <v>0.70303036205129099</v>
      </c>
      <c r="O117" s="14">
        <f t="shared" si="39"/>
        <v>2237.0750423749878</v>
      </c>
      <c r="P117" s="14">
        <f t="shared" si="40"/>
        <v>944.97108696668874</v>
      </c>
      <c r="Q117" s="14">
        <v>46.246575863713119</v>
      </c>
      <c r="R117" s="14">
        <v>11.377060117246597</v>
      </c>
      <c r="S117" s="14">
        <f t="shared" si="25"/>
        <v>12.987012987012987</v>
      </c>
      <c r="T117" s="14">
        <v>49.313812221768501</v>
      </c>
      <c r="U117" s="14">
        <f t="shared" si="41"/>
        <v>2227.4322905391732</v>
      </c>
      <c r="V117" s="14">
        <f t="shared" si="42"/>
        <v>103.48962560404253</v>
      </c>
      <c r="W117" s="14">
        <v>55.674222750267433</v>
      </c>
      <c r="X117" s="16">
        <f t="shared" si="43"/>
        <v>0.44687161243248935</v>
      </c>
      <c r="Y117" s="16">
        <f t="shared" si="48"/>
        <v>0.38659259648331584</v>
      </c>
      <c r="Z117" s="16">
        <f t="shared" si="44"/>
        <v>1.0043290886447016</v>
      </c>
      <c r="AA117" s="16">
        <f t="shared" si="45"/>
        <v>0.20797487868557557</v>
      </c>
      <c r="AB117" s="16">
        <f t="shared" si="26"/>
        <v>4.0813402631909136E-3</v>
      </c>
      <c r="AC117" s="14">
        <f t="shared" si="49"/>
        <v>103.48962560404253</v>
      </c>
      <c r="AD117" s="16">
        <f t="shared" si="27"/>
        <v>7.6954013850075498E-2</v>
      </c>
      <c r="AE117" s="16">
        <f t="shared" si="28"/>
        <v>1.4533596932260981E-2</v>
      </c>
      <c r="AF117" s="23" t="str">
        <f t="shared" si="46"/>
        <v/>
      </c>
      <c r="AG117" s="23" t="str">
        <f t="shared" si="29"/>
        <v/>
      </c>
      <c r="AH117" s="23" t="str">
        <f t="shared" si="30"/>
        <v/>
      </c>
      <c r="AI117" s="23" t="str">
        <f t="shared" si="47"/>
        <v/>
      </c>
      <c r="AJ117" s="23">
        <f t="shared" si="31"/>
        <v>100</v>
      </c>
      <c r="AK117" s="23" t="str">
        <f t="shared" si="32"/>
        <v/>
      </c>
      <c r="AL117" s="23" t="str">
        <f t="shared" si="33"/>
        <v/>
      </c>
      <c r="AM117" s="23" t="str">
        <f t="shared" si="34"/>
        <v/>
      </c>
      <c r="AN117" s="19">
        <f t="shared" si="35"/>
        <v>100</v>
      </c>
      <c r="AO117" s="26">
        <f t="shared" si="36"/>
        <v>844.97108696668874</v>
      </c>
    </row>
    <row r="118" spans="1:41" x14ac:dyDescent="0.2">
      <c r="A118" s="12">
        <v>44672</v>
      </c>
      <c r="B118" s="6">
        <v>21</v>
      </c>
      <c r="C118" s="6">
        <v>111</v>
      </c>
      <c r="D118" s="6">
        <v>5</v>
      </c>
      <c r="E118" s="6" t="s">
        <v>16</v>
      </c>
      <c r="F118" s="6">
        <v>16</v>
      </c>
      <c r="G118" s="6">
        <v>4</v>
      </c>
      <c r="H118" s="6" t="s">
        <v>20</v>
      </c>
      <c r="I118" s="6">
        <v>2</v>
      </c>
      <c r="J118" s="14">
        <v>20.924383404942819</v>
      </c>
      <c r="K118" s="14">
        <f t="shared" si="37"/>
        <v>20.924383404942819</v>
      </c>
      <c r="L118" s="14">
        <v>49.381558977145055</v>
      </c>
      <c r="M118" s="14">
        <f t="shared" si="38"/>
        <v>1033.2786731715792</v>
      </c>
      <c r="N118" s="16">
        <v>0.32888310044728958</v>
      </c>
      <c r="O118" s="14">
        <f t="shared" si="39"/>
        <v>339.82789365873055</v>
      </c>
      <c r="P118" s="14">
        <f t="shared" si="40"/>
        <v>693.45077951284861</v>
      </c>
      <c r="Q118" s="14">
        <v>30.192700570013884</v>
      </c>
      <c r="R118" s="14">
        <v>13.921661850549636</v>
      </c>
      <c r="S118" s="14">
        <f t="shared" si="25"/>
        <v>12.987012987012987</v>
      </c>
      <c r="T118" s="14">
        <v>62.821216452987059</v>
      </c>
      <c r="U118" s="14">
        <f t="shared" si="41"/>
        <v>723.29507122010534</v>
      </c>
      <c r="V118" s="14">
        <f t="shared" si="42"/>
        <v>34.567091284001535</v>
      </c>
      <c r="W118" s="14">
        <v>45.522984158125546</v>
      </c>
      <c r="X118" s="16">
        <f t="shared" si="43"/>
        <v>0.87345216066784814</v>
      </c>
      <c r="Y118" s="16">
        <f t="shared" si="48"/>
        <v>0.45964437068231956</v>
      </c>
      <c r="Z118" s="16">
        <f t="shared" si="44"/>
        <v>0.46983300063898514</v>
      </c>
      <c r="AA118" s="16">
        <f t="shared" si="45"/>
        <v>0.60532670316484272</v>
      </c>
      <c r="AB118" s="16">
        <f t="shared" si="26"/>
        <v>1.2568741932077458E-2</v>
      </c>
      <c r="AC118" s="14">
        <f t="shared" si="49"/>
        <v>34.567091284001535</v>
      </c>
      <c r="AD118" s="16">
        <f t="shared" si="27"/>
        <v>0.28192025806623294</v>
      </c>
      <c r="AE118" s="16">
        <f t="shared" si="28"/>
        <v>2.9220288150668423E-2</v>
      </c>
      <c r="AF118" s="23" t="str">
        <f t="shared" si="46"/>
        <v/>
      </c>
      <c r="AG118" s="23" t="str">
        <f t="shared" si="29"/>
        <v/>
      </c>
      <c r="AH118" s="23" t="str">
        <f t="shared" si="30"/>
        <v/>
      </c>
      <c r="AI118" s="23" t="str">
        <f t="shared" si="47"/>
        <v/>
      </c>
      <c r="AJ118" s="23" t="str">
        <f t="shared" si="31"/>
        <v/>
      </c>
      <c r="AK118" s="23" t="str">
        <f t="shared" si="32"/>
        <v/>
      </c>
      <c r="AL118" s="23" t="str">
        <f t="shared" si="33"/>
        <v/>
      </c>
      <c r="AM118" s="23" t="str">
        <f t="shared" si="34"/>
        <v/>
      </c>
      <c r="AN118" s="19">
        <f t="shared" si="35"/>
        <v>0</v>
      </c>
      <c r="AO118" s="26">
        <f t="shared" si="36"/>
        <v>693.45077951284861</v>
      </c>
    </row>
    <row r="119" spans="1:41" x14ac:dyDescent="0.2">
      <c r="A119" s="12">
        <v>44673</v>
      </c>
      <c r="B119" s="6">
        <v>22</v>
      </c>
      <c r="C119" s="6">
        <v>112</v>
      </c>
      <c r="D119" s="6">
        <v>6</v>
      </c>
      <c r="E119" s="6" t="s">
        <v>17</v>
      </c>
      <c r="F119" s="6">
        <v>16</v>
      </c>
      <c r="G119" s="6">
        <v>4</v>
      </c>
      <c r="H119" s="6" t="s">
        <v>20</v>
      </c>
      <c r="I119" s="6">
        <v>2</v>
      </c>
      <c r="J119" s="14">
        <v>15.28069224484077</v>
      </c>
      <c r="K119" s="14">
        <f t="shared" si="37"/>
        <v>15.28069224484077</v>
      </c>
      <c r="L119" s="14">
        <v>85.071413248431242</v>
      </c>
      <c r="M119" s="14">
        <f t="shared" si="38"/>
        <v>1299.9500846829476</v>
      </c>
      <c r="N119" s="16">
        <v>0.803586357051296</v>
      </c>
      <c r="O119" s="14">
        <f t="shared" si="39"/>
        <v>1044.6221528988935</v>
      </c>
      <c r="P119" s="14">
        <f t="shared" si="40"/>
        <v>255.32793178405404</v>
      </c>
      <c r="Q119" s="14">
        <v>51.657264228532718</v>
      </c>
      <c r="R119" s="14">
        <v>24.850848170537645</v>
      </c>
      <c r="S119" s="14">
        <f t="shared" si="25"/>
        <v>12.987012987012987</v>
      </c>
      <c r="T119" s="14">
        <v>51.066183147988227</v>
      </c>
      <c r="U119" s="14">
        <f t="shared" si="41"/>
        <v>909.96505927806322</v>
      </c>
      <c r="V119" s="14">
        <f t="shared" si="42"/>
        <v>59.549989273901865</v>
      </c>
      <c r="W119" s="14">
        <v>63.924087714570348</v>
      </c>
      <c r="X119" s="16">
        <f t="shared" si="43"/>
        <v>0.86746051272878766</v>
      </c>
      <c r="Y119" s="16">
        <f t="shared" si="48"/>
        <v>0.23904435387597733</v>
      </c>
      <c r="Z119" s="16">
        <f t="shared" si="44"/>
        <v>1.1479805100732801</v>
      </c>
      <c r="AA119" s="16">
        <f t="shared" si="45"/>
        <v>0.25660277073362336</v>
      </c>
      <c r="AB119" s="16">
        <f t="shared" si="26"/>
        <v>9.9903935851355895E-3</v>
      </c>
      <c r="AC119" s="14">
        <f t="shared" si="49"/>
        <v>59.549989273901865</v>
      </c>
      <c r="AD119" s="16">
        <f t="shared" si="27"/>
        <v>0.29211749542665444</v>
      </c>
      <c r="AE119" s="16">
        <f t="shared" si="28"/>
        <v>3.9737882890427838E-2</v>
      </c>
      <c r="AF119" s="23" t="str">
        <f t="shared" si="46"/>
        <v/>
      </c>
      <c r="AG119" s="23" t="str">
        <f t="shared" si="29"/>
        <v/>
      </c>
      <c r="AH119" s="23" t="str">
        <f t="shared" si="30"/>
        <v/>
      </c>
      <c r="AI119" s="23" t="str">
        <f t="shared" si="47"/>
        <v/>
      </c>
      <c r="AJ119" s="23" t="str">
        <f t="shared" si="31"/>
        <v/>
      </c>
      <c r="AK119" s="23" t="str">
        <f t="shared" si="32"/>
        <v/>
      </c>
      <c r="AL119" s="23" t="str">
        <f t="shared" si="33"/>
        <v/>
      </c>
      <c r="AM119" s="23" t="str">
        <f t="shared" si="34"/>
        <v/>
      </c>
      <c r="AN119" s="19">
        <f t="shared" si="35"/>
        <v>0</v>
      </c>
      <c r="AO119" s="26">
        <f t="shared" si="36"/>
        <v>255.32793178405404</v>
      </c>
    </row>
    <row r="120" spans="1:41" x14ac:dyDescent="0.2">
      <c r="A120" s="12">
        <v>44674</v>
      </c>
      <c r="B120" s="6">
        <v>23</v>
      </c>
      <c r="C120" s="6">
        <v>113</v>
      </c>
      <c r="D120" s="6">
        <v>7</v>
      </c>
      <c r="E120" s="6" t="s">
        <v>10</v>
      </c>
      <c r="F120" s="6">
        <v>16</v>
      </c>
      <c r="G120" s="6">
        <v>4</v>
      </c>
      <c r="H120" s="6" t="s">
        <v>20</v>
      </c>
      <c r="I120" s="6">
        <v>2</v>
      </c>
      <c r="J120" s="14">
        <v>26.861469920124932</v>
      </c>
      <c r="K120" s="14">
        <f t="shared" si="37"/>
        <v>26.861469920124932</v>
      </c>
      <c r="L120" s="14">
        <v>108.75384945448293</v>
      </c>
      <c r="M120" s="14">
        <f t="shared" si="38"/>
        <v>2921.2882558193887</v>
      </c>
      <c r="N120" s="16">
        <v>0.67577404047953959</v>
      </c>
      <c r="O120" s="14">
        <f t="shared" si="39"/>
        <v>1974.1307680404952</v>
      </c>
      <c r="P120" s="14">
        <f t="shared" si="40"/>
        <v>947.15748777889348</v>
      </c>
      <c r="Q120" s="14">
        <v>60.029559320145196</v>
      </c>
      <c r="R120" s="14">
        <v>9.0180598934455354</v>
      </c>
      <c r="S120" s="14">
        <f t="shared" si="25"/>
        <v>12.987012987012987</v>
      </c>
      <c r="T120" s="14">
        <v>50.287819761528951</v>
      </c>
      <c r="U120" s="14">
        <f t="shared" si="41"/>
        <v>2044.901779073572</v>
      </c>
      <c r="V120" s="14">
        <f t="shared" si="42"/>
        <v>76.127694618138051</v>
      </c>
      <c r="W120" s="14">
        <v>54.576445391962551</v>
      </c>
      <c r="X120" s="16">
        <f t="shared" si="43"/>
        <v>0.78853772758071483</v>
      </c>
      <c r="Y120" s="16">
        <f t="shared" si="48"/>
        <v>0.49218064179901333</v>
      </c>
      <c r="Z120" s="16">
        <f t="shared" si="44"/>
        <v>0.96539148639934236</v>
      </c>
      <c r="AA120" s="16">
        <f t="shared" si="45"/>
        <v>0.35284754194730289</v>
      </c>
      <c r="AB120" s="16">
        <f t="shared" si="26"/>
        <v>4.4456458417419251E-3</v>
      </c>
      <c r="AC120" s="14">
        <f t="shared" si="49"/>
        <v>76.127694618138051</v>
      </c>
      <c r="AD120" s="16">
        <f t="shared" si="27"/>
        <v>8.2921753470619822E-2</v>
      </c>
      <c r="AE120" s="16">
        <f t="shared" si="28"/>
        <v>2.0549002379536687E-2</v>
      </c>
      <c r="AF120" s="23" t="str">
        <f t="shared" si="46"/>
        <v/>
      </c>
      <c r="AG120" s="23" t="str">
        <f t="shared" si="29"/>
        <v/>
      </c>
      <c r="AH120" s="23" t="str">
        <f t="shared" si="30"/>
        <v/>
      </c>
      <c r="AI120" s="23" t="str">
        <f t="shared" si="47"/>
        <v/>
      </c>
      <c r="AJ120" s="23" t="str">
        <f t="shared" si="31"/>
        <v/>
      </c>
      <c r="AK120" s="23" t="str">
        <f t="shared" si="32"/>
        <v/>
      </c>
      <c r="AL120" s="23" t="str">
        <f t="shared" si="33"/>
        <v/>
      </c>
      <c r="AM120" s="23" t="str">
        <f t="shared" si="34"/>
        <v/>
      </c>
      <c r="AN120" s="19">
        <f t="shared" si="35"/>
        <v>0</v>
      </c>
      <c r="AO120" s="26">
        <f t="shared" si="36"/>
        <v>947.15748777889348</v>
      </c>
    </row>
    <row r="121" spans="1:41" x14ac:dyDescent="0.2">
      <c r="A121" s="12">
        <v>44675</v>
      </c>
      <c r="B121" s="6">
        <v>24</v>
      </c>
      <c r="C121" s="6">
        <v>114</v>
      </c>
      <c r="D121" s="6">
        <v>1</v>
      </c>
      <c r="E121" s="6" t="s">
        <v>12</v>
      </c>
      <c r="F121" s="6">
        <v>17</v>
      </c>
      <c r="G121" s="6">
        <v>4</v>
      </c>
      <c r="H121" s="6" t="s">
        <v>20</v>
      </c>
      <c r="I121" s="6">
        <v>2</v>
      </c>
      <c r="J121" s="14">
        <v>2.4447704009222622</v>
      </c>
      <c r="K121" s="14">
        <f t="shared" si="37"/>
        <v>2.4447704009222622</v>
      </c>
      <c r="L121" s="14">
        <v>64.414986583519351</v>
      </c>
      <c r="M121" s="14">
        <f t="shared" si="38"/>
        <v>157.47985257519275</v>
      </c>
      <c r="N121" s="16">
        <v>0.41168973669360848</v>
      </c>
      <c r="O121" s="14">
        <f t="shared" si="39"/>
        <v>64.832839041229391</v>
      </c>
      <c r="P121" s="14">
        <f t="shared" si="40"/>
        <v>92.64701353396336</v>
      </c>
      <c r="Q121" s="14">
        <v>29.682165726604627</v>
      </c>
      <c r="R121" s="14">
        <v>7.5974464741991286</v>
      </c>
      <c r="S121" s="14">
        <f t="shared" si="25"/>
        <v>28.571428571428573</v>
      </c>
      <c r="T121" s="14">
        <v>28.401695402187691</v>
      </c>
      <c r="U121" s="14">
        <f t="shared" si="41"/>
        <v>110.23589680263493</v>
      </c>
      <c r="V121" s="14">
        <f t="shared" si="42"/>
        <v>45.090490608463547</v>
      </c>
      <c r="W121" s="14">
        <v>31.225755792357589</v>
      </c>
      <c r="X121" s="16">
        <f t="shared" si="43"/>
        <v>0.65827994608320461</v>
      </c>
      <c r="Y121" s="16">
        <f t="shared" si="48"/>
        <v>7.8293393991142796E-2</v>
      </c>
      <c r="Z121" s="16">
        <f t="shared" si="44"/>
        <v>0.58812819527658355</v>
      </c>
      <c r="AA121" s="16">
        <f t="shared" si="45"/>
        <v>5.4219201608406882E-2</v>
      </c>
      <c r="AB121" s="16">
        <f t="shared" si="26"/>
        <v>0.18142910413118668</v>
      </c>
      <c r="AC121" s="14">
        <f t="shared" si="49"/>
        <v>45.090490608463547</v>
      </c>
      <c r="AD121" s="16">
        <f t="shared" si="27"/>
        <v>0.1179453241731008</v>
      </c>
      <c r="AE121" s="16">
        <f t="shared" si="28"/>
        <v>0.18848230577579519</v>
      </c>
      <c r="AF121" s="23" t="str">
        <f t="shared" si="46"/>
        <v/>
      </c>
      <c r="AG121" s="23">
        <f t="shared" si="29"/>
        <v>1000</v>
      </c>
      <c r="AH121" s="23" t="str">
        <f t="shared" si="30"/>
        <v/>
      </c>
      <c r="AI121" s="23" t="str">
        <f t="shared" si="47"/>
        <v/>
      </c>
      <c r="AJ121" s="23" t="str">
        <f t="shared" si="31"/>
        <v/>
      </c>
      <c r="AK121" s="23" t="str">
        <f t="shared" si="32"/>
        <v/>
      </c>
      <c r="AL121" s="23" t="str">
        <f t="shared" si="33"/>
        <v/>
      </c>
      <c r="AM121" s="23" t="str">
        <f t="shared" si="34"/>
        <v/>
      </c>
      <c r="AN121" s="19">
        <f t="shared" si="35"/>
        <v>1000</v>
      </c>
      <c r="AO121" s="26">
        <f t="shared" si="36"/>
        <v>-907.35298646603667</v>
      </c>
    </row>
    <row r="122" spans="1:41" x14ac:dyDescent="0.2">
      <c r="A122" s="12">
        <v>44676</v>
      </c>
      <c r="B122" s="6">
        <v>25</v>
      </c>
      <c r="C122" s="6">
        <v>115</v>
      </c>
      <c r="D122" s="6">
        <v>2</v>
      </c>
      <c r="E122" s="6" t="s">
        <v>13</v>
      </c>
      <c r="F122" s="6">
        <v>17</v>
      </c>
      <c r="G122" s="6">
        <v>4</v>
      </c>
      <c r="H122" s="6" t="s">
        <v>20</v>
      </c>
      <c r="I122" s="6">
        <v>2</v>
      </c>
      <c r="J122" s="14">
        <v>17.310379313357586</v>
      </c>
      <c r="K122" s="14">
        <f t="shared" si="37"/>
        <v>17.310379313357586</v>
      </c>
      <c r="L122" s="14">
        <v>127.60663171084491</v>
      </c>
      <c r="M122" s="14">
        <f t="shared" si="38"/>
        <v>2208.91919781465</v>
      </c>
      <c r="N122" s="16">
        <v>1.0447307161682655</v>
      </c>
      <c r="O122" s="14">
        <f t="shared" si="39"/>
        <v>2307.7257354907297</v>
      </c>
      <c r="P122" s="14">
        <f t="shared" si="40"/>
        <v>-98.806537676079643</v>
      </c>
      <c r="Q122" s="14">
        <v>52.763644625618859</v>
      </c>
      <c r="R122" s="14">
        <v>29.200341342346682</v>
      </c>
      <c r="S122" s="14">
        <f t="shared" si="25"/>
        <v>12.987012987012987</v>
      </c>
      <c r="T122" s="14">
        <v>75.887544243428152</v>
      </c>
      <c r="U122" s="14">
        <f t="shared" si="41"/>
        <v>1546.2434384702549</v>
      </c>
      <c r="V122" s="14">
        <f t="shared" si="42"/>
        <v>89.32464219759143</v>
      </c>
      <c r="W122" s="14">
        <v>67.485333940370737</v>
      </c>
      <c r="X122" s="16">
        <f t="shared" si="43"/>
        <v>0.59069528102785496</v>
      </c>
      <c r="Y122" s="16">
        <f t="shared" si="48"/>
        <v>0.25650579618755148</v>
      </c>
      <c r="Z122" s="16">
        <f t="shared" si="44"/>
        <v>1.4924724516689507</v>
      </c>
      <c r="AA122" s="16">
        <f t="shared" si="45"/>
        <v>0.19379175653529063</v>
      </c>
      <c r="AB122" s="16">
        <f t="shared" si="26"/>
        <v>5.8793517661766114E-3</v>
      </c>
      <c r="AC122" s="14">
        <f t="shared" si="49"/>
        <v>89.32464219759143</v>
      </c>
      <c r="AD122" s="16">
        <f t="shared" si="27"/>
        <v>0.22883090753867952</v>
      </c>
      <c r="AE122" s="16">
        <f t="shared" si="28"/>
        <v>2.3886634095905145E-2</v>
      </c>
      <c r="AF122" s="23" t="str">
        <f t="shared" si="46"/>
        <v/>
      </c>
      <c r="AG122" s="23" t="str">
        <f t="shared" si="29"/>
        <v/>
      </c>
      <c r="AH122" s="23" t="str">
        <f t="shared" si="30"/>
        <v/>
      </c>
      <c r="AI122" s="23" t="str">
        <f t="shared" si="47"/>
        <v/>
      </c>
      <c r="AJ122" s="23" t="str">
        <f t="shared" si="31"/>
        <v/>
      </c>
      <c r="AK122" s="23" t="str">
        <f t="shared" si="32"/>
        <v/>
      </c>
      <c r="AL122" s="23">
        <f t="shared" si="33"/>
        <v>83</v>
      </c>
      <c r="AM122" s="23" t="str">
        <f t="shared" si="34"/>
        <v/>
      </c>
      <c r="AN122" s="19">
        <f t="shared" si="35"/>
        <v>83</v>
      </c>
      <c r="AO122" s="26">
        <f t="shared" si="36"/>
        <v>-181.80653767607964</v>
      </c>
    </row>
    <row r="123" spans="1:41" x14ac:dyDescent="0.2">
      <c r="A123" s="12">
        <v>44677</v>
      </c>
      <c r="B123" s="6">
        <v>26</v>
      </c>
      <c r="C123" s="6">
        <v>116</v>
      </c>
      <c r="D123" s="6">
        <v>3</v>
      </c>
      <c r="E123" s="6" t="s">
        <v>14</v>
      </c>
      <c r="F123" s="6">
        <v>17</v>
      </c>
      <c r="G123" s="6">
        <v>4</v>
      </c>
      <c r="H123" s="6" t="s">
        <v>20</v>
      </c>
      <c r="I123" s="6">
        <v>2</v>
      </c>
      <c r="J123" s="14">
        <v>27.32940150249447</v>
      </c>
      <c r="K123" s="14">
        <f t="shared" si="37"/>
        <v>27.32940150249447</v>
      </c>
      <c r="L123" s="14">
        <v>110.48843564064214</v>
      </c>
      <c r="M123" s="14">
        <f t="shared" si="38"/>
        <v>3019.5828190056286</v>
      </c>
      <c r="N123" s="16">
        <v>0.80465086299614785</v>
      </c>
      <c r="O123" s="14">
        <f t="shared" si="39"/>
        <v>2429.7099212012199</v>
      </c>
      <c r="P123" s="14">
        <f t="shared" si="40"/>
        <v>589.87289780440869</v>
      </c>
      <c r="Q123" s="14">
        <v>74.820374680756444</v>
      </c>
      <c r="R123" s="14">
        <v>25.064941242234859</v>
      </c>
      <c r="S123" s="14">
        <f t="shared" si="25"/>
        <v>12.987012987012987</v>
      </c>
      <c r="T123" s="14">
        <v>76.358198928092961</v>
      </c>
      <c r="U123" s="14">
        <f t="shared" si="41"/>
        <v>2113.70797330394</v>
      </c>
      <c r="V123" s="14">
        <f t="shared" si="42"/>
        <v>77.341904948449496</v>
      </c>
      <c r="W123" s="14">
        <v>80.827843290818407</v>
      </c>
      <c r="X123" s="16">
        <f t="shared" si="43"/>
        <v>0.9673976188022041</v>
      </c>
      <c r="Y123" s="16">
        <f t="shared" si="48"/>
        <v>0.33811865305082239</v>
      </c>
      <c r="Z123" s="16">
        <f t="shared" si="44"/>
        <v>1.1495012328516399</v>
      </c>
      <c r="AA123" s="16">
        <f t="shared" si="45"/>
        <v>0.35335826704436962</v>
      </c>
      <c r="AB123" s="16">
        <f t="shared" si="26"/>
        <v>4.3009295540003467E-3</v>
      </c>
      <c r="AC123" s="14">
        <f t="shared" si="49"/>
        <v>77.341904948449496</v>
      </c>
      <c r="AD123" s="16">
        <f t="shared" si="27"/>
        <v>0.22685578899639117</v>
      </c>
      <c r="AE123" s="16">
        <f t="shared" si="28"/>
        <v>2.4778381374350036E-2</v>
      </c>
      <c r="AF123" s="23" t="str">
        <f t="shared" si="46"/>
        <v/>
      </c>
      <c r="AG123" s="23" t="str">
        <f t="shared" si="29"/>
        <v/>
      </c>
      <c r="AH123" s="23" t="str">
        <f t="shared" si="30"/>
        <v/>
      </c>
      <c r="AI123" s="23" t="str">
        <f t="shared" si="47"/>
        <v/>
      </c>
      <c r="AJ123" s="23" t="str">
        <f t="shared" si="31"/>
        <v/>
      </c>
      <c r="AK123" s="23" t="str">
        <f t="shared" si="32"/>
        <v/>
      </c>
      <c r="AL123" s="23" t="str">
        <f t="shared" si="33"/>
        <v/>
      </c>
      <c r="AM123" s="23" t="str">
        <f t="shared" si="34"/>
        <v/>
      </c>
      <c r="AN123" s="19">
        <f t="shared" si="35"/>
        <v>0</v>
      </c>
      <c r="AO123" s="26">
        <f t="shared" si="36"/>
        <v>589.87289780440869</v>
      </c>
    </row>
    <row r="124" spans="1:41" x14ac:dyDescent="0.2">
      <c r="A124" s="12">
        <v>44678</v>
      </c>
      <c r="B124" s="6">
        <v>27</v>
      </c>
      <c r="C124" s="6">
        <v>117</v>
      </c>
      <c r="D124" s="6">
        <v>4</v>
      </c>
      <c r="E124" s="6" t="s">
        <v>15</v>
      </c>
      <c r="F124" s="6">
        <v>17</v>
      </c>
      <c r="G124" s="6">
        <v>4</v>
      </c>
      <c r="H124" s="6" t="s">
        <v>20</v>
      </c>
      <c r="I124" s="6">
        <v>2</v>
      </c>
      <c r="J124" s="14">
        <v>37.763244649850577</v>
      </c>
      <c r="K124" s="14">
        <f t="shared" si="37"/>
        <v>37.763244649850577</v>
      </c>
      <c r="L124" s="14">
        <v>48.40256470216346</v>
      </c>
      <c r="M124" s="14">
        <f t="shared" si="38"/>
        <v>1827.8378925280206</v>
      </c>
      <c r="N124" s="16">
        <v>0.71938152998042837</v>
      </c>
      <c r="O124" s="14">
        <f t="shared" si="39"/>
        <v>1314.9128196830093</v>
      </c>
      <c r="P124" s="14">
        <f t="shared" si="40"/>
        <v>512.9250728450113</v>
      </c>
      <c r="Q124" s="14">
        <v>77.963496665595073</v>
      </c>
      <c r="R124" s="14">
        <v>26.591846500695329</v>
      </c>
      <c r="S124" s="14">
        <f t="shared" si="25"/>
        <v>12.987012987012987</v>
      </c>
      <c r="T124" s="14">
        <v>49.011922826979031</v>
      </c>
      <c r="U124" s="14">
        <f t="shared" si="41"/>
        <v>1279.4865247696143</v>
      </c>
      <c r="V124" s="14">
        <f t="shared" si="42"/>
        <v>33.881795291514422</v>
      </c>
      <c r="W124" s="14">
        <v>66.939304187712366</v>
      </c>
      <c r="X124" s="16">
        <f t="shared" si="43"/>
        <v>2.3010438495011143</v>
      </c>
      <c r="Y124" s="16">
        <f t="shared" si="48"/>
        <v>0.56414157733032644</v>
      </c>
      <c r="Z124" s="16">
        <f t="shared" si="44"/>
        <v>1.0276878999720407</v>
      </c>
      <c r="AA124" s="16">
        <f t="shared" si="45"/>
        <v>1.1145585505413951</v>
      </c>
      <c r="AB124" s="16">
        <f t="shared" si="26"/>
        <v>7.1051229652817245E-3</v>
      </c>
      <c r="AC124" s="14">
        <f t="shared" si="49"/>
        <v>33.881795291514422</v>
      </c>
      <c r="AD124" s="16">
        <f t="shared" si="27"/>
        <v>0.54938920415319947</v>
      </c>
      <c r="AE124" s="16">
        <f t="shared" si="28"/>
        <v>4.265339775715362E-2</v>
      </c>
      <c r="AF124" s="23" t="str">
        <f t="shared" si="46"/>
        <v/>
      </c>
      <c r="AG124" s="23" t="str">
        <f t="shared" si="29"/>
        <v/>
      </c>
      <c r="AH124" s="23" t="str">
        <f t="shared" si="30"/>
        <v/>
      </c>
      <c r="AI124" s="23" t="str">
        <f t="shared" si="47"/>
        <v/>
      </c>
      <c r="AJ124" s="23" t="str">
        <f t="shared" si="31"/>
        <v/>
      </c>
      <c r="AK124" s="23" t="str">
        <f t="shared" si="32"/>
        <v/>
      </c>
      <c r="AL124" s="23" t="str">
        <f t="shared" si="33"/>
        <v/>
      </c>
      <c r="AM124" s="23" t="str">
        <f t="shared" si="34"/>
        <v/>
      </c>
      <c r="AN124" s="19">
        <f t="shared" si="35"/>
        <v>0</v>
      </c>
      <c r="AO124" s="26">
        <f t="shared" si="36"/>
        <v>512.9250728450113</v>
      </c>
    </row>
    <row r="125" spans="1:41" x14ac:dyDescent="0.2">
      <c r="A125" s="12">
        <v>44679</v>
      </c>
      <c r="B125" s="6">
        <v>28</v>
      </c>
      <c r="C125" s="6">
        <v>118</v>
      </c>
      <c r="D125" s="6">
        <v>5</v>
      </c>
      <c r="E125" s="6" t="s">
        <v>16</v>
      </c>
      <c r="F125" s="6">
        <v>17</v>
      </c>
      <c r="G125" s="6">
        <v>4</v>
      </c>
      <c r="H125" s="6" t="s">
        <v>20</v>
      </c>
      <c r="I125" s="6">
        <v>2</v>
      </c>
      <c r="J125" s="14">
        <v>10.323547393480052</v>
      </c>
      <c r="K125" s="14">
        <f t="shared" si="37"/>
        <v>10.323547393480052</v>
      </c>
      <c r="L125" s="14">
        <v>115.1680224857907</v>
      </c>
      <c r="M125" s="14">
        <f t="shared" si="38"/>
        <v>1188.9425383454366</v>
      </c>
      <c r="N125" s="16">
        <v>0.4877747547478492</v>
      </c>
      <c r="O125" s="14">
        <f t="shared" si="39"/>
        <v>579.93615505073058</v>
      </c>
      <c r="P125" s="14">
        <f t="shared" si="40"/>
        <v>609.00638329470598</v>
      </c>
      <c r="Q125" s="14">
        <v>56.85488518791405</v>
      </c>
      <c r="R125" s="14">
        <v>13.609972883771704</v>
      </c>
      <c r="S125" s="14">
        <f t="shared" si="25"/>
        <v>12.987012987012987</v>
      </c>
      <c r="T125" s="14">
        <v>71.076562873273232</v>
      </c>
      <c r="U125" s="14">
        <f t="shared" si="41"/>
        <v>832.25977684180555</v>
      </c>
      <c r="V125" s="14">
        <f t="shared" si="42"/>
        <v>80.617615740053481</v>
      </c>
      <c r="W125" s="14">
        <v>57.960856825414155</v>
      </c>
      <c r="X125" s="16">
        <f t="shared" si="43"/>
        <v>0.70524146200551396</v>
      </c>
      <c r="Y125" s="16">
        <f t="shared" si="48"/>
        <v>0.17811240135003448</v>
      </c>
      <c r="Z125" s="16">
        <f t="shared" si="44"/>
        <v>0.69682107821121309</v>
      </c>
      <c r="AA125" s="16">
        <f t="shared" si="45"/>
        <v>0.12805572701092641</v>
      </c>
      <c r="AB125" s="16">
        <f t="shared" si="26"/>
        <v>1.0923162867976826E-2</v>
      </c>
      <c r="AC125" s="14">
        <f t="shared" si="49"/>
        <v>80.617615740053481</v>
      </c>
      <c r="AD125" s="16">
        <f t="shared" si="27"/>
        <v>0.11817492902989532</v>
      </c>
      <c r="AE125" s="16">
        <f t="shared" si="28"/>
        <v>4.7819708147573546E-2</v>
      </c>
      <c r="AF125" s="23" t="str">
        <f t="shared" si="46"/>
        <v/>
      </c>
      <c r="AG125" s="23" t="str">
        <f t="shared" si="29"/>
        <v/>
      </c>
      <c r="AH125" s="23" t="str">
        <f t="shared" si="30"/>
        <v/>
      </c>
      <c r="AI125" s="23" t="str">
        <f t="shared" si="47"/>
        <v/>
      </c>
      <c r="AJ125" s="23" t="str">
        <f t="shared" si="31"/>
        <v/>
      </c>
      <c r="AK125" s="23" t="str">
        <f t="shared" si="32"/>
        <v/>
      </c>
      <c r="AL125" s="23" t="str">
        <f t="shared" si="33"/>
        <v/>
      </c>
      <c r="AM125" s="23" t="str">
        <f t="shared" si="34"/>
        <v/>
      </c>
      <c r="AN125" s="19">
        <f t="shared" si="35"/>
        <v>0</v>
      </c>
      <c r="AO125" s="26">
        <f t="shared" si="36"/>
        <v>609.00638329470598</v>
      </c>
    </row>
    <row r="126" spans="1:41" x14ac:dyDescent="0.2">
      <c r="A126" s="12">
        <v>44680</v>
      </c>
      <c r="B126" s="6">
        <v>29</v>
      </c>
      <c r="C126" s="6">
        <v>119</v>
      </c>
      <c r="D126" s="6">
        <v>6</v>
      </c>
      <c r="E126" s="6" t="s">
        <v>17</v>
      </c>
      <c r="F126" s="6">
        <v>17</v>
      </c>
      <c r="G126" s="6">
        <v>4</v>
      </c>
      <c r="H126" s="6" t="s">
        <v>20</v>
      </c>
      <c r="I126" s="6">
        <v>2</v>
      </c>
      <c r="J126" s="14">
        <v>40.943289025514304</v>
      </c>
      <c r="K126" s="14">
        <f t="shared" si="37"/>
        <v>40.943289025514304</v>
      </c>
      <c r="L126" s="14">
        <v>76.023570130187494</v>
      </c>
      <c r="M126" s="14">
        <f t="shared" si="38"/>
        <v>3112.6550045917224</v>
      </c>
      <c r="N126" s="16">
        <v>1.1660797239716014</v>
      </c>
      <c r="O126" s="14">
        <f t="shared" si="39"/>
        <v>3629.6038885731396</v>
      </c>
      <c r="P126" s="14">
        <f t="shared" si="40"/>
        <v>-516.94888398141711</v>
      </c>
      <c r="Q126" s="14">
        <v>58.951832957406786</v>
      </c>
      <c r="R126" s="14">
        <v>18.23725029363823</v>
      </c>
      <c r="S126" s="14">
        <f t="shared" si="25"/>
        <v>12.987012987012987</v>
      </c>
      <c r="T126" s="14">
        <v>68.371320244078078</v>
      </c>
      <c r="U126" s="14">
        <f t="shared" si="41"/>
        <v>2178.8585032142055</v>
      </c>
      <c r="V126" s="14">
        <f t="shared" si="42"/>
        <v>53.21649909113124</v>
      </c>
      <c r="W126" s="14">
        <v>47.749437873191695</v>
      </c>
      <c r="X126" s="16">
        <f t="shared" si="43"/>
        <v>1.1077736033791701</v>
      </c>
      <c r="Y126" s="16">
        <f t="shared" si="48"/>
        <v>0.85746117334925498</v>
      </c>
      <c r="Z126" s="16">
        <f t="shared" si="44"/>
        <v>1.665828177102288</v>
      </c>
      <c r="AA126" s="16">
        <f t="shared" si="45"/>
        <v>0.76937208806991364</v>
      </c>
      <c r="AB126" s="16">
        <f t="shared" si="26"/>
        <v>4.1723265083521369E-3</v>
      </c>
      <c r="AC126" s="14">
        <f t="shared" si="49"/>
        <v>53.21649909113124</v>
      </c>
      <c r="AD126" s="16">
        <f t="shared" si="27"/>
        <v>0.23988942195700133</v>
      </c>
      <c r="AE126" s="16">
        <f t="shared" si="28"/>
        <v>1.8939404743038433E-2</v>
      </c>
      <c r="AF126" s="23" t="str">
        <f t="shared" si="46"/>
        <v/>
      </c>
      <c r="AG126" s="23" t="str">
        <f t="shared" si="29"/>
        <v/>
      </c>
      <c r="AH126" s="23" t="str">
        <f t="shared" si="30"/>
        <v/>
      </c>
      <c r="AI126" s="23" t="str">
        <f t="shared" si="47"/>
        <v/>
      </c>
      <c r="AJ126" s="23" t="str">
        <f t="shared" si="31"/>
        <v/>
      </c>
      <c r="AK126" s="23" t="str">
        <f t="shared" si="32"/>
        <v/>
      </c>
      <c r="AL126" s="23" t="str">
        <f t="shared" si="33"/>
        <v/>
      </c>
      <c r="AM126" s="23" t="str">
        <f t="shared" si="34"/>
        <v/>
      </c>
      <c r="AN126" s="19">
        <f t="shared" si="35"/>
        <v>0</v>
      </c>
      <c r="AO126" s="26">
        <f t="shared" si="36"/>
        <v>-516.94888398141711</v>
      </c>
    </row>
    <row r="127" spans="1:41" x14ac:dyDescent="0.2">
      <c r="A127" s="12">
        <v>44681</v>
      </c>
      <c r="B127" s="6">
        <v>30</v>
      </c>
      <c r="C127" s="6">
        <v>120</v>
      </c>
      <c r="D127" s="6">
        <v>7</v>
      </c>
      <c r="E127" s="6" t="s">
        <v>10</v>
      </c>
      <c r="F127" s="6">
        <v>17</v>
      </c>
      <c r="G127" s="6">
        <v>4</v>
      </c>
      <c r="H127" s="6" t="s">
        <v>20</v>
      </c>
      <c r="I127" s="6">
        <v>2</v>
      </c>
      <c r="J127" s="14">
        <v>3.3212199100440811</v>
      </c>
      <c r="K127" s="14">
        <f t="shared" si="37"/>
        <v>3.3212199100440811</v>
      </c>
      <c r="L127" s="14">
        <v>51.93811059599787</v>
      </c>
      <c r="M127" s="14">
        <f t="shared" si="38"/>
        <v>172.49788700149958</v>
      </c>
      <c r="N127" s="16">
        <v>0.91176334913721524</v>
      </c>
      <c r="O127" s="14">
        <f t="shared" si="39"/>
        <v>157.27725117158016</v>
      </c>
      <c r="P127" s="14">
        <f t="shared" si="40"/>
        <v>15.220635829919416</v>
      </c>
      <c r="Q127" s="14">
        <v>81.026511318317262</v>
      </c>
      <c r="R127" s="14">
        <v>29.30795314595785</v>
      </c>
      <c r="S127" s="14">
        <f t="shared" si="25"/>
        <v>12.987012987012987</v>
      </c>
      <c r="T127" s="14">
        <v>50.570661368832383</v>
      </c>
      <c r="U127" s="14">
        <f t="shared" si="41"/>
        <v>120.7485209010497</v>
      </c>
      <c r="V127" s="14">
        <f t="shared" si="42"/>
        <v>36.356677417198505</v>
      </c>
      <c r="W127" s="14">
        <v>68.333613385729635</v>
      </c>
      <c r="X127" s="16">
        <f t="shared" si="43"/>
        <v>2.2286555613574226</v>
      </c>
      <c r="Y127" s="16">
        <f t="shared" si="48"/>
        <v>4.8603019004665481E-2</v>
      </c>
      <c r="Z127" s="16">
        <f t="shared" si="44"/>
        <v>1.3025190701960219</v>
      </c>
      <c r="AA127" s="16">
        <f t="shared" si="45"/>
        <v>9.1351029466542513E-2</v>
      </c>
      <c r="AB127" s="16">
        <f t="shared" si="26"/>
        <v>7.5287954030996834E-2</v>
      </c>
      <c r="AC127" s="14">
        <f t="shared" si="49"/>
        <v>36.356677417198505</v>
      </c>
      <c r="AD127" s="16">
        <f t="shared" si="27"/>
        <v>0.56428608606752428</v>
      </c>
      <c r="AE127" s="16">
        <f t="shared" si="28"/>
        <v>0.46972465997576462</v>
      </c>
      <c r="AF127" s="23" t="str">
        <f t="shared" si="46"/>
        <v/>
      </c>
      <c r="AG127" s="23" t="str">
        <f t="shared" si="29"/>
        <v/>
      </c>
      <c r="AH127" s="23" t="str">
        <f t="shared" si="30"/>
        <v/>
      </c>
      <c r="AI127" s="23" t="str">
        <f t="shared" si="47"/>
        <v/>
      </c>
      <c r="AJ127" s="23" t="str">
        <f t="shared" si="31"/>
        <v/>
      </c>
      <c r="AK127" s="23" t="str">
        <f t="shared" si="32"/>
        <v/>
      </c>
      <c r="AL127" s="23" t="str">
        <f t="shared" si="33"/>
        <v/>
      </c>
      <c r="AM127" s="23" t="str">
        <f t="shared" si="34"/>
        <v/>
      </c>
      <c r="AN127" s="19">
        <f t="shared" si="35"/>
        <v>0</v>
      </c>
      <c r="AO127" s="26">
        <f t="shared" si="36"/>
        <v>15.220635829919416</v>
      </c>
    </row>
    <row r="128" spans="1:41" x14ac:dyDescent="0.2">
      <c r="A128" s="12">
        <v>44682</v>
      </c>
      <c r="B128" s="6">
        <v>1</v>
      </c>
      <c r="C128" s="6">
        <v>121</v>
      </c>
      <c r="D128" s="6">
        <v>1</v>
      </c>
      <c r="E128" s="6" t="s">
        <v>12</v>
      </c>
      <c r="F128" s="6">
        <v>18</v>
      </c>
      <c r="G128" s="6">
        <v>5</v>
      </c>
      <c r="H128" s="6" t="s">
        <v>21</v>
      </c>
      <c r="I128" s="6">
        <v>2</v>
      </c>
      <c r="J128" s="14">
        <v>14.407873666374094</v>
      </c>
      <c r="K128" s="14">
        <f t="shared" si="37"/>
        <v>14.407873666374094</v>
      </c>
      <c r="L128" s="14">
        <v>54.295802084674854</v>
      </c>
      <c r="M128" s="14">
        <f t="shared" si="38"/>
        <v>782.28705705044649</v>
      </c>
      <c r="N128" s="16">
        <v>0.36437587322580511</v>
      </c>
      <c r="O128" s="14">
        <f t="shared" si="39"/>
        <v>285.04652952600168</v>
      </c>
      <c r="P128" s="14">
        <f t="shared" si="40"/>
        <v>497.24052752444481</v>
      </c>
      <c r="Q128" s="14">
        <v>32.967063946532981</v>
      </c>
      <c r="R128" s="14">
        <v>10.473558419674283</v>
      </c>
      <c r="S128" s="14">
        <f t="shared" si="25"/>
        <v>28.571428571428573</v>
      </c>
      <c r="T128" s="14">
        <v>33.147755569760719</v>
      </c>
      <c r="U128" s="14">
        <f t="shared" si="41"/>
        <v>547.60093993531245</v>
      </c>
      <c r="V128" s="14">
        <f t="shared" si="42"/>
        <v>38.007061459272393</v>
      </c>
      <c r="W128" s="14">
        <v>32.344816889833623</v>
      </c>
      <c r="X128" s="16">
        <f t="shared" si="43"/>
        <v>0.86739312856006578</v>
      </c>
      <c r="Y128" s="16">
        <f t="shared" si="48"/>
        <v>0.44544613486133744</v>
      </c>
      <c r="Z128" s="16">
        <f t="shared" si="44"/>
        <v>0.52053696175115027</v>
      </c>
      <c r="AA128" s="16">
        <f t="shared" si="45"/>
        <v>0.37908412576997785</v>
      </c>
      <c r="AB128" s="16">
        <f t="shared" si="26"/>
        <v>3.6522946805684041E-2</v>
      </c>
      <c r="AC128" s="14">
        <f t="shared" si="49"/>
        <v>38.007061459272393</v>
      </c>
      <c r="AD128" s="16">
        <f t="shared" si="27"/>
        <v>0.19289812503995543</v>
      </c>
      <c r="AE128" s="16">
        <f t="shared" si="28"/>
        <v>4.2141901300058286E-2</v>
      </c>
      <c r="AF128" s="23">
        <f t="shared" si="46"/>
        <v>3000</v>
      </c>
      <c r="AG128" s="23">
        <f t="shared" si="29"/>
        <v>1000</v>
      </c>
      <c r="AH128" s="23" t="str">
        <f t="shared" si="30"/>
        <v/>
      </c>
      <c r="AI128" s="23" t="str">
        <f t="shared" si="47"/>
        <v/>
      </c>
      <c r="AJ128" s="23" t="str">
        <f t="shared" si="31"/>
        <v/>
      </c>
      <c r="AK128" s="23" t="str">
        <f t="shared" si="32"/>
        <v/>
      </c>
      <c r="AL128" s="23" t="str">
        <f t="shared" si="33"/>
        <v/>
      </c>
      <c r="AM128" s="23" t="str">
        <f t="shared" si="34"/>
        <v/>
      </c>
      <c r="AN128" s="19">
        <f t="shared" si="35"/>
        <v>4000</v>
      </c>
      <c r="AO128" s="26">
        <f t="shared" si="36"/>
        <v>-3502.7594724755554</v>
      </c>
    </row>
    <row r="129" spans="1:41" x14ac:dyDescent="0.2">
      <c r="A129" s="12">
        <v>44683</v>
      </c>
      <c r="B129" s="6">
        <v>2</v>
      </c>
      <c r="C129" s="6">
        <v>122</v>
      </c>
      <c r="D129" s="6">
        <v>2</v>
      </c>
      <c r="E129" s="6" t="s">
        <v>13</v>
      </c>
      <c r="F129" s="6">
        <v>18</v>
      </c>
      <c r="G129" s="6">
        <v>5</v>
      </c>
      <c r="H129" s="6" t="s">
        <v>21</v>
      </c>
      <c r="I129" s="6">
        <v>2</v>
      </c>
      <c r="J129" s="14">
        <v>36.181828065921465</v>
      </c>
      <c r="K129" s="14">
        <f t="shared" si="37"/>
        <v>36.181828065921465</v>
      </c>
      <c r="L129" s="14">
        <v>60.232192428051192</v>
      </c>
      <c r="M129" s="14">
        <f t="shared" si="38"/>
        <v>2179.3108304652451</v>
      </c>
      <c r="N129" s="16">
        <v>0.65544969031834943</v>
      </c>
      <c r="O129" s="14">
        <f t="shared" si="39"/>
        <v>1428.4286089358698</v>
      </c>
      <c r="P129" s="14">
        <f t="shared" si="40"/>
        <v>750.88222152937533</v>
      </c>
      <c r="Q129" s="14">
        <v>94.436822770634961</v>
      </c>
      <c r="R129" s="14">
        <v>23.163413676135605</v>
      </c>
      <c r="S129" s="14">
        <f t="shared" si="25"/>
        <v>12.987012987012987</v>
      </c>
      <c r="T129" s="14">
        <v>85.414337501064537</v>
      </c>
      <c r="U129" s="14">
        <f t="shared" si="41"/>
        <v>1525.5175813256715</v>
      </c>
      <c r="V129" s="14">
        <f t="shared" si="42"/>
        <v>42.162534699635835</v>
      </c>
      <c r="W129" s="14">
        <v>85.485514632877354</v>
      </c>
      <c r="X129" s="16">
        <f t="shared" si="43"/>
        <v>2.2398279288330034</v>
      </c>
      <c r="Y129" s="16">
        <f t="shared" si="48"/>
        <v>0.4232509825940276</v>
      </c>
      <c r="Z129" s="16">
        <f t="shared" si="44"/>
        <v>0.93635670045478492</v>
      </c>
      <c r="AA129" s="16">
        <f t="shared" si="45"/>
        <v>0.85815116011594939</v>
      </c>
      <c r="AB129" s="16">
        <f t="shared" si="26"/>
        <v>5.9592293148198984E-3</v>
      </c>
      <c r="AC129" s="14">
        <f t="shared" si="49"/>
        <v>42.162534699635835</v>
      </c>
      <c r="AD129" s="16">
        <f t="shared" si="27"/>
        <v>0.38456866241096671</v>
      </c>
      <c r="AE129" s="16">
        <f t="shared" si="28"/>
        <v>4.3333342564297876E-2</v>
      </c>
      <c r="AF129" s="23" t="str">
        <f t="shared" si="46"/>
        <v/>
      </c>
      <c r="AG129" s="23" t="str">
        <f t="shared" si="29"/>
        <v/>
      </c>
      <c r="AH129" s="23" t="str">
        <f t="shared" si="30"/>
        <v/>
      </c>
      <c r="AI129" s="23" t="str">
        <f t="shared" si="47"/>
        <v/>
      </c>
      <c r="AJ129" s="23" t="str">
        <f t="shared" si="31"/>
        <v/>
      </c>
      <c r="AK129" s="23" t="str">
        <f t="shared" si="32"/>
        <v/>
      </c>
      <c r="AL129" s="23" t="str">
        <f t="shared" si="33"/>
        <v/>
      </c>
      <c r="AM129" s="23" t="str">
        <f t="shared" si="34"/>
        <v/>
      </c>
      <c r="AN129" s="19">
        <f t="shared" si="35"/>
        <v>0</v>
      </c>
      <c r="AO129" s="26">
        <f t="shared" si="36"/>
        <v>750.88222152937533</v>
      </c>
    </row>
    <row r="130" spans="1:41" x14ac:dyDescent="0.2">
      <c r="A130" s="12">
        <v>44684</v>
      </c>
      <c r="B130" s="6">
        <v>3</v>
      </c>
      <c r="C130" s="6">
        <v>123</v>
      </c>
      <c r="D130" s="6">
        <v>3</v>
      </c>
      <c r="E130" s="6" t="s">
        <v>14</v>
      </c>
      <c r="F130" s="6">
        <v>18</v>
      </c>
      <c r="G130" s="6">
        <v>5</v>
      </c>
      <c r="H130" s="6" t="s">
        <v>21</v>
      </c>
      <c r="I130" s="6">
        <v>2</v>
      </c>
      <c r="J130" s="14">
        <v>27.197978974292997</v>
      </c>
      <c r="K130" s="14">
        <f t="shared" si="37"/>
        <v>27.197978974292997</v>
      </c>
      <c r="L130" s="14">
        <v>93.677868112037075</v>
      </c>
      <c r="M130" s="14">
        <f t="shared" si="38"/>
        <v>2547.8486872677768</v>
      </c>
      <c r="N130" s="16">
        <v>0.72349144727796411</v>
      </c>
      <c r="O130" s="14">
        <f t="shared" si="39"/>
        <v>1843.3467341966248</v>
      </c>
      <c r="P130" s="14">
        <f t="shared" si="40"/>
        <v>704.501953071152</v>
      </c>
      <c r="Q130" s="14">
        <v>87.064492469945463</v>
      </c>
      <c r="R130" s="14">
        <v>27.674590925582343</v>
      </c>
      <c r="S130" s="14">
        <f t="shared" si="25"/>
        <v>12.987012987012987</v>
      </c>
      <c r="T130" s="14">
        <v>83.482367148679629</v>
      </c>
      <c r="U130" s="14">
        <f t="shared" si="41"/>
        <v>1783.4940810874436</v>
      </c>
      <c r="V130" s="14">
        <f t="shared" si="42"/>
        <v>65.574507678425945</v>
      </c>
      <c r="W130" s="14">
        <v>73.567288048982178</v>
      </c>
      <c r="X130" s="16">
        <f t="shared" si="43"/>
        <v>1.3277185838268937</v>
      </c>
      <c r="Y130" s="16">
        <f t="shared" si="48"/>
        <v>0.36970207405476446</v>
      </c>
      <c r="Z130" s="16">
        <f t="shared" si="44"/>
        <v>1.0335592103970916</v>
      </c>
      <c r="AA130" s="16">
        <f t="shared" si="45"/>
        <v>0.41476451653545771</v>
      </c>
      <c r="AB130" s="16">
        <f t="shared" si="26"/>
        <v>5.097246571946077E-3</v>
      </c>
      <c r="AC130" s="14">
        <f t="shared" si="49"/>
        <v>65.574507678425945</v>
      </c>
      <c r="AD130" s="16">
        <f t="shared" si="27"/>
        <v>0.29542293695757488</v>
      </c>
      <c r="AE130" s="16">
        <f t="shared" si="28"/>
        <v>3.4171767305110401E-2</v>
      </c>
      <c r="AF130" s="23" t="str">
        <f t="shared" si="46"/>
        <v/>
      </c>
      <c r="AG130" s="23" t="str">
        <f t="shared" si="29"/>
        <v/>
      </c>
      <c r="AH130" s="23" t="str">
        <f t="shared" si="30"/>
        <v/>
      </c>
      <c r="AI130" s="23" t="str">
        <f t="shared" si="47"/>
        <v/>
      </c>
      <c r="AJ130" s="23" t="str">
        <f t="shared" si="31"/>
        <v/>
      </c>
      <c r="AK130" s="23" t="str">
        <f t="shared" si="32"/>
        <v/>
      </c>
      <c r="AL130" s="23" t="str">
        <f t="shared" si="33"/>
        <v/>
      </c>
      <c r="AM130" s="23" t="str">
        <f t="shared" si="34"/>
        <v/>
      </c>
      <c r="AN130" s="19">
        <f t="shared" si="35"/>
        <v>0</v>
      </c>
      <c r="AO130" s="26">
        <f t="shared" si="36"/>
        <v>704.501953071152</v>
      </c>
    </row>
    <row r="131" spans="1:41" x14ac:dyDescent="0.2">
      <c r="A131" s="12">
        <v>44685</v>
      </c>
      <c r="B131" s="6">
        <v>4</v>
      </c>
      <c r="C131" s="6">
        <v>124</v>
      </c>
      <c r="D131" s="6">
        <v>4</v>
      </c>
      <c r="E131" s="6" t="s">
        <v>15</v>
      </c>
      <c r="F131" s="6">
        <v>18</v>
      </c>
      <c r="G131" s="6">
        <v>5</v>
      </c>
      <c r="H131" s="6" t="s">
        <v>21</v>
      </c>
      <c r="I131" s="6">
        <v>2</v>
      </c>
      <c r="J131" s="14">
        <v>33.424291409656838</v>
      </c>
      <c r="K131" s="14">
        <f t="shared" si="37"/>
        <v>33.424291409656838</v>
      </c>
      <c r="L131" s="14">
        <v>108.81093355964366</v>
      </c>
      <c r="M131" s="14">
        <f t="shared" si="38"/>
        <v>3636.9283518543384</v>
      </c>
      <c r="N131" s="16">
        <v>0.39876359960100249</v>
      </c>
      <c r="O131" s="14">
        <f t="shared" si="39"/>
        <v>1450.2746410763773</v>
      </c>
      <c r="P131" s="14">
        <f t="shared" si="40"/>
        <v>2186.6537107779614</v>
      </c>
      <c r="Q131" s="14">
        <v>79.201536017927694</v>
      </c>
      <c r="R131" s="14">
        <v>35.560402098874057</v>
      </c>
      <c r="S131" s="14">
        <f t="shared" si="25"/>
        <v>12.987012987012987</v>
      </c>
      <c r="T131" s="14">
        <v>78.040442846807039</v>
      </c>
      <c r="U131" s="14">
        <f t="shared" si="41"/>
        <v>2545.8498462980369</v>
      </c>
      <c r="V131" s="14">
        <f t="shared" si="42"/>
        <v>76.167653491750556</v>
      </c>
      <c r="W131" s="14">
        <v>80.667759751651303</v>
      </c>
      <c r="X131" s="16">
        <f t="shared" si="43"/>
        <v>1.0398316396409104</v>
      </c>
      <c r="Y131" s="16">
        <f t="shared" si="48"/>
        <v>0.41434510531293922</v>
      </c>
      <c r="Z131" s="16">
        <f t="shared" si="44"/>
        <v>0.56966228514428929</v>
      </c>
      <c r="AA131" s="16">
        <f t="shared" si="45"/>
        <v>0.43882527395014082</v>
      </c>
      <c r="AB131" s="16">
        <f t="shared" si="26"/>
        <v>3.5708740262621282E-3</v>
      </c>
      <c r="AC131" s="14">
        <f t="shared" si="49"/>
        <v>76.167653491750556</v>
      </c>
      <c r="AD131" s="16">
        <f t="shared" si="27"/>
        <v>0.3268090892665852</v>
      </c>
      <c r="AE131" s="16">
        <f t="shared" si="28"/>
        <v>2.1777040501099146E-2</v>
      </c>
      <c r="AF131" s="23" t="str">
        <f t="shared" si="46"/>
        <v/>
      </c>
      <c r="AG131" s="23" t="str">
        <f t="shared" si="29"/>
        <v/>
      </c>
      <c r="AH131" s="23" t="str">
        <f t="shared" si="30"/>
        <v/>
      </c>
      <c r="AI131" s="23" t="str">
        <f t="shared" si="47"/>
        <v/>
      </c>
      <c r="AJ131" s="23" t="str">
        <f t="shared" si="31"/>
        <v/>
      </c>
      <c r="AK131" s="23" t="str">
        <f t="shared" si="32"/>
        <v/>
      </c>
      <c r="AL131" s="23" t="str">
        <f t="shared" si="33"/>
        <v/>
      </c>
      <c r="AM131" s="23" t="str">
        <f t="shared" si="34"/>
        <v/>
      </c>
      <c r="AN131" s="19">
        <f t="shared" si="35"/>
        <v>0</v>
      </c>
      <c r="AO131" s="26">
        <f t="shared" si="36"/>
        <v>2186.6537107779614</v>
      </c>
    </row>
    <row r="132" spans="1:41" x14ac:dyDescent="0.2">
      <c r="A132" s="12">
        <v>44686</v>
      </c>
      <c r="B132" s="6">
        <v>5</v>
      </c>
      <c r="C132" s="6">
        <v>125</v>
      </c>
      <c r="D132" s="6">
        <v>5</v>
      </c>
      <c r="E132" s="6" t="s">
        <v>16</v>
      </c>
      <c r="F132" s="6">
        <v>18</v>
      </c>
      <c r="G132" s="6">
        <v>5</v>
      </c>
      <c r="H132" s="6" t="s">
        <v>21</v>
      </c>
      <c r="I132" s="6">
        <v>2</v>
      </c>
      <c r="J132" s="14">
        <v>24.015384903278783</v>
      </c>
      <c r="K132" s="14">
        <f t="shared" si="37"/>
        <v>24.015384903278783</v>
      </c>
      <c r="L132" s="14">
        <v>88.176240029485683</v>
      </c>
      <c r="M132" s="14">
        <f t="shared" si="38"/>
        <v>2117.5863436319969</v>
      </c>
      <c r="N132" s="16">
        <v>0.97283312647351894</v>
      </c>
      <c r="O132" s="14">
        <f t="shared" si="39"/>
        <v>2060.058143253143</v>
      </c>
      <c r="P132" s="14">
        <f t="shared" si="40"/>
        <v>57.528200378853853</v>
      </c>
      <c r="Q132" s="14">
        <v>59.986059179308299</v>
      </c>
      <c r="R132" s="14">
        <v>8.7575695245196297</v>
      </c>
      <c r="S132" s="14">
        <f t="shared" si="25"/>
        <v>12.987012987012987</v>
      </c>
      <c r="T132" s="14">
        <v>50.383220775527619</v>
      </c>
      <c r="U132" s="14">
        <f t="shared" si="41"/>
        <v>1482.3104405423978</v>
      </c>
      <c r="V132" s="14">
        <f t="shared" si="42"/>
        <v>61.723368020639981</v>
      </c>
      <c r="W132" s="14">
        <v>77.800318828466715</v>
      </c>
      <c r="X132" s="16">
        <f t="shared" si="43"/>
        <v>0.97185330455799601</v>
      </c>
      <c r="Y132" s="16">
        <f t="shared" si="48"/>
        <v>0.3086797749020494</v>
      </c>
      <c r="Z132" s="16">
        <f t="shared" si="44"/>
        <v>1.3897616092478842</v>
      </c>
      <c r="AA132" s="16">
        <f t="shared" si="45"/>
        <v>0.38908092143073203</v>
      </c>
      <c r="AB132" s="16">
        <f t="shared" si="26"/>
        <v>6.1329319704329964E-3</v>
      </c>
      <c r="AC132" s="14">
        <f t="shared" si="49"/>
        <v>61.723368020639981</v>
      </c>
      <c r="AD132" s="16">
        <f t="shared" si="27"/>
        <v>9.9318926749327741E-2</v>
      </c>
      <c r="AE132" s="16">
        <f t="shared" si="28"/>
        <v>2.8327562349322051E-2</v>
      </c>
      <c r="AF132" s="23" t="str">
        <f t="shared" si="46"/>
        <v/>
      </c>
      <c r="AG132" s="23" t="str">
        <f t="shared" si="29"/>
        <v/>
      </c>
      <c r="AH132" s="23" t="str">
        <f t="shared" si="30"/>
        <v/>
      </c>
      <c r="AI132" s="23" t="str">
        <f t="shared" si="47"/>
        <v/>
      </c>
      <c r="AJ132" s="23" t="str">
        <f t="shared" si="31"/>
        <v/>
      </c>
      <c r="AK132" s="23" t="str">
        <f t="shared" si="32"/>
        <v/>
      </c>
      <c r="AL132" s="23" t="str">
        <f t="shared" si="33"/>
        <v/>
      </c>
      <c r="AM132" s="23">
        <f t="shared" si="34"/>
        <v>1000</v>
      </c>
      <c r="AN132" s="19">
        <f t="shared" si="35"/>
        <v>1000</v>
      </c>
      <c r="AO132" s="26">
        <f t="shared" si="36"/>
        <v>-942.47179962114615</v>
      </c>
    </row>
    <row r="133" spans="1:41" x14ac:dyDescent="0.2">
      <c r="A133" s="12">
        <v>44687</v>
      </c>
      <c r="B133" s="6">
        <v>6</v>
      </c>
      <c r="C133" s="6">
        <v>126</v>
      </c>
      <c r="D133" s="6">
        <v>6</v>
      </c>
      <c r="E133" s="6" t="s">
        <v>17</v>
      </c>
      <c r="F133" s="6">
        <v>18</v>
      </c>
      <c r="G133" s="6">
        <v>5</v>
      </c>
      <c r="H133" s="6" t="s">
        <v>21</v>
      </c>
      <c r="I133" s="6">
        <v>2</v>
      </c>
      <c r="J133" s="14">
        <v>32.888019430107349</v>
      </c>
      <c r="K133" s="14">
        <f t="shared" si="37"/>
        <v>32.888019430107349</v>
      </c>
      <c r="L133" s="14">
        <v>45.371068196659074</v>
      </c>
      <c r="M133" s="14">
        <f t="shared" si="38"/>
        <v>1492.1645724164491</v>
      </c>
      <c r="N133" s="16">
        <v>0.65125027451985573</v>
      </c>
      <c r="O133" s="14">
        <f t="shared" si="39"/>
        <v>971.77258741501566</v>
      </c>
      <c r="P133" s="14">
        <f t="shared" si="40"/>
        <v>520.39198500143345</v>
      </c>
      <c r="Q133" s="14">
        <v>113.26159483346471</v>
      </c>
      <c r="R133" s="14">
        <v>22.221997396320084</v>
      </c>
      <c r="S133" s="14">
        <f t="shared" si="25"/>
        <v>12.987012987012987</v>
      </c>
      <c r="T133" s="14">
        <v>52.611971384943978</v>
      </c>
      <c r="U133" s="14">
        <f t="shared" si="41"/>
        <v>1044.5152006915143</v>
      </c>
      <c r="V133" s="14">
        <f t="shared" si="42"/>
        <v>31.75974773766135</v>
      </c>
      <c r="W133" s="14">
        <v>60.562594088000395</v>
      </c>
      <c r="X133" s="16">
        <f t="shared" si="43"/>
        <v>3.5661994474583572</v>
      </c>
      <c r="Y133" s="16">
        <f t="shared" si="48"/>
        <v>0.54304178883618259</v>
      </c>
      <c r="Z133" s="16">
        <f t="shared" si="44"/>
        <v>0.93035753502836538</v>
      </c>
      <c r="AA133" s="16">
        <f t="shared" si="45"/>
        <v>1.0355252095125451</v>
      </c>
      <c r="AB133" s="16">
        <f t="shared" si="26"/>
        <v>8.7034722758371676E-3</v>
      </c>
      <c r="AC133" s="14">
        <f t="shared" si="49"/>
        <v>31.75974773766135</v>
      </c>
      <c r="AD133" s="16">
        <f t="shared" si="27"/>
        <v>0.48978342982800688</v>
      </c>
      <c r="AE133" s="16">
        <f t="shared" si="28"/>
        <v>7.5904224592362499E-2</v>
      </c>
      <c r="AF133" s="23" t="str">
        <f t="shared" si="46"/>
        <v/>
      </c>
      <c r="AG133" s="23" t="str">
        <f t="shared" si="29"/>
        <v/>
      </c>
      <c r="AH133" s="23" t="str">
        <f t="shared" si="30"/>
        <v/>
      </c>
      <c r="AI133" s="23" t="str">
        <f t="shared" si="47"/>
        <v/>
      </c>
      <c r="AJ133" s="23" t="str">
        <f t="shared" si="31"/>
        <v/>
      </c>
      <c r="AK133" s="23" t="str">
        <f t="shared" si="32"/>
        <v/>
      </c>
      <c r="AL133" s="23" t="str">
        <f t="shared" si="33"/>
        <v/>
      </c>
      <c r="AM133" s="23" t="str">
        <f t="shared" si="34"/>
        <v/>
      </c>
      <c r="AN133" s="19">
        <f t="shared" si="35"/>
        <v>0</v>
      </c>
      <c r="AO133" s="26">
        <f t="shared" si="36"/>
        <v>520.39198500143345</v>
      </c>
    </row>
    <row r="134" spans="1:41" x14ac:dyDescent="0.2">
      <c r="A134" s="12">
        <v>44688</v>
      </c>
      <c r="B134" s="6">
        <v>7</v>
      </c>
      <c r="C134" s="6">
        <v>127</v>
      </c>
      <c r="D134" s="6">
        <v>7</v>
      </c>
      <c r="E134" s="6" t="s">
        <v>10</v>
      </c>
      <c r="F134" s="6">
        <v>18</v>
      </c>
      <c r="G134" s="6">
        <v>5</v>
      </c>
      <c r="H134" s="6" t="s">
        <v>21</v>
      </c>
      <c r="I134" s="6">
        <v>2</v>
      </c>
      <c r="J134" s="14">
        <v>21.130129901589633</v>
      </c>
      <c r="K134" s="14">
        <f t="shared" si="37"/>
        <v>21.130129901589633</v>
      </c>
      <c r="L134" s="14">
        <v>59.310675206167133</v>
      </c>
      <c r="M134" s="14">
        <f t="shared" si="38"/>
        <v>1253.242271657303</v>
      </c>
      <c r="N134" s="16">
        <v>0.88117351279350098</v>
      </c>
      <c r="O134" s="14">
        <f t="shared" si="39"/>
        <v>1104.3238948975727</v>
      </c>
      <c r="P134" s="14">
        <f t="shared" si="40"/>
        <v>148.91837675973034</v>
      </c>
      <c r="Q134" s="14">
        <v>85.279449572428547</v>
      </c>
      <c r="R134" s="14">
        <v>32.115539493806494</v>
      </c>
      <c r="S134" s="14">
        <f t="shared" si="25"/>
        <v>12.987012987012987</v>
      </c>
      <c r="T134" s="14">
        <v>86.107013077831269</v>
      </c>
      <c r="U134" s="14">
        <f t="shared" si="41"/>
        <v>877.2695901601121</v>
      </c>
      <c r="V134" s="14">
        <f t="shared" si="42"/>
        <v>41.517472644316989</v>
      </c>
      <c r="W134" s="14">
        <v>69.984918163349676</v>
      </c>
      <c r="X134" s="16">
        <f t="shared" si="43"/>
        <v>2.054061679115764</v>
      </c>
      <c r="Y134" s="16">
        <f t="shared" si="48"/>
        <v>0.30192404958266061</v>
      </c>
      <c r="Z134" s="16">
        <f t="shared" si="44"/>
        <v>1.2588193039907156</v>
      </c>
      <c r="AA134" s="16">
        <f t="shared" si="45"/>
        <v>0.50894547658555456</v>
      </c>
      <c r="AB134" s="16">
        <f t="shared" si="26"/>
        <v>1.0362731357472328E-2</v>
      </c>
      <c r="AC134" s="14">
        <f t="shared" si="49"/>
        <v>41.517472644316989</v>
      </c>
      <c r="AD134" s="16">
        <f t="shared" si="27"/>
        <v>0.54147991710043986</v>
      </c>
      <c r="AE134" s="16">
        <f t="shared" si="28"/>
        <v>6.8047058019878273E-2</v>
      </c>
      <c r="AF134" s="23" t="str">
        <f t="shared" si="46"/>
        <v/>
      </c>
      <c r="AG134" s="23" t="str">
        <f t="shared" si="29"/>
        <v/>
      </c>
      <c r="AH134" s="23" t="str">
        <f t="shared" si="30"/>
        <v/>
      </c>
      <c r="AI134" s="23" t="str">
        <f t="shared" si="47"/>
        <v/>
      </c>
      <c r="AJ134" s="23" t="str">
        <f t="shared" si="31"/>
        <v/>
      </c>
      <c r="AK134" s="23" t="str">
        <f t="shared" si="32"/>
        <v/>
      </c>
      <c r="AL134" s="23" t="str">
        <f t="shared" si="33"/>
        <v/>
      </c>
      <c r="AM134" s="23" t="str">
        <f t="shared" si="34"/>
        <v/>
      </c>
      <c r="AN134" s="19">
        <f t="shared" si="35"/>
        <v>0</v>
      </c>
      <c r="AO134" s="26">
        <f t="shared" si="36"/>
        <v>148.91837675973034</v>
      </c>
    </row>
    <row r="135" spans="1:41" x14ac:dyDescent="0.2">
      <c r="A135" s="12">
        <v>44689</v>
      </c>
      <c r="B135" s="6">
        <v>8</v>
      </c>
      <c r="C135" s="6">
        <v>128</v>
      </c>
      <c r="D135" s="6">
        <v>1</v>
      </c>
      <c r="E135" s="6" t="s">
        <v>12</v>
      </c>
      <c r="F135" s="6">
        <v>19</v>
      </c>
      <c r="G135" s="6">
        <v>5</v>
      </c>
      <c r="H135" s="6" t="s">
        <v>21</v>
      </c>
      <c r="I135" s="6">
        <v>2</v>
      </c>
      <c r="J135" s="14">
        <v>11.653595406342724</v>
      </c>
      <c r="K135" s="14">
        <f t="shared" si="37"/>
        <v>11.653595406342724</v>
      </c>
      <c r="L135" s="14">
        <v>48.441419126349047</v>
      </c>
      <c r="M135" s="14">
        <f t="shared" si="38"/>
        <v>564.5166994075438</v>
      </c>
      <c r="N135" s="16">
        <v>0.38574242101152345</v>
      </c>
      <c r="O135" s="14">
        <f t="shared" si="39"/>
        <v>217.75803833090038</v>
      </c>
      <c r="P135" s="14">
        <f t="shared" si="40"/>
        <v>346.75866107664342</v>
      </c>
      <c r="Q135" s="14">
        <v>20.288317114841213</v>
      </c>
      <c r="R135" s="14">
        <v>5.0451081790538632</v>
      </c>
      <c r="S135" s="14">
        <f t="shared" si="25"/>
        <v>28.571428571428573</v>
      </c>
      <c r="T135" s="14">
        <v>37.03892574199196</v>
      </c>
      <c r="U135" s="14">
        <f t="shared" si="41"/>
        <v>395.16168958528061</v>
      </c>
      <c r="V135" s="14">
        <f t="shared" si="42"/>
        <v>33.90899338844433</v>
      </c>
      <c r="W135" s="14">
        <v>39.766398221855788</v>
      </c>
      <c r="X135" s="16">
        <f t="shared" si="43"/>
        <v>0.59831670266434878</v>
      </c>
      <c r="Y135" s="16">
        <f t="shared" si="48"/>
        <v>0.29305131788218769</v>
      </c>
      <c r="Z135" s="16">
        <f t="shared" si="44"/>
        <v>0.55106060144503355</v>
      </c>
      <c r="AA135" s="16">
        <f t="shared" si="45"/>
        <v>0.34367270277961398</v>
      </c>
      <c r="AB135" s="16">
        <f t="shared" si="26"/>
        <v>5.0612193760457537E-2</v>
      </c>
      <c r="AC135" s="14">
        <f t="shared" si="49"/>
        <v>33.90899338844433</v>
      </c>
      <c r="AD135" s="16">
        <f t="shared" si="27"/>
        <v>0.10414864531311069</v>
      </c>
      <c r="AE135" s="16">
        <f t="shared" si="28"/>
        <v>3.5939268291148262E-2</v>
      </c>
      <c r="AF135" s="23" t="str">
        <f t="shared" si="46"/>
        <v/>
      </c>
      <c r="AG135" s="23">
        <f t="shared" si="29"/>
        <v>1000</v>
      </c>
      <c r="AH135" s="23" t="str">
        <f t="shared" si="30"/>
        <v/>
      </c>
      <c r="AI135" s="23" t="str">
        <f t="shared" si="47"/>
        <v/>
      </c>
      <c r="AJ135" s="23" t="str">
        <f t="shared" si="31"/>
        <v/>
      </c>
      <c r="AK135" s="23" t="str">
        <f t="shared" si="32"/>
        <v/>
      </c>
      <c r="AL135" s="23" t="str">
        <f t="shared" si="33"/>
        <v/>
      </c>
      <c r="AM135" s="23" t="str">
        <f t="shared" si="34"/>
        <v/>
      </c>
      <c r="AN135" s="19">
        <f t="shared" si="35"/>
        <v>1000</v>
      </c>
      <c r="AO135" s="26">
        <f t="shared" si="36"/>
        <v>-653.24133892335658</v>
      </c>
    </row>
    <row r="136" spans="1:41" x14ac:dyDescent="0.2">
      <c r="A136" s="12">
        <v>44690</v>
      </c>
      <c r="B136" s="6">
        <v>9</v>
      </c>
      <c r="C136" s="6">
        <v>129</v>
      </c>
      <c r="D136" s="6">
        <v>2</v>
      </c>
      <c r="E136" s="6" t="s">
        <v>13</v>
      </c>
      <c r="F136" s="6">
        <v>19</v>
      </c>
      <c r="G136" s="6">
        <v>5</v>
      </c>
      <c r="H136" s="6" t="s">
        <v>21</v>
      </c>
      <c r="I136" s="6">
        <v>2</v>
      </c>
      <c r="J136" s="14">
        <v>16.080982635941979</v>
      </c>
      <c r="K136" s="14">
        <f t="shared" si="37"/>
        <v>16.080982635941979</v>
      </c>
      <c r="L136" s="14">
        <v>67.983151195550136</v>
      </c>
      <c r="M136" s="14">
        <f t="shared" si="38"/>
        <v>1093.2358739122599</v>
      </c>
      <c r="N136" s="16">
        <v>1.141795621746347</v>
      </c>
      <c r="O136" s="14">
        <f t="shared" si="39"/>
        <v>1248.2519343690597</v>
      </c>
      <c r="P136" s="14">
        <f t="shared" si="40"/>
        <v>-155.01606045679978</v>
      </c>
      <c r="Q136" s="14">
        <v>116.81978565108471</v>
      </c>
      <c r="R136" s="14">
        <v>27.190434073850522</v>
      </c>
      <c r="S136" s="14">
        <f t="shared" ref="S136:S199" si="50">IF(E136=$AG$6,$S$2/5,$S$2/11)</f>
        <v>12.987012987012987</v>
      </c>
      <c r="T136" s="14">
        <v>78.764033401109899</v>
      </c>
      <c r="U136" s="14">
        <f t="shared" si="41"/>
        <v>765.26511173858182</v>
      </c>
      <c r="V136" s="14">
        <f t="shared" si="42"/>
        <v>47.588205836885088</v>
      </c>
      <c r="W136" s="14">
        <v>83.404934624808192</v>
      </c>
      <c r="X136" s="16">
        <f t="shared" si="43"/>
        <v>2.454805420727566</v>
      </c>
      <c r="Y136" s="16">
        <f t="shared" si="48"/>
        <v>0.19280612961668586</v>
      </c>
      <c r="Z136" s="16">
        <f t="shared" si="44"/>
        <v>1.6311366024947815</v>
      </c>
      <c r="AA136" s="16">
        <f t="shared" si="45"/>
        <v>0.33791949818536315</v>
      </c>
      <c r="AB136" s="16">
        <f t="shared" ref="AB136:AB199" si="51">S136/M136</f>
        <v>1.1879424465406163E-2</v>
      </c>
      <c r="AC136" s="14">
        <f t="shared" si="49"/>
        <v>47.588205836885088</v>
      </c>
      <c r="AD136" s="16">
        <f t="shared" ref="AD136:AD199" si="52">R136/L136</f>
        <v>0.39995842492853262</v>
      </c>
      <c r="AE136" s="16">
        <f t="shared" ref="AE136:AE199" si="53">Q136/M136</f>
        <v>0.10685689011743897</v>
      </c>
      <c r="AF136" s="23" t="str">
        <f t="shared" si="46"/>
        <v/>
      </c>
      <c r="AG136" s="23" t="str">
        <f t="shared" ref="AG136:AG167" si="54">IF(E136=$AG$6,$AG$5,"")</f>
        <v/>
      </c>
      <c r="AH136" s="23" t="str">
        <f t="shared" ref="AH136:AH199" si="55">IF(B136=$AH$6,$AH$5,"")</f>
        <v/>
      </c>
      <c r="AI136" s="23" t="str">
        <f t="shared" si="47"/>
        <v/>
      </c>
      <c r="AJ136" s="23" t="str">
        <f t="shared" ref="AJ136:AJ199" si="56">IF($B136=$AJ$6,$AJ$5,"")</f>
        <v/>
      </c>
      <c r="AK136" s="23" t="str">
        <f t="shared" ref="AK136:AK199" si="57">IF($B136=$AK$6,$AK$5,"")</f>
        <v/>
      </c>
      <c r="AL136" s="23" t="str">
        <f t="shared" ref="AL136:AL199" si="58">IF($B136=$AL$6,$AL$5,"")</f>
        <v/>
      </c>
      <c r="AM136" s="23" t="str">
        <f t="shared" ref="AM136:AM199" si="59">IF($B136=$AM$6,$AM$5,"")</f>
        <v/>
      </c>
      <c r="AN136" s="19">
        <f t="shared" ref="AN136:AN199" si="60">SUM(AF136:AM136)</f>
        <v>0</v>
      </c>
      <c r="AO136" s="26">
        <f t="shared" ref="AO136:AO199" si="61">P136-AN136</f>
        <v>-155.01606045679978</v>
      </c>
    </row>
    <row r="137" spans="1:41" x14ac:dyDescent="0.2">
      <c r="A137" s="12">
        <v>44691</v>
      </c>
      <c r="B137" s="6">
        <v>10</v>
      </c>
      <c r="C137" s="6">
        <v>130</v>
      </c>
      <c r="D137" s="6">
        <v>3</v>
      </c>
      <c r="E137" s="6" t="s">
        <v>14</v>
      </c>
      <c r="F137" s="6">
        <v>19</v>
      </c>
      <c r="G137" s="6">
        <v>5</v>
      </c>
      <c r="H137" s="6" t="s">
        <v>21</v>
      </c>
      <c r="I137" s="6">
        <v>2</v>
      </c>
      <c r="J137" s="14">
        <v>21.309434609212492</v>
      </c>
      <c r="K137" s="14">
        <f t="shared" ref="K137:K188" si="62">J137</f>
        <v>21.309434609212492</v>
      </c>
      <c r="L137" s="14">
        <v>85.360198137370219</v>
      </c>
      <c r="M137" s="14">
        <f t="shared" ref="M137:M200" si="63">K137*L137</f>
        <v>1818.9775604377126</v>
      </c>
      <c r="N137" s="16">
        <v>0.94459617412472552</v>
      </c>
      <c r="O137" s="14">
        <f t="shared" ref="O137:O200" si="64">M137*N137</f>
        <v>1718.19924440819</v>
      </c>
      <c r="P137" s="14">
        <f t="shared" ref="P137:P200" si="65">M137-O137</f>
        <v>100.77831602952256</v>
      </c>
      <c r="Q137" s="14">
        <v>99.048818812182247</v>
      </c>
      <c r="R137" s="14">
        <v>30.293877791578872</v>
      </c>
      <c r="S137" s="14">
        <f t="shared" si="50"/>
        <v>12.987012987012987</v>
      </c>
      <c r="T137" s="14">
        <v>96.130135615477442</v>
      </c>
      <c r="U137" s="14">
        <f t="shared" ref="U137:U200" si="66">M137*0.7</f>
        <v>1273.2842923063988</v>
      </c>
      <c r="V137" s="14">
        <f t="shared" ref="V137:V200" si="67">U137/K137</f>
        <v>59.75213869615915</v>
      </c>
      <c r="W137" s="14">
        <v>93.357491082434251</v>
      </c>
      <c r="X137" s="16">
        <f t="shared" ref="X137:X200" si="68">Q137/V137</f>
        <v>1.6576614824759248</v>
      </c>
      <c r="Y137" s="16">
        <f t="shared" si="48"/>
        <v>0.22825629054658672</v>
      </c>
      <c r="Z137" s="16">
        <f t="shared" ref="Z137:Z200" si="69">O137/U137</f>
        <v>1.3494231058924651</v>
      </c>
      <c r="AA137" s="16">
        <f t="shared" ref="AA137:AA200" si="70">K137/V137</f>
        <v>0.35663049179831707</v>
      </c>
      <c r="AB137" s="16">
        <f t="shared" si="51"/>
        <v>7.1397323801442808E-3</v>
      </c>
      <c r="AC137" s="14">
        <f t="shared" si="49"/>
        <v>59.75213869615915</v>
      </c>
      <c r="AD137" s="16">
        <f t="shared" si="52"/>
        <v>0.35489465175358326</v>
      </c>
      <c r="AE137" s="16">
        <f t="shared" si="53"/>
        <v>5.445301853440538E-2</v>
      </c>
      <c r="AF137" s="23" t="str">
        <f t="shared" ref="AF137:AF200" si="71">IF(B137=$AF$6,$AF$5, "")</f>
        <v/>
      </c>
      <c r="AG137" s="23" t="str">
        <f t="shared" si="54"/>
        <v/>
      </c>
      <c r="AH137" s="23" t="str">
        <f t="shared" si="55"/>
        <v/>
      </c>
      <c r="AI137" s="23">
        <f t="shared" ref="AI137:AI200" si="72">IF(B137=$AI$6,$AI$5,"")</f>
        <v>300</v>
      </c>
      <c r="AJ137" s="23" t="str">
        <f t="shared" si="56"/>
        <v/>
      </c>
      <c r="AK137" s="23" t="str">
        <f t="shared" si="57"/>
        <v/>
      </c>
      <c r="AL137" s="23" t="str">
        <f t="shared" si="58"/>
        <v/>
      </c>
      <c r="AM137" s="23" t="str">
        <f t="shared" si="59"/>
        <v/>
      </c>
      <c r="AN137" s="19">
        <f t="shared" si="60"/>
        <v>300</v>
      </c>
      <c r="AO137" s="26">
        <f t="shared" si="61"/>
        <v>-199.22168397047744</v>
      </c>
    </row>
    <row r="138" spans="1:41" x14ac:dyDescent="0.2">
      <c r="A138" s="12">
        <v>44692</v>
      </c>
      <c r="B138" s="6">
        <v>11</v>
      </c>
      <c r="C138" s="6">
        <v>131</v>
      </c>
      <c r="D138" s="6">
        <v>4</v>
      </c>
      <c r="E138" s="6" t="s">
        <v>15</v>
      </c>
      <c r="F138" s="6">
        <v>19</v>
      </c>
      <c r="G138" s="6">
        <v>5</v>
      </c>
      <c r="H138" s="6" t="s">
        <v>21</v>
      </c>
      <c r="I138" s="6">
        <v>2</v>
      </c>
      <c r="J138" s="14">
        <v>27.245063396872386</v>
      </c>
      <c r="K138" s="14">
        <f t="shared" si="62"/>
        <v>27.245063396872386</v>
      </c>
      <c r="L138" s="14">
        <v>119.61341237632955</v>
      </c>
      <c r="M138" s="14">
        <f t="shared" si="63"/>
        <v>3258.8750033093388</v>
      </c>
      <c r="N138" s="16">
        <v>0.66265822845292488</v>
      </c>
      <c r="O138" s="14">
        <f t="shared" si="64"/>
        <v>2159.520336442486</v>
      </c>
      <c r="P138" s="14">
        <f t="shared" si="65"/>
        <v>1099.3546668668528</v>
      </c>
      <c r="Q138" s="14">
        <v>80.823266006039347</v>
      </c>
      <c r="R138" s="14">
        <v>38.615173083779325</v>
      </c>
      <c r="S138" s="14">
        <f t="shared" si="50"/>
        <v>12.987012987012987</v>
      </c>
      <c r="T138" s="14">
        <v>73.672849595720109</v>
      </c>
      <c r="U138" s="14">
        <f t="shared" si="66"/>
        <v>2281.2125023165372</v>
      </c>
      <c r="V138" s="14">
        <f t="shared" si="67"/>
        <v>83.729388663430697</v>
      </c>
      <c r="W138" s="14">
        <v>74.925595486640646</v>
      </c>
      <c r="X138" s="16">
        <f t="shared" si="68"/>
        <v>0.9652914860148667</v>
      </c>
      <c r="Y138" s="16">
        <f t="shared" ref="Y138:Y201" si="73">K138/W138</f>
        <v>0.3636282530678081</v>
      </c>
      <c r="Z138" s="16">
        <f t="shared" si="69"/>
        <v>0.94665461207560686</v>
      </c>
      <c r="AA138" s="16">
        <f t="shared" si="70"/>
        <v>0.32539427113686581</v>
      </c>
      <c r="AB138" s="16">
        <f t="shared" si="51"/>
        <v>3.9851215446511049E-3</v>
      </c>
      <c r="AC138" s="14">
        <f t="shared" ref="AC138:AC201" si="74">U138/K138</f>
        <v>83.729388663430697</v>
      </c>
      <c r="AD138" s="16">
        <f t="shared" si="52"/>
        <v>0.32283313649047712</v>
      </c>
      <c r="AE138" s="16">
        <f t="shared" si="53"/>
        <v>2.4800971477569569E-2</v>
      </c>
      <c r="AF138" s="23" t="str">
        <f t="shared" si="71"/>
        <v/>
      </c>
      <c r="AG138" s="23" t="str">
        <f t="shared" si="54"/>
        <v/>
      </c>
      <c r="AH138" s="23" t="str">
        <f t="shared" si="55"/>
        <v/>
      </c>
      <c r="AI138" s="23" t="str">
        <f t="shared" si="72"/>
        <v/>
      </c>
      <c r="AJ138" s="23" t="str">
        <f t="shared" si="56"/>
        <v/>
      </c>
      <c r="AK138" s="23" t="str">
        <f t="shared" si="57"/>
        <v/>
      </c>
      <c r="AL138" s="23" t="str">
        <f t="shared" si="58"/>
        <v/>
      </c>
      <c r="AM138" s="23" t="str">
        <f t="shared" si="59"/>
        <v/>
      </c>
      <c r="AN138" s="19">
        <f t="shared" si="60"/>
        <v>0</v>
      </c>
      <c r="AO138" s="26">
        <f t="shared" si="61"/>
        <v>1099.3546668668528</v>
      </c>
    </row>
    <row r="139" spans="1:41" x14ac:dyDescent="0.2">
      <c r="A139" s="12">
        <v>44693</v>
      </c>
      <c r="B139" s="6">
        <v>12</v>
      </c>
      <c r="C139" s="6">
        <v>132</v>
      </c>
      <c r="D139" s="6">
        <v>5</v>
      </c>
      <c r="E139" s="6" t="s">
        <v>16</v>
      </c>
      <c r="F139" s="6">
        <v>19</v>
      </c>
      <c r="G139" s="6">
        <v>5</v>
      </c>
      <c r="H139" s="6" t="s">
        <v>21</v>
      </c>
      <c r="I139" s="6">
        <v>2</v>
      </c>
      <c r="J139" s="14">
        <v>21.592205735795115</v>
      </c>
      <c r="K139" s="14">
        <f t="shared" si="62"/>
        <v>21.592205735795115</v>
      </c>
      <c r="L139" s="14">
        <v>48.304963744574778</v>
      </c>
      <c r="M139" s="14">
        <f t="shared" si="63"/>
        <v>1043.0107152329826</v>
      </c>
      <c r="N139" s="16">
        <v>0.92782142298073089</v>
      </c>
      <c r="O139" s="14">
        <f t="shared" si="64"/>
        <v>967.72768599161589</v>
      </c>
      <c r="P139" s="14">
        <f t="shared" si="65"/>
        <v>75.283029241366762</v>
      </c>
      <c r="Q139" s="14">
        <v>78.311345944263024</v>
      </c>
      <c r="R139" s="14">
        <v>19.74339844881343</v>
      </c>
      <c r="S139" s="14">
        <f t="shared" si="50"/>
        <v>12.987012987012987</v>
      </c>
      <c r="T139" s="14">
        <v>84.278205140686893</v>
      </c>
      <c r="U139" s="14">
        <f t="shared" si="66"/>
        <v>730.10750066308776</v>
      </c>
      <c r="V139" s="14">
        <f t="shared" si="67"/>
        <v>33.813474621202339</v>
      </c>
      <c r="W139" s="14">
        <v>102.78108609286895</v>
      </c>
      <c r="X139" s="16">
        <f t="shared" si="68"/>
        <v>2.3159804433454712</v>
      </c>
      <c r="Y139" s="16">
        <f t="shared" si="73"/>
        <v>0.2100795638244691</v>
      </c>
      <c r="Z139" s="16">
        <f t="shared" si="69"/>
        <v>1.3254591756867586</v>
      </c>
      <c r="AA139" s="16">
        <f t="shared" si="70"/>
        <v>0.63856808499224682</v>
      </c>
      <c r="AB139" s="16">
        <f t="shared" si="51"/>
        <v>1.2451466506853682E-2</v>
      </c>
      <c r="AC139" s="14">
        <f t="shared" si="74"/>
        <v>33.813474621202339</v>
      </c>
      <c r="AD139" s="16">
        <f t="shared" si="52"/>
        <v>0.40872400925941793</v>
      </c>
      <c r="AE139" s="16">
        <f t="shared" si="53"/>
        <v>7.5082014787134971E-2</v>
      </c>
      <c r="AF139" s="23" t="str">
        <f t="shared" si="71"/>
        <v/>
      </c>
      <c r="AG139" s="23" t="str">
        <f t="shared" si="54"/>
        <v/>
      </c>
      <c r="AH139" s="23" t="str">
        <f t="shared" si="55"/>
        <v/>
      </c>
      <c r="AI139" s="23" t="str">
        <f t="shared" si="72"/>
        <v/>
      </c>
      <c r="AJ139" s="23" t="str">
        <f t="shared" si="56"/>
        <v/>
      </c>
      <c r="AK139" s="23">
        <f t="shared" si="57"/>
        <v>480</v>
      </c>
      <c r="AL139" s="23" t="str">
        <f t="shared" si="58"/>
        <v/>
      </c>
      <c r="AM139" s="23" t="str">
        <f t="shared" si="59"/>
        <v/>
      </c>
      <c r="AN139" s="19">
        <f t="shared" si="60"/>
        <v>480</v>
      </c>
      <c r="AO139" s="26">
        <f t="shared" si="61"/>
        <v>-404.71697075863324</v>
      </c>
    </row>
    <row r="140" spans="1:41" x14ac:dyDescent="0.2">
      <c r="A140" s="12">
        <v>44694</v>
      </c>
      <c r="B140" s="6">
        <v>13</v>
      </c>
      <c r="C140" s="6">
        <v>133</v>
      </c>
      <c r="D140" s="6">
        <v>6</v>
      </c>
      <c r="E140" s="6" t="s">
        <v>17</v>
      </c>
      <c r="F140" s="6">
        <v>19</v>
      </c>
      <c r="G140" s="6">
        <v>5</v>
      </c>
      <c r="H140" s="6" t="s">
        <v>21</v>
      </c>
      <c r="I140" s="6">
        <v>2</v>
      </c>
      <c r="J140" s="14">
        <v>23.581037448966612</v>
      </c>
      <c r="K140" s="14">
        <f t="shared" si="62"/>
        <v>23.581037448966612</v>
      </c>
      <c r="L140" s="14">
        <v>64.736157190307438</v>
      </c>
      <c r="M140" s="14">
        <f t="shared" si="63"/>
        <v>1526.5457470068288</v>
      </c>
      <c r="N140" s="16">
        <v>0.97446478356269461</v>
      </c>
      <c r="O140" s="14">
        <f t="shared" si="64"/>
        <v>1487.5650709555614</v>
      </c>
      <c r="P140" s="14">
        <f t="shared" si="65"/>
        <v>38.980676051267437</v>
      </c>
      <c r="Q140" s="14">
        <v>96.44109209176402</v>
      </c>
      <c r="R140" s="14">
        <v>24.219618748071582</v>
      </c>
      <c r="S140" s="14">
        <f t="shared" si="50"/>
        <v>12.987012987012987</v>
      </c>
      <c r="T140" s="14">
        <v>75.842949057215222</v>
      </c>
      <c r="U140" s="14">
        <f t="shared" si="66"/>
        <v>1068.5820229047802</v>
      </c>
      <c r="V140" s="14">
        <f t="shared" si="67"/>
        <v>45.315310033215205</v>
      </c>
      <c r="W140" s="14">
        <v>66.863620141234748</v>
      </c>
      <c r="X140" s="16">
        <f t="shared" si="68"/>
        <v>2.1282231550677828</v>
      </c>
      <c r="Y140" s="16">
        <f t="shared" si="73"/>
        <v>0.35267365720188104</v>
      </c>
      <c r="Z140" s="16">
        <f t="shared" si="69"/>
        <v>1.3920925479467066</v>
      </c>
      <c r="AA140" s="16">
        <f t="shared" si="70"/>
        <v>0.52037683139941415</v>
      </c>
      <c r="AB140" s="16">
        <f t="shared" si="51"/>
        <v>8.5074508985251464E-3</v>
      </c>
      <c r="AC140" s="14">
        <f t="shared" si="74"/>
        <v>45.315310033215205</v>
      </c>
      <c r="AD140" s="16">
        <f t="shared" si="52"/>
        <v>0.37412815031439406</v>
      </c>
      <c r="AE140" s="16">
        <f t="shared" si="53"/>
        <v>6.3176024878953463E-2</v>
      </c>
      <c r="AF140" s="23" t="str">
        <f t="shared" si="71"/>
        <v/>
      </c>
      <c r="AG140" s="23" t="str">
        <f t="shared" si="54"/>
        <v/>
      </c>
      <c r="AH140" s="23" t="str">
        <f t="shared" si="55"/>
        <v/>
      </c>
      <c r="AI140" s="23" t="str">
        <f t="shared" si="72"/>
        <v/>
      </c>
      <c r="AJ140" s="23" t="str">
        <f t="shared" si="56"/>
        <v/>
      </c>
      <c r="AK140" s="23" t="str">
        <f t="shared" si="57"/>
        <v/>
      </c>
      <c r="AL140" s="23" t="str">
        <f t="shared" si="58"/>
        <v/>
      </c>
      <c r="AM140" s="23" t="str">
        <f t="shared" si="59"/>
        <v/>
      </c>
      <c r="AN140" s="19">
        <f t="shared" si="60"/>
        <v>0</v>
      </c>
      <c r="AO140" s="26">
        <f t="shared" si="61"/>
        <v>38.980676051267437</v>
      </c>
    </row>
    <row r="141" spans="1:41" x14ac:dyDescent="0.2">
      <c r="A141" s="12">
        <v>44695</v>
      </c>
      <c r="B141" s="6">
        <v>14</v>
      </c>
      <c r="C141" s="6">
        <v>134</v>
      </c>
      <c r="D141" s="6">
        <v>7</v>
      </c>
      <c r="E141" s="6" t="s">
        <v>10</v>
      </c>
      <c r="F141" s="6">
        <v>19</v>
      </c>
      <c r="G141" s="6">
        <v>5</v>
      </c>
      <c r="H141" s="6" t="s">
        <v>21</v>
      </c>
      <c r="I141" s="6">
        <v>2</v>
      </c>
      <c r="J141" s="14">
        <v>33.845362802089774</v>
      </c>
      <c r="K141" s="14">
        <f t="shared" si="62"/>
        <v>33.845362802089774</v>
      </c>
      <c r="L141" s="14">
        <v>108.35492916755783</v>
      </c>
      <c r="M141" s="14">
        <f t="shared" si="63"/>
        <v>3667.3118890707337</v>
      </c>
      <c r="N141" s="16">
        <v>0.52438846176846154</v>
      </c>
      <c r="O141" s="14">
        <f t="shared" si="64"/>
        <v>1923.0960403349929</v>
      </c>
      <c r="P141" s="14">
        <f t="shared" si="65"/>
        <v>1744.2158487357408</v>
      </c>
      <c r="Q141" s="14">
        <v>108.5191198720246</v>
      </c>
      <c r="R141" s="14">
        <v>13.74610537077727</v>
      </c>
      <c r="S141" s="14">
        <f t="shared" si="50"/>
        <v>12.987012987012987</v>
      </c>
      <c r="T141" s="14">
        <v>93.73822671892907</v>
      </c>
      <c r="U141" s="14">
        <f t="shared" si="66"/>
        <v>2567.1183223495136</v>
      </c>
      <c r="V141" s="14">
        <f t="shared" si="67"/>
        <v>75.848450417290479</v>
      </c>
      <c r="W141" s="14">
        <v>67.887381147897955</v>
      </c>
      <c r="X141" s="16">
        <f t="shared" si="68"/>
        <v>1.4307361491894961</v>
      </c>
      <c r="Y141" s="16">
        <f t="shared" si="73"/>
        <v>0.49855160458104891</v>
      </c>
      <c r="Z141" s="16">
        <f t="shared" si="69"/>
        <v>0.74912637395494508</v>
      </c>
      <c r="AA141" s="16">
        <f t="shared" si="70"/>
        <v>0.44622352356422507</v>
      </c>
      <c r="AB141" s="16">
        <f t="shared" si="51"/>
        <v>3.5412894730106493E-3</v>
      </c>
      <c r="AC141" s="14">
        <f t="shared" si="74"/>
        <v>75.848450417290479</v>
      </c>
      <c r="AD141" s="16">
        <f t="shared" si="52"/>
        <v>0.12686183707914733</v>
      </c>
      <c r="AE141" s="16">
        <f t="shared" si="53"/>
        <v>2.9590916495384974E-2</v>
      </c>
      <c r="AF141" s="23" t="str">
        <f t="shared" si="71"/>
        <v/>
      </c>
      <c r="AG141" s="23" t="str">
        <f t="shared" si="54"/>
        <v/>
      </c>
      <c r="AH141" s="23" t="str">
        <f t="shared" si="55"/>
        <v/>
      </c>
      <c r="AI141" s="23" t="str">
        <f t="shared" si="72"/>
        <v/>
      </c>
      <c r="AJ141" s="23" t="str">
        <f t="shared" si="56"/>
        <v/>
      </c>
      <c r="AK141" s="23" t="str">
        <f t="shared" si="57"/>
        <v/>
      </c>
      <c r="AL141" s="23" t="str">
        <f t="shared" si="58"/>
        <v/>
      </c>
      <c r="AM141" s="23" t="str">
        <f t="shared" si="59"/>
        <v/>
      </c>
      <c r="AN141" s="19">
        <f t="shared" si="60"/>
        <v>0</v>
      </c>
      <c r="AO141" s="26">
        <f t="shared" si="61"/>
        <v>1744.2158487357408</v>
      </c>
    </row>
    <row r="142" spans="1:41" x14ac:dyDescent="0.2">
      <c r="A142" s="12">
        <v>44696</v>
      </c>
      <c r="B142" s="6">
        <v>15</v>
      </c>
      <c r="C142" s="6">
        <v>135</v>
      </c>
      <c r="D142" s="6">
        <v>1</v>
      </c>
      <c r="E142" s="6" t="s">
        <v>12</v>
      </c>
      <c r="F142" s="6">
        <v>20</v>
      </c>
      <c r="G142" s="6">
        <v>5</v>
      </c>
      <c r="H142" s="6" t="s">
        <v>21</v>
      </c>
      <c r="I142" s="6">
        <v>2</v>
      </c>
      <c r="J142" s="14">
        <v>10.363570292957419</v>
      </c>
      <c r="K142" s="14">
        <f t="shared" si="62"/>
        <v>10.363570292957419</v>
      </c>
      <c r="L142" s="14">
        <v>12.842329503286829</v>
      </c>
      <c r="M142" s="14">
        <f t="shared" si="63"/>
        <v>133.09238453263399</v>
      </c>
      <c r="N142" s="16">
        <v>0.43889054074786127</v>
      </c>
      <c r="O142" s="14">
        <f t="shared" si="64"/>
        <v>58.412988616950017</v>
      </c>
      <c r="P142" s="14">
        <f t="shared" si="65"/>
        <v>74.679395915683969</v>
      </c>
      <c r="Q142" s="14">
        <v>56.515010946084338</v>
      </c>
      <c r="R142" s="14">
        <v>14.815388229544702</v>
      </c>
      <c r="S142" s="14">
        <f t="shared" si="50"/>
        <v>28.571428571428573</v>
      </c>
      <c r="T142" s="14">
        <v>38.20066862687149</v>
      </c>
      <c r="U142" s="14">
        <f t="shared" si="66"/>
        <v>93.164669172843787</v>
      </c>
      <c r="V142" s="14">
        <f t="shared" si="67"/>
        <v>8.9896306523007787</v>
      </c>
      <c r="W142" s="14">
        <v>39.128981497815445</v>
      </c>
      <c r="X142" s="16">
        <f t="shared" si="68"/>
        <v>6.2866888676477561</v>
      </c>
      <c r="Y142" s="16">
        <f t="shared" si="73"/>
        <v>0.26485663301857254</v>
      </c>
      <c r="Z142" s="16">
        <f t="shared" si="69"/>
        <v>0.626986486782659</v>
      </c>
      <c r="AA142" s="16">
        <f t="shared" si="70"/>
        <v>1.1528360500889987</v>
      </c>
      <c r="AB142" s="16">
        <f t="shared" si="51"/>
        <v>0.21467365448263431</v>
      </c>
      <c r="AC142" s="14">
        <f t="shared" si="74"/>
        <v>8.9896306523007787</v>
      </c>
      <c r="AD142" s="16">
        <f t="shared" si="52"/>
        <v>1.1536371361405182</v>
      </c>
      <c r="AE142" s="16">
        <f t="shared" si="53"/>
        <v>0.4246299376522702</v>
      </c>
      <c r="AF142" s="23" t="str">
        <f t="shared" si="71"/>
        <v/>
      </c>
      <c r="AG142" s="23">
        <f t="shared" si="54"/>
        <v>1000</v>
      </c>
      <c r="AH142" s="23">
        <f t="shared" si="55"/>
        <v>300</v>
      </c>
      <c r="AI142" s="23" t="str">
        <f t="shared" si="72"/>
        <v/>
      </c>
      <c r="AJ142" s="23" t="str">
        <f t="shared" si="56"/>
        <v/>
      </c>
      <c r="AK142" s="23" t="str">
        <f t="shared" si="57"/>
        <v/>
      </c>
      <c r="AL142" s="23" t="str">
        <f t="shared" si="58"/>
        <v/>
      </c>
      <c r="AM142" s="23" t="str">
        <f t="shared" si="59"/>
        <v/>
      </c>
      <c r="AN142" s="19">
        <f t="shared" si="60"/>
        <v>1300</v>
      </c>
      <c r="AO142" s="26">
        <f t="shared" si="61"/>
        <v>-1225.3206040843161</v>
      </c>
    </row>
    <row r="143" spans="1:41" x14ac:dyDescent="0.2">
      <c r="A143" s="12">
        <v>44697</v>
      </c>
      <c r="B143" s="6">
        <v>16</v>
      </c>
      <c r="C143" s="6">
        <v>136</v>
      </c>
      <c r="D143" s="6">
        <v>2</v>
      </c>
      <c r="E143" s="6" t="s">
        <v>13</v>
      </c>
      <c r="F143" s="6">
        <v>20</v>
      </c>
      <c r="G143" s="6">
        <v>5</v>
      </c>
      <c r="H143" s="6" t="s">
        <v>21</v>
      </c>
      <c r="I143" s="6">
        <v>2</v>
      </c>
      <c r="J143" s="14">
        <v>22.977190451702679</v>
      </c>
      <c r="K143" s="14">
        <f t="shared" si="62"/>
        <v>22.977190451702679</v>
      </c>
      <c r="L143" s="14">
        <v>63.093065563304464</v>
      </c>
      <c r="M143" s="14">
        <f t="shared" si="63"/>
        <v>1449.7013836298104</v>
      </c>
      <c r="N143" s="16">
        <v>0.59352155782844329</v>
      </c>
      <c r="O143" s="14">
        <f t="shared" si="64"/>
        <v>860.42902359801474</v>
      </c>
      <c r="P143" s="14">
        <f t="shared" si="65"/>
        <v>589.27236003179564</v>
      </c>
      <c r="Q143" s="14">
        <v>102.90388699331075</v>
      </c>
      <c r="R143" s="14">
        <v>19.364258230515272</v>
      </c>
      <c r="S143" s="14">
        <f t="shared" si="50"/>
        <v>12.987012987012987</v>
      </c>
      <c r="T143" s="14">
        <v>98.025905354615929</v>
      </c>
      <c r="U143" s="14">
        <f t="shared" si="66"/>
        <v>1014.7909685408672</v>
      </c>
      <c r="V143" s="14">
        <f t="shared" si="67"/>
        <v>44.16514589431312</v>
      </c>
      <c r="W143" s="14">
        <v>87.665417380820642</v>
      </c>
      <c r="X143" s="16">
        <f t="shared" si="68"/>
        <v>2.3299795553615743</v>
      </c>
      <c r="Y143" s="16">
        <f t="shared" si="73"/>
        <v>0.26210096453301784</v>
      </c>
      <c r="Z143" s="16">
        <f t="shared" si="69"/>
        <v>0.84788793975491905</v>
      </c>
      <c r="AA143" s="16">
        <f t="shared" si="70"/>
        <v>0.52025618814181962</v>
      </c>
      <c r="AB143" s="16">
        <f t="shared" si="51"/>
        <v>8.9584055955687046E-3</v>
      </c>
      <c r="AC143" s="14">
        <f t="shared" si="74"/>
        <v>44.16514589431312</v>
      </c>
      <c r="AD143" s="16">
        <f t="shared" si="52"/>
        <v>0.30691579268859798</v>
      </c>
      <c r="AE143" s="16">
        <f t="shared" si="53"/>
        <v>7.0982816292591636E-2</v>
      </c>
      <c r="AF143" s="23" t="str">
        <f t="shared" si="71"/>
        <v/>
      </c>
      <c r="AG143" s="23" t="str">
        <f t="shared" si="54"/>
        <v/>
      </c>
      <c r="AH143" s="23" t="str">
        <f t="shared" si="55"/>
        <v/>
      </c>
      <c r="AI143" s="23" t="str">
        <f t="shared" si="72"/>
        <v/>
      </c>
      <c r="AJ143" s="23" t="str">
        <f t="shared" si="56"/>
        <v/>
      </c>
      <c r="AK143" s="23" t="str">
        <f t="shared" si="57"/>
        <v/>
      </c>
      <c r="AL143" s="23" t="str">
        <f t="shared" si="58"/>
        <v/>
      </c>
      <c r="AM143" s="23" t="str">
        <f t="shared" si="59"/>
        <v/>
      </c>
      <c r="AN143" s="19">
        <f t="shared" si="60"/>
        <v>0</v>
      </c>
      <c r="AO143" s="26">
        <f t="shared" si="61"/>
        <v>589.27236003179564</v>
      </c>
    </row>
    <row r="144" spans="1:41" x14ac:dyDescent="0.2">
      <c r="A144" s="12">
        <v>44698</v>
      </c>
      <c r="B144" s="6">
        <v>17</v>
      </c>
      <c r="C144" s="6">
        <v>137</v>
      </c>
      <c r="D144" s="6">
        <v>3</v>
      </c>
      <c r="E144" s="6" t="s">
        <v>14</v>
      </c>
      <c r="F144" s="6">
        <v>20</v>
      </c>
      <c r="G144" s="6">
        <v>5</v>
      </c>
      <c r="H144" s="6" t="s">
        <v>21</v>
      </c>
      <c r="I144" s="6">
        <v>2</v>
      </c>
      <c r="J144" s="14">
        <v>32.767007968238886</v>
      </c>
      <c r="K144" s="14">
        <f t="shared" si="62"/>
        <v>32.767007968238886</v>
      </c>
      <c r="L144" s="14">
        <v>95.420067408027606</v>
      </c>
      <c r="M144" s="14">
        <f t="shared" si="63"/>
        <v>3126.6301090887323</v>
      </c>
      <c r="N144" s="16">
        <v>1.0185455120524578</v>
      </c>
      <c r="O144" s="14">
        <f t="shared" si="64"/>
        <v>3184.6150654604148</v>
      </c>
      <c r="P144" s="14">
        <f t="shared" si="65"/>
        <v>-57.984956371682529</v>
      </c>
      <c r="Q144" s="14">
        <v>57.885704767713889</v>
      </c>
      <c r="R144" s="14">
        <v>28.968774393336368</v>
      </c>
      <c r="S144" s="14">
        <f t="shared" si="50"/>
        <v>12.987012987012987</v>
      </c>
      <c r="T144" s="14">
        <v>99.174874106520477</v>
      </c>
      <c r="U144" s="14">
        <f t="shared" si="66"/>
        <v>2188.6410763621125</v>
      </c>
      <c r="V144" s="14">
        <f t="shared" si="67"/>
        <v>66.79404718561932</v>
      </c>
      <c r="W144" s="14">
        <v>85.707723311394915</v>
      </c>
      <c r="X144" s="16">
        <f t="shared" si="68"/>
        <v>0.86662969541059065</v>
      </c>
      <c r="Y144" s="16">
        <f t="shared" si="73"/>
        <v>0.38231102988454346</v>
      </c>
      <c r="Z144" s="16">
        <f t="shared" si="69"/>
        <v>1.455065017217797</v>
      </c>
      <c r="AA144" s="16">
        <f t="shared" si="70"/>
        <v>0.49056778783264959</v>
      </c>
      <c r="AB144" s="16">
        <f t="shared" si="51"/>
        <v>4.153677452686624E-3</v>
      </c>
      <c r="AC144" s="14">
        <f t="shared" si="74"/>
        <v>66.79404718561932</v>
      </c>
      <c r="AD144" s="16">
        <f t="shared" si="52"/>
        <v>0.30359205542647993</v>
      </c>
      <c r="AE144" s="16">
        <f t="shared" si="53"/>
        <v>1.851376809794264E-2</v>
      </c>
      <c r="AF144" s="23" t="str">
        <f t="shared" si="71"/>
        <v/>
      </c>
      <c r="AG144" s="23" t="str">
        <f t="shared" si="54"/>
        <v/>
      </c>
      <c r="AH144" s="23" t="str">
        <f t="shared" si="55"/>
        <v/>
      </c>
      <c r="AI144" s="23" t="str">
        <f t="shared" si="72"/>
        <v/>
      </c>
      <c r="AJ144" s="23" t="str">
        <f t="shared" si="56"/>
        <v/>
      </c>
      <c r="AK144" s="23" t="str">
        <f t="shared" si="57"/>
        <v/>
      </c>
      <c r="AL144" s="23" t="str">
        <f t="shared" si="58"/>
        <v/>
      </c>
      <c r="AM144" s="23" t="str">
        <f t="shared" si="59"/>
        <v/>
      </c>
      <c r="AN144" s="19">
        <f t="shared" si="60"/>
        <v>0</v>
      </c>
      <c r="AO144" s="26">
        <f t="shared" si="61"/>
        <v>-57.984956371682529</v>
      </c>
    </row>
    <row r="145" spans="1:41" x14ac:dyDescent="0.2">
      <c r="A145" s="12">
        <v>44699</v>
      </c>
      <c r="B145" s="6">
        <v>18</v>
      </c>
      <c r="C145" s="6">
        <v>138</v>
      </c>
      <c r="D145" s="6">
        <v>4</v>
      </c>
      <c r="E145" s="6" t="s">
        <v>15</v>
      </c>
      <c r="F145" s="6">
        <v>20</v>
      </c>
      <c r="G145" s="6">
        <v>5</v>
      </c>
      <c r="H145" s="6" t="s">
        <v>21</v>
      </c>
      <c r="I145" s="6">
        <v>2</v>
      </c>
      <c r="J145" s="14">
        <v>28.794465290977715</v>
      </c>
      <c r="K145" s="14">
        <f t="shared" si="62"/>
        <v>28.794465290977715</v>
      </c>
      <c r="L145" s="14">
        <v>89.09244078527864</v>
      </c>
      <c r="M145" s="14">
        <f t="shared" si="63"/>
        <v>2565.3691938801931</v>
      </c>
      <c r="N145" s="16">
        <v>0.64736433672609572</v>
      </c>
      <c r="O145" s="14">
        <f t="shared" si="64"/>
        <v>1660.7285266538101</v>
      </c>
      <c r="P145" s="14">
        <f t="shared" si="65"/>
        <v>904.6406672263829</v>
      </c>
      <c r="Q145" s="14">
        <v>105.7799972459039</v>
      </c>
      <c r="R145" s="14">
        <v>21.927290362733306</v>
      </c>
      <c r="S145" s="14">
        <f t="shared" si="50"/>
        <v>12.987012987012987</v>
      </c>
      <c r="T145" s="14">
        <v>68.431407825595912</v>
      </c>
      <c r="U145" s="14">
        <f t="shared" si="66"/>
        <v>1795.758435716135</v>
      </c>
      <c r="V145" s="14">
        <f t="shared" si="67"/>
        <v>62.364708549695038</v>
      </c>
      <c r="W145" s="14">
        <v>85.332939908194604</v>
      </c>
      <c r="X145" s="16">
        <f t="shared" si="68"/>
        <v>1.6961515527906874</v>
      </c>
      <c r="Y145" s="16">
        <f t="shared" si="73"/>
        <v>0.33743669586394454</v>
      </c>
      <c r="Z145" s="16">
        <f t="shared" si="69"/>
        <v>0.92480619532299402</v>
      </c>
      <c r="AA145" s="16">
        <f t="shared" si="70"/>
        <v>0.46171089323752673</v>
      </c>
      <c r="AB145" s="16">
        <f t="shared" si="51"/>
        <v>5.062434295225072E-3</v>
      </c>
      <c r="AC145" s="14">
        <f t="shared" si="74"/>
        <v>62.364708549695038</v>
      </c>
      <c r="AD145" s="16">
        <f t="shared" si="52"/>
        <v>0.24611841554077732</v>
      </c>
      <c r="AE145" s="16">
        <f t="shared" si="53"/>
        <v>4.1233830007098772E-2</v>
      </c>
      <c r="AF145" s="23" t="str">
        <f t="shared" si="71"/>
        <v/>
      </c>
      <c r="AG145" s="23" t="str">
        <f t="shared" si="54"/>
        <v/>
      </c>
      <c r="AH145" s="23" t="str">
        <f t="shared" si="55"/>
        <v/>
      </c>
      <c r="AI145" s="23" t="str">
        <f t="shared" si="72"/>
        <v/>
      </c>
      <c r="AJ145" s="23" t="str">
        <f t="shared" si="56"/>
        <v/>
      </c>
      <c r="AK145" s="23" t="str">
        <f t="shared" si="57"/>
        <v/>
      </c>
      <c r="AL145" s="23" t="str">
        <f t="shared" si="58"/>
        <v/>
      </c>
      <c r="AM145" s="23" t="str">
        <f t="shared" si="59"/>
        <v/>
      </c>
      <c r="AN145" s="19">
        <f t="shared" si="60"/>
        <v>0</v>
      </c>
      <c r="AO145" s="26">
        <f t="shared" si="61"/>
        <v>904.6406672263829</v>
      </c>
    </row>
    <row r="146" spans="1:41" x14ac:dyDescent="0.2">
      <c r="A146" s="12">
        <v>44700</v>
      </c>
      <c r="B146" s="6">
        <v>19</v>
      </c>
      <c r="C146" s="6">
        <v>139</v>
      </c>
      <c r="D146" s="6">
        <v>5</v>
      </c>
      <c r="E146" s="6" t="s">
        <v>16</v>
      </c>
      <c r="F146" s="6">
        <v>20</v>
      </c>
      <c r="G146" s="6">
        <v>5</v>
      </c>
      <c r="H146" s="6" t="s">
        <v>21</v>
      </c>
      <c r="I146" s="6">
        <v>2</v>
      </c>
      <c r="J146" s="14">
        <v>21.362874565447314</v>
      </c>
      <c r="K146" s="14">
        <f t="shared" si="62"/>
        <v>21.362874565447314</v>
      </c>
      <c r="L146" s="14">
        <v>142.48256603420486</v>
      </c>
      <c r="M146" s="14">
        <f t="shared" si="63"/>
        <v>3043.8371859517824</v>
      </c>
      <c r="N146" s="16">
        <v>0.65690840638738868</v>
      </c>
      <c r="O146" s="14">
        <f t="shared" si="64"/>
        <v>1999.5222351262591</v>
      </c>
      <c r="P146" s="14">
        <f t="shared" si="65"/>
        <v>1044.3149508255233</v>
      </c>
      <c r="Q146" s="14">
        <v>120.06265659567867</v>
      </c>
      <c r="R146" s="14">
        <v>55.139460139137896</v>
      </c>
      <c r="S146" s="14">
        <f t="shared" si="50"/>
        <v>12.987012987012987</v>
      </c>
      <c r="T146" s="14">
        <v>88.719645004446704</v>
      </c>
      <c r="U146" s="14">
        <f t="shared" si="66"/>
        <v>2130.6860301662477</v>
      </c>
      <c r="V146" s="14">
        <f t="shared" si="67"/>
        <v>99.737796223943405</v>
      </c>
      <c r="W146" s="14">
        <v>86.394319464561022</v>
      </c>
      <c r="X146" s="16">
        <f t="shared" si="68"/>
        <v>1.2037829302554413</v>
      </c>
      <c r="Y146" s="16">
        <f t="shared" si="73"/>
        <v>0.24727175001604557</v>
      </c>
      <c r="Z146" s="16">
        <f t="shared" si="69"/>
        <v>0.9384405805534124</v>
      </c>
      <c r="AA146" s="16">
        <f t="shared" si="70"/>
        <v>0.21419036086861989</v>
      </c>
      <c r="AB146" s="16">
        <f t="shared" si="51"/>
        <v>4.2666582322313197E-3</v>
      </c>
      <c r="AC146" s="14">
        <f t="shared" si="74"/>
        <v>99.737796223943405</v>
      </c>
      <c r="AD146" s="16">
        <f t="shared" si="52"/>
        <v>0.38699092579439454</v>
      </c>
      <c r="AE146" s="16">
        <f t="shared" si="53"/>
        <v>3.944450680535861E-2</v>
      </c>
      <c r="AF146" s="23" t="str">
        <f t="shared" si="71"/>
        <v/>
      </c>
      <c r="AG146" s="23" t="str">
        <f t="shared" si="54"/>
        <v/>
      </c>
      <c r="AH146" s="23" t="str">
        <f t="shared" si="55"/>
        <v/>
      </c>
      <c r="AI146" s="23" t="str">
        <f t="shared" si="72"/>
        <v/>
      </c>
      <c r="AJ146" s="23" t="str">
        <f t="shared" si="56"/>
        <v/>
      </c>
      <c r="AK146" s="23" t="str">
        <f t="shared" si="57"/>
        <v/>
      </c>
      <c r="AL146" s="23" t="str">
        <f t="shared" si="58"/>
        <v/>
      </c>
      <c r="AM146" s="23" t="str">
        <f t="shared" si="59"/>
        <v/>
      </c>
      <c r="AN146" s="19">
        <f t="shared" si="60"/>
        <v>0</v>
      </c>
      <c r="AO146" s="26">
        <f t="shared" si="61"/>
        <v>1044.3149508255233</v>
      </c>
    </row>
    <row r="147" spans="1:41" x14ac:dyDescent="0.2">
      <c r="A147" s="12">
        <v>44701</v>
      </c>
      <c r="B147" s="6">
        <v>20</v>
      </c>
      <c r="C147" s="6">
        <v>140</v>
      </c>
      <c r="D147" s="6">
        <v>6</v>
      </c>
      <c r="E147" s="6" t="s">
        <v>17</v>
      </c>
      <c r="F147" s="6">
        <v>20</v>
      </c>
      <c r="G147" s="6">
        <v>5</v>
      </c>
      <c r="H147" s="6" t="s">
        <v>21</v>
      </c>
      <c r="I147" s="6">
        <v>2</v>
      </c>
      <c r="J147" s="14">
        <v>28.577428694273912</v>
      </c>
      <c r="K147" s="14">
        <f t="shared" si="62"/>
        <v>28.577428694273912</v>
      </c>
      <c r="L147" s="14">
        <v>47.658573611430029</v>
      </c>
      <c r="M147" s="14">
        <f t="shared" si="63"/>
        <v>1361.9594890514461</v>
      </c>
      <c r="N147" s="16">
        <v>0.93978080993970359</v>
      </c>
      <c r="O147" s="14">
        <f t="shared" si="64"/>
        <v>1279.943391725833</v>
      </c>
      <c r="P147" s="14">
        <f t="shared" si="65"/>
        <v>82.016097325613146</v>
      </c>
      <c r="Q147" s="14">
        <v>62.46301536907589</v>
      </c>
      <c r="R147" s="14">
        <v>27.592188965309187</v>
      </c>
      <c r="S147" s="14">
        <f t="shared" si="50"/>
        <v>12.987012987012987</v>
      </c>
      <c r="T147" s="14">
        <v>86.555487702965792</v>
      </c>
      <c r="U147" s="14">
        <f t="shared" si="66"/>
        <v>953.3716423360122</v>
      </c>
      <c r="V147" s="14">
        <f t="shared" si="67"/>
        <v>33.361001528001019</v>
      </c>
      <c r="W147" s="14">
        <v>86.913733009071365</v>
      </c>
      <c r="X147" s="16">
        <f t="shared" si="68"/>
        <v>1.8723363360853709</v>
      </c>
      <c r="Y147" s="16">
        <f t="shared" si="73"/>
        <v>0.32880222382452756</v>
      </c>
      <c r="Z147" s="16">
        <f t="shared" si="69"/>
        <v>1.3425440141995768</v>
      </c>
      <c r="AA147" s="16">
        <f t="shared" si="70"/>
        <v>0.85661183373910132</v>
      </c>
      <c r="AB147" s="16">
        <f t="shared" si="51"/>
        <v>9.5355354483105479E-3</v>
      </c>
      <c r="AC147" s="14">
        <f t="shared" si="74"/>
        <v>33.361001528001019</v>
      </c>
      <c r="AD147" s="16">
        <f t="shared" si="52"/>
        <v>0.57895540874290263</v>
      </c>
      <c r="AE147" s="16">
        <f t="shared" si="53"/>
        <v>4.5862608889034609E-2</v>
      </c>
      <c r="AF147" s="23" t="str">
        <f t="shared" si="71"/>
        <v/>
      </c>
      <c r="AG147" s="23" t="str">
        <f t="shared" si="54"/>
        <v/>
      </c>
      <c r="AH147" s="23" t="str">
        <f t="shared" si="55"/>
        <v/>
      </c>
      <c r="AI147" s="23" t="str">
        <f t="shared" si="72"/>
        <v/>
      </c>
      <c r="AJ147" s="23">
        <f t="shared" si="56"/>
        <v>100</v>
      </c>
      <c r="AK147" s="23" t="str">
        <f t="shared" si="57"/>
        <v/>
      </c>
      <c r="AL147" s="23" t="str">
        <f t="shared" si="58"/>
        <v/>
      </c>
      <c r="AM147" s="23" t="str">
        <f t="shared" si="59"/>
        <v/>
      </c>
      <c r="AN147" s="19">
        <f t="shared" si="60"/>
        <v>100</v>
      </c>
      <c r="AO147" s="26">
        <f t="shared" si="61"/>
        <v>-17.983902674386854</v>
      </c>
    </row>
    <row r="148" spans="1:41" x14ac:dyDescent="0.2">
      <c r="A148" s="12">
        <v>44702</v>
      </c>
      <c r="B148" s="6">
        <v>21</v>
      </c>
      <c r="C148" s="6">
        <v>141</v>
      </c>
      <c r="D148" s="6">
        <v>7</v>
      </c>
      <c r="E148" s="6" t="s">
        <v>10</v>
      </c>
      <c r="F148" s="6">
        <v>20</v>
      </c>
      <c r="G148" s="6">
        <v>5</v>
      </c>
      <c r="H148" s="6" t="s">
        <v>21</v>
      </c>
      <c r="I148" s="6">
        <v>2</v>
      </c>
      <c r="J148" s="14">
        <v>26.465993863857058</v>
      </c>
      <c r="K148" s="14">
        <f t="shared" si="62"/>
        <v>26.465993863857058</v>
      </c>
      <c r="L148" s="14">
        <v>76.210791025576043</v>
      </c>
      <c r="M148" s="14">
        <f t="shared" si="63"/>
        <v>2016.9943276425881</v>
      </c>
      <c r="N148" s="16">
        <v>0.83069725005272332</v>
      </c>
      <c r="O148" s="14">
        <f t="shared" si="64"/>
        <v>1675.5116413446397</v>
      </c>
      <c r="P148" s="14">
        <f t="shared" si="65"/>
        <v>341.48268629794848</v>
      </c>
      <c r="Q148" s="14">
        <v>78.172595222205516</v>
      </c>
      <c r="R148" s="14">
        <v>16.798010124089949</v>
      </c>
      <c r="S148" s="14">
        <f t="shared" si="50"/>
        <v>12.987012987012987</v>
      </c>
      <c r="T148" s="14">
        <v>101.17630685040331</v>
      </c>
      <c r="U148" s="14">
        <f t="shared" si="66"/>
        <v>1411.8960293498117</v>
      </c>
      <c r="V148" s="14">
        <f t="shared" si="67"/>
        <v>53.347553717903232</v>
      </c>
      <c r="W148" s="14">
        <v>80.275561046365411</v>
      </c>
      <c r="X148" s="16">
        <f t="shared" si="68"/>
        <v>1.4653454521190368</v>
      </c>
      <c r="Y148" s="16">
        <f t="shared" si="73"/>
        <v>0.32968930417777931</v>
      </c>
      <c r="Z148" s="16">
        <f t="shared" si="69"/>
        <v>1.1867103572181763</v>
      </c>
      <c r="AA148" s="16">
        <f t="shared" si="70"/>
        <v>0.49610510734581581</v>
      </c>
      <c r="AB148" s="16">
        <f t="shared" si="51"/>
        <v>6.4387949976001564E-3</v>
      </c>
      <c r="AC148" s="14">
        <f t="shared" si="74"/>
        <v>53.347553717903232</v>
      </c>
      <c r="AD148" s="16">
        <f t="shared" si="52"/>
        <v>0.22041511310980361</v>
      </c>
      <c r="AE148" s="16">
        <f t="shared" si="53"/>
        <v>3.8756973260094224E-2</v>
      </c>
      <c r="AF148" s="23" t="str">
        <f t="shared" si="71"/>
        <v/>
      </c>
      <c r="AG148" s="23" t="str">
        <f t="shared" si="54"/>
        <v/>
      </c>
      <c r="AH148" s="23" t="str">
        <f t="shared" si="55"/>
        <v/>
      </c>
      <c r="AI148" s="23" t="str">
        <f t="shared" si="72"/>
        <v/>
      </c>
      <c r="AJ148" s="23" t="str">
        <f t="shared" si="56"/>
        <v/>
      </c>
      <c r="AK148" s="23" t="str">
        <f t="shared" si="57"/>
        <v/>
      </c>
      <c r="AL148" s="23" t="str">
        <f t="shared" si="58"/>
        <v/>
      </c>
      <c r="AM148" s="23" t="str">
        <f t="shared" si="59"/>
        <v/>
      </c>
      <c r="AN148" s="19">
        <f t="shared" si="60"/>
        <v>0</v>
      </c>
      <c r="AO148" s="26">
        <f t="shared" si="61"/>
        <v>341.48268629794848</v>
      </c>
    </row>
    <row r="149" spans="1:41" x14ac:dyDescent="0.2">
      <c r="A149" s="12">
        <v>44703</v>
      </c>
      <c r="B149" s="6">
        <v>22</v>
      </c>
      <c r="C149" s="6">
        <v>142</v>
      </c>
      <c r="D149" s="6">
        <v>1</v>
      </c>
      <c r="E149" s="6" t="s">
        <v>12</v>
      </c>
      <c r="F149" s="6">
        <v>21</v>
      </c>
      <c r="G149" s="6">
        <v>5</v>
      </c>
      <c r="H149" s="6" t="s">
        <v>21</v>
      </c>
      <c r="I149" s="6">
        <v>2</v>
      </c>
      <c r="J149" s="14">
        <v>1.8251984161089996</v>
      </c>
      <c r="K149" s="14">
        <f t="shared" si="62"/>
        <v>1.8251984161089996</v>
      </c>
      <c r="L149" s="14">
        <v>36.536318144010671</v>
      </c>
      <c r="M149" s="14">
        <f t="shared" si="63"/>
        <v>66.686030006902783</v>
      </c>
      <c r="N149" s="16">
        <v>0.25738135846017152</v>
      </c>
      <c r="O149" s="14">
        <f t="shared" si="64"/>
        <v>17.1637409934924</v>
      </c>
      <c r="P149" s="14">
        <f t="shared" si="65"/>
        <v>49.522289013410386</v>
      </c>
      <c r="Q149" s="14">
        <v>21.118001571789009</v>
      </c>
      <c r="R149" s="14">
        <v>3.2889020644864524</v>
      </c>
      <c r="S149" s="14">
        <f t="shared" si="50"/>
        <v>28.571428571428573</v>
      </c>
      <c r="T149" s="14">
        <v>14.891186442817315</v>
      </c>
      <c r="U149" s="14">
        <f t="shared" si="66"/>
        <v>46.680221004831942</v>
      </c>
      <c r="V149" s="14">
        <f t="shared" si="67"/>
        <v>25.575422700807469</v>
      </c>
      <c r="W149" s="14">
        <v>14.787218929439765</v>
      </c>
      <c r="X149" s="16">
        <f t="shared" si="68"/>
        <v>0.82571466438059182</v>
      </c>
      <c r="Y149" s="16">
        <f t="shared" si="73"/>
        <v>0.12343081040581778</v>
      </c>
      <c r="Z149" s="16">
        <f t="shared" si="69"/>
        <v>0.36768765494310224</v>
      </c>
      <c r="AA149" s="16">
        <f t="shared" si="70"/>
        <v>7.1365327465394118E-2</v>
      </c>
      <c r="AB149" s="16">
        <f t="shared" si="51"/>
        <v>0.42844698609995374</v>
      </c>
      <c r="AC149" s="14">
        <f t="shared" si="74"/>
        <v>25.575422700807469</v>
      </c>
      <c r="AD149" s="16">
        <f t="shared" si="52"/>
        <v>9.0017337037711226E-2</v>
      </c>
      <c r="AE149" s="16">
        <f t="shared" si="53"/>
        <v>0.31667804440604802</v>
      </c>
      <c r="AF149" s="23" t="str">
        <f t="shared" si="71"/>
        <v/>
      </c>
      <c r="AG149" s="23">
        <f t="shared" si="54"/>
        <v>1000</v>
      </c>
      <c r="AH149" s="23" t="str">
        <f t="shared" si="55"/>
        <v/>
      </c>
      <c r="AI149" s="23" t="str">
        <f t="shared" si="72"/>
        <v/>
      </c>
      <c r="AJ149" s="23" t="str">
        <f t="shared" si="56"/>
        <v/>
      </c>
      <c r="AK149" s="23" t="str">
        <f t="shared" si="57"/>
        <v/>
      </c>
      <c r="AL149" s="23" t="str">
        <f t="shared" si="58"/>
        <v/>
      </c>
      <c r="AM149" s="23" t="str">
        <f t="shared" si="59"/>
        <v/>
      </c>
      <c r="AN149" s="19">
        <f t="shared" si="60"/>
        <v>1000</v>
      </c>
      <c r="AO149" s="26">
        <f t="shared" si="61"/>
        <v>-950.47771098658961</v>
      </c>
    </row>
    <row r="150" spans="1:41" x14ac:dyDescent="0.2">
      <c r="A150" s="12">
        <v>44704</v>
      </c>
      <c r="B150" s="6">
        <v>23</v>
      </c>
      <c r="C150" s="6">
        <v>143</v>
      </c>
      <c r="D150" s="6">
        <v>2</v>
      </c>
      <c r="E150" s="6" t="s">
        <v>13</v>
      </c>
      <c r="F150" s="6">
        <v>21</v>
      </c>
      <c r="G150" s="6">
        <v>5</v>
      </c>
      <c r="H150" s="6" t="s">
        <v>21</v>
      </c>
      <c r="I150" s="6">
        <v>2</v>
      </c>
      <c r="J150" s="14">
        <v>12.06922685290035</v>
      </c>
      <c r="K150" s="14">
        <f t="shared" si="62"/>
        <v>12.06922685290035</v>
      </c>
      <c r="L150" s="14">
        <v>85.738204206743831</v>
      </c>
      <c r="M150" s="14">
        <f t="shared" si="63"/>
        <v>1034.7938365314865</v>
      </c>
      <c r="N150" s="16">
        <v>0.64929630523267456</v>
      </c>
      <c r="O150" s="14">
        <f t="shared" si="64"/>
        <v>671.88781473743836</v>
      </c>
      <c r="P150" s="14">
        <f t="shared" si="65"/>
        <v>362.90602179404812</v>
      </c>
      <c r="Q150" s="14">
        <v>37.749711590782354</v>
      </c>
      <c r="R150" s="14">
        <v>12.535134402420974</v>
      </c>
      <c r="S150" s="14">
        <f t="shared" si="50"/>
        <v>12.987012987012987</v>
      </c>
      <c r="T150" s="14">
        <v>36.343111673363417</v>
      </c>
      <c r="U150" s="14">
        <f t="shared" si="66"/>
        <v>724.35568557204044</v>
      </c>
      <c r="V150" s="14">
        <f t="shared" si="67"/>
        <v>60.016742944720676</v>
      </c>
      <c r="W150" s="14">
        <v>32.439430196634454</v>
      </c>
      <c r="X150" s="16">
        <f t="shared" si="68"/>
        <v>0.62898634178719581</v>
      </c>
      <c r="Y150" s="16">
        <f t="shared" si="73"/>
        <v>0.37205421857725834</v>
      </c>
      <c r="Z150" s="16">
        <f t="shared" si="69"/>
        <v>0.92756615033239231</v>
      </c>
      <c r="AA150" s="16">
        <f t="shared" si="70"/>
        <v>0.20109766476359595</v>
      </c>
      <c r="AB150" s="16">
        <f t="shared" si="51"/>
        <v>1.255033855878385E-2</v>
      </c>
      <c r="AC150" s="14">
        <f t="shared" si="74"/>
        <v>60.016742944720676</v>
      </c>
      <c r="AD150" s="16">
        <f t="shared" si="52"/>
        <v>0.14620243703955499</v>
      </c>
      <c r="AE150" s="16">
        <f t="shared" si="53"/>
        <v>3.6480417893978934E-2</v>
      </c>
      <c r="AF150" s="23" t="str">
        <f t="shared" si="71"/>
        <v/>
      </c>
      <c r="AG150" s="23" t="str">
        <f t="shared" si="54"/>
        <v/>
      </c>
      <c r="AH150" s="23" t="str">
        <f t="shared" si="55"/>
        <v/>
      </c>
      <c r="AI150" s="23" t="str">
        <f t="shared" si="72"/>
        <v/>
      </c>
      <c r="AJ150" s="23" t="str">
        <f t="shared" si="56"/>
        <v/>
      </c>
      <c r="AK150" s="23" t="str">
        <f t="shared" si="57"/>
        <v/>
      </c>
      <c r="AL150" s="23" t="str">
        <f t="shared" si="58"/>
        <v/>
      </c>
      <c r="AM150" s="23" t="str">
        <f t="shared" si="59"/>
        <v/>
      </c>
      <c r="AN150" s="19">
        <f t="shared" si="60"/>
        <v>0</v>
      </c>
      <c r="AO150" s="26">
        <f t="shared" si="61"/>
        <v>362.90602179404812</v>
      </c>
    </row>
    <row r="151" spans="1:41" x14ac:dyDescent="0.2">
      <c r="A151" s="12">
        <v>44705</v>
      </c>
      <c r="B151" s="6">
        <v>24</v>
      </c>
      <c r="C151" s="6">
        <v>144</v>
      </c>
      <c r="D151" s="6">
        <v>3</v>
      </c>
      <c r="E151" s="6" t="s">
        <v>14</v>
      </c>
      <c r="F151" s="6">
        <v>21</v>
      </c>
      <c r="G151" s="6">
        <v>5</v>
      </c>
      <c r="H151" s="6" t="s">
        <v>21</v>
      </c>
      <c r="I151" s="6">
        <v>2</v>
      </c>
      <c r="J151" s="14">
        <v>17.069432763926145</v>
      </c>
      <c r="K151" s="14">
        <f t="shared" si="62"/>
        <v>17.069432763926145</v>
      </c>
      <c r="L151" s="14">
        <v>61.152444086414562</v>
      </c>
      <c r="M151" s="14">
        <f t="shared" si="63"/>
        <v>1043.8375326828063</v>
      </c>
      <c r="N151" s="16">
        <v>0.67874543382736652</v>
      </c>
      <c r="O151" s="14">
        <f t="shared" si="64"/>
        <v>708.49995896607925</v>
      </c>
      <c r="P151" s="14">
        <f t="shared" si="65"/>
        <v>335.33757371672709</v>
      </c>
      <c r="Q151" s="14">
        <v>25.288391299843052</v>
      </c>
      <c r="R151" s="14">
        <v>10.416792171554009</v>
      </c>
      <c r="S151" s="14">
        <f t="shared" si="50"/>
        <v>12.987012987012987</v>
      </c>
      <c r="T151" s="14">
        <v>38.996651274440637</v>
      </c>
      <c r="U151" s="14">
        <f t="shared" si="66"/>
        <v>730.68627287796437</v>
      </c>
      <c r="V151" s="14">
        <f t="shared" si="67"/>
        <v>42.806710860490192</v>
      </c>
      <c r="W151" s="14">
        <v>39.277951508599699</v>
      </c>
      <c r="X151" s="16">
        <f t="shared" si="68"/>
        <v>0.59075763569547624</v>
      </c>
      <c r="Y151" s="16">
        <f t="shared" si="73"/>
        <v>0.43458052439901002</v>
      </c>
      <c r="Z151" s="16">
        <f t="shared" si="69"/>
        <v>0.9696363340390951</v>
      </c>
      <c r="AA151" s="16">
        <f t="shared" si="70"/>
        <v>0.39875599925340016</v>
      </c>
      <c r="AB151" s="16">
        <f t="shared" si="51"/>
        <v>1.2441603774904102E-2</v>
      </c>
      <c r="AC151" s="14">
        <f t="shared" si="74"/>
        <v>42.806710860490192</v>
      </c>
      <c r="AD151" s="16">
        <f t="shared" si="52"/>
        <v>0.17034138744861993</v>
      </c>
      <c r="AE151" s="16">
        <f t="shared" si="53"/>
        <v>2.4226367138618213E-2</v>
      </c>
      <c r="AF151" s="23" t="str">
        <f t="shared" si="71"/>
        <v/>
      </c>
      <c r="AG151" s="23" t="str">
        <f t="shared" si="54"/>
        <v/>
      </c>
      <c r="AH151" s="23" t="str">
        <f t="shared" si="55"/>
        <v/>
      </c>
      <c r="AI151" s="23" t="str">
        <f t="shared" si="72"/>
        <v/>
      </c>
      <c r="AJ151" s="23" t="str">
        <f t="shared" si="56"/>
        <v/>
      </c>
      <c r="AK151" s="23" t="str">
        <f t="shared" si="57"/>
        <v/>
      </c>
      <c r="AL151" s="23" t="str">
        <f t="shared" si="58"/>
        <v/>
      </c>
      <c r="AM151" s="23" t="str">
        <f t="shared" si="59"/>
        <v/>
      </c>
      <c r="AN151" s="19">
        <f t="shared" si="60"/>
        <v>0</v>
      </c>
      <c r="AO151" s="26">
        <f t="shared" si="61"/>
        <v>335.33757371672709</v>
      </c>
    </row>
    <row r="152" spans="1:41" x14ac:dyDescent="0.2">
      <c r="A152" s="12">
        <v>44706</v>
      </c>
      <c r="B152" s="6">
        <v>25</v>
      </c>
      <c r="C152" s="6">
        <v>145</v>
      </c>
      <c r="D152" s="6">
        <v>4</v>
      </c>
      <c r="E152" s="6" t="s">
        <v>15</v>
      </c>
      <c r="F152" s="6">
        <v>21</v>
      </c>
      <c r="G152" s="6">
        <v>5</v>
      </c>
      <c r="H152" s="6" t="s">
        <v>21</v>
      </c>
      <c r="I152" s="6">
        <v>2</v>
      </c>
      <c r="J152" s="14">
        <v>15.496590194069347</v>
      </c>
      <c r="K152" s="14">
        <f t="shared" si="62"/>
        <v>15.496590194069347</v>
      </c>
      <c r="L152" s="14">
        <v>105.04750670339368</v>
      </c>
      <c r="M152" s="14">
        <f t="shared" si="63"/>
        <v>1627.8781622912445</v>
      </c>
      <c r="N152" s="16">
        <v>0.69071059731445439</v>
      </c>
      <c r="O152" s="14">
        <f t="shared" si="64"/>
        <v>1124.3926978313418</v>
      </c>
      <c r="P152" s="14">
        <f t="shared" si="65"/>
        <v>503.48546445990269</v>
      </c>
      <c r="Q152" s="14">
        <v>33.471300144941623</v>
      </c>
      <c r="R152" s="14">
        <v>12.105697522281766</v>
      </c>
      <c r="S152" s="14">
        <f t="shared" si="50"/>
        <v>12.987012987012987</v>
      </c>
      <c r="T152" s="14">
        <v>36.198651207525344</v>
      </c>
      <c r="U152" s="14">
        <f t="shared" si="66"/>
        <v>1139.5147136038711</v>
      </c>
      <c r="V152" s="14">
        <f t="shared" si="67"/>
        <v>73.533254692375579</v>
      </c>
      <c r="W152" s="14">
        <v>39.263153250326432</v>
      </c>
      <c r="X152" s="16">
        <f t="shared" si="68"/>
        <v>0.45518589221934919</v>
      </c>
      <c r="Y152" s="16">
        <f t="shared" si="73"/>
        <v>0.3946853197263393</v>
      </c>
      <c r="Z152" s="16">
        <f t="shared" si="69"/>
        <v>0.98672942473493486</v>
      </c>
      <c r="AA152" s="16">
        <f t="shared" si="70"/>
        <v>0.21074261242615902</v>
      </c>
      <c r="AB152" s="16">
        <f t="shared" si="51"/>
        <v>7.9778777600491412E-3</v>
      </c>
      <c r="AC152" s="14">
        <f t="shared" si="74"/>
        <v>73.533254692375579</v>
      </c>
      <c r="AD152" s="16">
        <f t="shared" si="52"/>
        <v>0.11524021751856274</v>
      </c>
      <c r="AE152" s="16">
        <f t="shared" si="53"/>
        <v>2.0561305459021972E-2</v>
      </c>
      <c r="AF152" s="23" t="str">
        <f t="shared" si="71"/>
        <v/>
      </c>
      <c r="AG152" s="23" t="str">
        <f t="shared" si="54"/>
        <v/>
      </c>
      <c r="AH152" s="23" t="str">
        <f t="shared" si="55"/>
        <v/>
      </c>
      <c r="AI152" s="23" t="str">
        <f t="shared" si="72"/>
        <v/>
      </c>
      <c r="AJ152" s="23" t="str">
        <f t="shared" si="56"/>
        <v/>
      </c>
      <c r="AK152" s="23" t="str">
        <f t="shared" si="57"/>
        <v/>
      </c>
      <c r="AL152" s="23">
        <f t="shared" si="58"/>
        <v>83</v>
      </c>
      <c r="AM152" s="23" t="str">
        <f t="shared" si="59"/>
        <v/>
      </c>
      <c r="AN152" s="19">
        <f t="shared" si="60"/>
        <v>83</v>
      </c>
      <c r="AO152" s="26">
        <f t="shared" si="61"/>
        <v>420.48546445990269</v>
      </c>
    </row>
    <row r="153" spans="1:41" x14ac:dyDescent="0.2">
      <c r="A153" s="12">
        <v>44707</v>
      </c>
      <c r="B153" s="6">
        <v>26</v>
      </c>
      <c r="C153" s="6">
        <v>146</v>
      </c>
      <c r="D153" s="6">
        <v>5</v>
      </c>
      <c r="E153" s="6" t="s">
        <v>16</v>
      </c>
      <c r="F153" s="6">
        <v>21</v>
      </c>
      <c r="G153" s="6">
        <v>5</v>
      </c>
      <c r="H153" s="6" t="s">
        <v>21</v>
      </c>
      <c r="I153" s="6">
        <v>2</v>
      </c>
      <c r="J153" s="14">
        <v>14.224237581204981</v>
      </c>
      <c r="K153" s="14">
        <f t="shared" si="62"/>
        <v>14.224237581204981</v>
      </c>
      <c r="L153" s="14">
        <v>31.747258588180909</v>
      </c>
      <c r="M153" s="14">
        <f t="shared" si="63"/>
        <v>451.58054871023546</v>
      </c>
      <c r="N153" s="16">
        <v>0.84574236138597758</v>
      </c>
      <c r="O153" s="14">
        <f t="shared" si="64"/>
        <v>381.92079962217002</v>
      </c>
      <c r="P153" s="14">
        <f t="shared" si="65"/>
        <v>69.659749088065439</v>
      </c>
      <c r="Q153" s="14">
        <v>38.105401327596688</v>
      </c>
      <c r="R153" s="14">
        <v>9.4701557301889636</v>
      </c>
      <c r="S153" s="14">
        <f t="shared" si="50"/>
        <v>12.987012987012987</v>
      </c>
      <c r="T153" s="14">
        <v>30.544581178789887</v>
      </c>
      <c r="U153" s="14">
        <f t="shared" si="66"/>
        <v>316.10638409716478</v>
      </c>
      <c r="V153" s="14">
        <f t="shared" si="67"/>
        <v>22.223081011726631</v>
      </c>
      <c r="W153" s="14">
        <v>44.080393248913012</v>
      </c>
      <c r="X153" s="16">
        <f t="shared" si="68"/>
        <v>1.7146767951522701</v>
      </c>
      <c r="Y153" s="16">
        <f t="shared" si="73"/>
        <v>0.32268853639493655</v>
      </c>
      <c r="Z153" s="16">
        <f t="shared" si="69"/>
        <v>1.2082033734085396</v>
      </c>
      <c r="AA153" s="16">
        <f t="shared" si="70"/>
        <v>0.64006595546761336</v>
      </c>
      <c r="AB153" s="16">
        <f t="shared" si="51"/>
        <v>2.8759017686003856E-2</v>
      </c>
      <c r="AC153" s="14">
        <f t="shared" si="74"/>
        <v>22.223081011726631</v>
      </c>
      <c r="AD153" s="16">
        <f t="shared" si="52"/>
        <v>0.29829837760273825</v>
      </c>
      <c r="AE153" s="16">
        <f t="shared" si="53"/>
        <v>8.4382291124872347E-2</v>
      </c>
      <c r="AF153" s="23" t="str">
        <f t="shared" si="71"/>
        <v/>
      </c>
      <c r="AG153" s="23" t="str">
        <f t="shared" si="54"/>
        <v/>
      </c>
      <c r="AH153" s="23" t="str">
        <f t="shared" si="55"/>
        <v/>
      </c>
      <c r="AI153" s="23" t="str">
        <f t="shared" si="72"/>
        <v/>
      </c>
      <c r="AJ153" s="23" t="str">
        <f t="shared" si="56"/>
        <v/>
      </c>
      <c r="AK153" s="23" t="str">
        <f t="shared" si="57"/>
        <v/>
      </c>
      <c r="AL153" s="23" t="str">
        <f t="shared" si="58"/>
        <v/>
      </c>
      <c r="AM153" s="23" t="str">
        <f t="shared" si="59"/>
        <v/>
      </c>
      <c r="AN153" s="19">
        <f t="shared" si="60"/>
        <v>0</v>
      </c>
      <c r="AO153" s="26">
        <f t="shared" si="61"/>
        <v>69.659749088065439</v>
      </c>
    </row>
    <row r="154" spans="1:41" x14ac:dyDescent="0.2">
      <c r="A154" s="12">
        <v>44708</v>
      </c>
      <c r="B154" s="6">
        <v>27</v>
      </c>
      <c r="C154" s="6">
        <v>147</v>
      </c>
      <c r="D154" s="6">
        <v>6</v>
      </c>
      <c r="E154" s="6" t="s">
        <v>17</v>
      </c>
      <c r="F154" s="6">
        <v>21</v>
      </c>
      <c r="G154" s="6">
        <v>5</v>
      </c>
      <c r="H154" s="6" t="s">
        <v>21</v>
      </c>
      <c r="I154" s="6">
        <v>2</v>
      </c>
      <c r="J154" s="14">
        <v>22.557331144244657</v>
      </c>
      <c r="K154" s="14">
        <f t="shared" si="62"/>
        <v>22.557331144244657</v>
      </c>
      <c r="L154" s="14">
        <v>68.948860926134486</v>
      </c>
      <c r="M154" s="14">
        <f t="shared" si="63"/>
        <v>1555.3022879292869</v>
      </c>
      <c r="N154" s="16">
        <v>0.57814682194672429</v>
      </c>
      <c r="O154" s="14">
        <f t="shared" si="64"/>
        <v>899.19307493278632</v>
      </c>
      <c r="P154" s="14">
        <f t="shared" si="65"/>
        <v>656.10921299650056</v>
      </c>
      <c r="Q154" s="14">
        <v>27.773565197857877</v>
      </c>
      <c r="R154" s="14">
        <v>13.633103151136879</v>
      </c>
      <c r="S154" s="14">
        <f t="shared" si="50"/>
        <v>12.987012987012987</v>
      </c>
      <c r="T154" s="14">
        <v>32.661458380223031</v>
      </c>
      <c r="U154" s="14">
        <f t="shared" si="66"/>
        <v>1088.7116015505007</v>
      </c>
      <c r="V154" s="14">
        <f t="shared" si="67"/>
        <v>48.264202648294138</v>
      </c>
      <c r="W154" s="14">
        <v>32.134227987293812</v>
      </c>
      <c r="X154" s="16">
        <f t="shared" si="68"/>
        <v>0.575448545172216</v>
      </c>
      <c r="Y154" s="16">
        <f t="shared" si="73"/>
        <v>0.7019720888631289</v>
      </c>
      <c r="Z154" s="16">
        <f t="shared" si="69"/>
        <v>0.82592403135246328</v>
      </c>
      <c r="AA154" s="16">
        <f t="shared" si="70"/>
        <v>0.4673718803275812</v>
      </c>
      <c r="AB154" s="16">
        <f t="shared" si="51"/>
        <v>8.3501535925236507E-3</v>
      </c>
      <c r="AC154" s="14">
        <f t="shared" si="74"/>
        <v>48.264202648294138</v>
      </c>
      <c r="AD154" s="16">
        <f t="shared" si="52"/>
        <v>0.19772775021971922</v>
      </c>
      <c r="AE154" s="16">
        <f t="shared" si="53"/>
        <v>1.7857342211484373E-2</v>
      </c>
      <c r="AF154" s="23" t="str">
        <f t="shared" si="71"/>
        <v/>
      </c>
      <c r="AG154" s="23" t="str">
        <f t="shared" si="54"/>
        <v/>
      </c>
      <c r="AH154" s="23" t="str">
        <f t="shared" si="55"/>
        <v/>
      </c>
      <c r="AI154" s="23" t="str">
        <f t="shared" si="72"/>
        <v/>
      </c>
      <c r="AJ154" s="23" t="str">
        <f t="shared" si="56"/>
        <v/>
      </c>
      <c r="AK154" s="23" t="str">
        <f t="shared" si="57"/>
        <v/>
      </c>
      <c r="AL154" s="23" t="str">
        <f t="shared" si="58"/>
        <v/>
      </c>
      <c r="AM154" s="23" t="str">
        <f t="shared" si="59"/>
        <v/>
      </c>
      <c r="AN154" s="19">
        <f t="shared" si="60"/>
        <v>0</v>
      </c>
      <c r="AO154" s="26">
        <f t="shared" si="61"/>
        <v>656.10921299650056</v>
      </c>
    </row>
    <row r="155" spans="1:41" x14ac:dyDescent="0.2">
      <c r="A155" s="12">
        <v>44709</v>
      </c>
      <c r="B155" s="6">
        <v>28</v>
      </c>
      <c r="C155" s="6">
        <v>148</v>
      </c>
      <c r="D155" s="6">
        <v>7</v>
      </c>
      <c r="E155" s="6" t="s">
        <v>10</v>
      </c>
      <c r="F155" s="6">
        <v>21</v>
      </c>
      <c r="G155" s="6">
        <v>5</v>
      </c>
      <c r="H155" s="6" t="s">
        <v>21</v>
      </c>
      <c r="I155" s="6">
        <v>2</v>
      </c>
      <c r="J155" s="14">
        <v>10.646968644951567</v>
      </c>
      <c r="K155" s="14">
        <f t="shared" si="62"/>
        <v>10.646968644951567</v>
      </c>
      <c r="L155" s="14">
        <v>73.195445138778794</v>
      </c>
      <c r="M155" s="14">
        <f t="shared" si="63"/>
        <v>779.30960934585039</v>
      </c>
      <c r="N155" s="16">
        <v>0.4798044680213463</v>
      </c>
      <c r="O155" s="14">
        <f t="shared" si="64"/>
        <v>373.91623253610896</v>
      </c>
      <c r="P155" s="14">
        <f t="shared" si="65"/>
        <v>405.39337680974143</v>
      </c>
      <c r="Q155" s="14">
        <v>48.370842053648929</v>
      </c>
      <c r="R155" s="14">
        <v>9.1261629749296578</v>
      </c>
      <c r="S155" s="14">
        <f t="shared" si="50"/>
        <v>12.987012987012987</v>
      </c>
      <c r="T155" s="14">
        <v>29.637328526599628</v>
      </c>
      <c r="U155" s="14">
        <f t="shared" si="66"/>
        <v>545.51672654209528</v>
      </c>
      <c r="V155" s="14">
        <f t="shared" si="67"/>
        <v>51.236811597145156</v>
      </c>
      <c r="W155" s="14">
        <v>33.093277313920453</v>
      </c>
      <c r="X155" s="16">
        <f t="shared" si="68"/>
        <v>0.94406424884455697</v>
      </c>
      <c r="Y155" s="16">
        <f t="shared" si="73"/>
        <v>0.3217260274331607</v>
      </c>
      <c r="Z155" s="16">
        <f t="shared" si="69"/>
        <v>0.68543495431620904</v>
      </c>
      <c r="AA155" s="16">
        <f t="shared" si="70"/>
        <v>0.20779920360120147</v>
      </c>
      <c r="AB155" s="16">
        <f t="shared" si="51"/>
        <v>1.6664766905561755E-2</v>
      </c>
      <c r="AC155" s="14">
        <f t="shared" si="74"/>
        <v>51.236811597145156</v>
      </c>
      <c r="AD155" s="16">
        <f t="shared" si="52"/>
        <v>0.12468211591071582</v>
      </c>
      <c r="AE155" s="16">
        <f t="shared" si="53"/>
        <v>6.2068838204434866E-2</v>
      </c>
      <c r="AF155" s="23" t="str">
        <f t="shared" si="71"/>
        <v/>
      </c>
      <c r="AG155" s="23" t="str">
        <f t="shared" si="54"/>
        <v/>
      </c>
      <c r="AH155" s="23" t="str">
        <f t="shared" si="55"/>
        <v/>
      </c>
      <c r="AI155" s="23" t="str">
        <f t="shared" si="72"/>
        <v/>
      </c>
      <c r="AJ155" s="23" t="str">
        <f t="shared" si="56"/>
        <v/>
      </c>
      <c r="AK155" s="23" t="str">
        <f t="shared" si="57"/>
        <v/>
      </c>
      <c r="AL155" s="23" t="str">
        <f t="shared" si="58"/>
        <v/>
      </c>
      <c r="AM155" s="23" t="str">
        <f t="shared" si="59"/>
        <v/>
      </c>
      <c r="AN155" s="19">
        <f t="shared" si="60"/>
        <v>0</v>
      </c>
      <c r="AO155" s="26">
        <f t="shared" si="61"/>
        <v>405.39337680974143</v>
      </c>
    </row>
    <row r="156" spans="1:41" x14ac:dyDescent="0.2">
      <c r="A156" s="12">
        <v>44710</v>
      </c>
      <c r="B156" s="6">
        <v>29</v>
      </c>
      <c r="C156" s="6">
        <v>149</v>
      </c>
      <c r="D156" s="6">
        <v>1</v>
      </c>
      <c r="E156" s="6" t="s">
        <v>12</v>
      </c>
      <c r="F156" s="6">
        <v>22</v>
      </c>
      <c r="G156" s="6">
        <v>5</v>
      </c>
      <c r="H156" s="6" t="s">
        <v>21</v>
      </c>
      <c r="I156" s="6">
        <v>2</v>
      </c>
      <c r="J156" s="14">
        <v>4.604121162290256</v>
      </c>
      <c r="K156" s="14">
        <f t="shared" si="62"/>
        <v>4.604121162290256</v>
      </c>
      <c r="L156" s="14">
        <v>21.424735042321554</v>
      </c>
      <c r="M156" s="14">
        <f t="shared" si="63"/>
        <v>98.642076004814299</v>
      </c>
      <c r="N156" s="16">
        <v>0.34684108650359041</v>
      </c>
      <c r="O156" s="14">
        <f t="shared" si="64"/>
        <v>34.213124816479535</v>
      </c>
      <c r="P156" s="14">
        <f t="shared" si="65"/>
        <v>64.428951188334764</v>
      </c>
      <c r="Q156" s="14">
        <v>13.809109556851825</v>
      </c>
      <c r="R156" s="14">
        <v>4.3992901605484018</v>
      </c>
      <c r="S156" s="14">
        <f t="shared" si="50"/>
        <v>28.571428571428573</v>
      </c>
      <c r="T156" s="14">
        <v>13.157621929565764</v>
      </c>
      <c r="U156" s="14">
        <f t="shared" si="66"/>
        <v>69.049453203370007</v>
      </c>
      <c r="V156" s="14">
        <f t="shared" si="67"/>
        <v>14.997314529625088</v>
      </c>
      <c r="W156" s="14">
        <v>14.081516028001603</v>
      </c>
      <c r="X156" s="16">
        <f t="shared" si="68"/>
        <v>0.92077215087900355</v>
      </c>
      <c r="Y156" s="16">
        <f t="shared" si="73"/>
        <v>0.32696203683856162</v>
      </c>
      <c r="Z156" s="16">
        <f t="shared" si="69"/>
        <v>0.49548726643370061</v>
      </c>
      <c r="AA156" s="16">
        <f t="shared" si="70"/>
        <v>0.30699637279697384</v>
      </c>
      <c r="AB156" s="16">
        <f t="shared" si="51"/>
        <v>0.2896474783238962</v>
      </c>
      <c r="AC156" s="14">
        <f t="shared" si="74"/>
        <v>14.997314529625088</v>
      </c>
      <c r="AD156" s="16">
        <f t="shared" si="52"/>
        <v>0.2053369692487782</v>
      </c>
      <c r="AE156" s="16">
        <f t="shared" si="53"/>
        <v>0.13999208163641913</v>
      </c>
      <c r="AF156" s="23" t="str">
        <f t="shared" si="71"/>
        <v/>
      </c>
      <c r="AG156" s="23">
        <f t="shared" si="54"/>
        <v>1000</v>
      </c>
      <c r="AH156" s="23" t="str">
        <f t="shared" si="55"/>
        <v/>
      </c>
      <c r="AI156" s="23" t="str">
        <f t="shared" si="72"/>
        <v/>
      </c>
      <c r="AJ156" s="23" t="str">
        <f t="shared" si="56"/>
        <v/>
      </c>
      <c r="AK156" s="23" t="str">
        <f t="shared" si="57"/>
        <v/>
      </c>
      <c r="AL156" s="23" t="str">
        <f t="shared" si="58"/>
        <v/>
      </c>
      <c r="AM156" s="23" t="str">
        <f t="shared" si="59"/>
        <v/>
      </c>
      <c r="AN156" s="19">
        <f t="shared" si="60"/>
        <v>1000</v>
      </c>
      <c r="AO156" s="26">
        <f t="shared" si="61"/>
        <v>-935.57104881166526</v>
      </c>
    </row>
    <row r="157" spans="1:41" x14ac:dyDescent="0.2">
      <c r="A157" s="12">
        <v>44711</v>
      </c>
      <c r="B157" s="6">
        <v>30</v>
      </c>
      <c r="C157" s="6">
        <v>150</v>
      </c>
      <c r="D157" s="6">
        <v>2</v>
      </c>
      <c r="E157" s="6" t="s">
        <v>13</v>
      </c>
      <c r="F157" s="6">
        <v>22</v>
      </c>
      <c r="G157" s="6">
        <v>5</v>
      </c>
      <c r="H157" s="6" t="s">
        <v>21</v>
      </c>
      <c r="I157" s="6">
        <v>2</v>
      </c>
      <c r="J157" s="14">
        <v>0.22517789344591144</v>
      </c>
      <c r="K157" s="14">
        <f t="shared" si="62"/>
        <v>0.22517789344591144</v>
      </c>
      <c r="L157" s="14">
        <v>68.730564136702824</v>
      </c>
      <c r="M157" s="14">
        <f t="shared" si="63"/>
        <v>15.476603647651851</v>
      </c>
      <c r="N157" s="16">
        <v>0.7493857262964958</v>
      </c>
      <c r="O157" s="14">
        <f t="shared" si="64"/>
        <v>11.597945865098579</v>
      </c>
      <c r="P157" s="14">
        <f t="shared" si="65"/>
        <v>3.8786577825532724</v>
      </c>
      <c r="Q157" s="14">
        <v>28.028463407390234</v>
      </c>
      <c r="R157" s="14">
        <v>17.222061191874072</v>
      </c>
      <c r="S157" s="14">
        <f t="shared" si="50"/>
        <v>12.987012987012987</v>
      </c>
      <c r="T157" s="14">
        <v>29.353507563718953</v>
      </c>
      <c r="U157" s="14">
        <f t="shared" si="66"/>
        <v>10.833622553356296</v>
      </c>
      <c r="V157" s="14">
        <f t="shared" si="67"/>
        <v>48.11139489569198</v>
      </c>
      <c r="W157" s="14">
        <v>37.831510696896871</v>
      </c>
      <c r="X157" s="16">
        <f t="shared" si="68"/>
        <v>0.5825743250254416</v>
      </c>
      <c r="Y157" s="16">
        <f t="shared" si="73"/>
        <v>5.9521253393769883E-3</v>
      </c>
      <c r="Z157" s="16">
        <f t="shared" si="69"/>
        <v>1.0705510375664227</v>
      </c>
      <c r="AA157" s="16">
        <f t="shared" si="70"/>
        <v>4.6803443120722E-3</v>
      </c>
      <c r="AB157" s="16">
        <f t="shared" si="51"/>
        <v>0.83913843648657427</v>
      </c>
      <c r="AC157" s="14">
        <f t="shared" si="74"/>
        <v>48.11139489569198</v>
      </c>
      <c r="AD157" s="16">
        <f t="shared" si="52"/>
        <v>0.25057354625549066</v>
      </c>
      <c r="AE157" s="16">
        <f t="shared" si="53"/>
        <v>1.8110215939814924</v>
      </c>
      <c r="AF157" s="23" t="str">
        <f t="shared" si="71"/>
        <v/>
      </c>
      <c r="AG157" s="23" t="str">
        <f t="shared" si="54"/>
        <v/>
      </c>
      <c r="AH157" s="23" t="str">
        <f t="shared" si="55"/>
        <v/>
      </c>
      <c r="AI157" s="23" t="str">
        <f t="shared" si="72"/>
        <v/>
      </c>
      <c r="AJ157" s="23" t="str">
        <f t="shared" si="56"/>
        <v/>
      </c>
      <c r="AK157" s="23" t="str">
        <f t="shared" si="57"/>
        <v/>
      </c>
      <c r="AL157" s="23" t="str">
        <f t="shared" si="58"/>
        <v/>
      </c>
      <c r="AM157" s="23" t="str">
        <f t="shared" si="59"/>
        <v/>
      </c>
      <c r="AN157" s="19">
        <f t="shared" si="60"/>
        <v>0</v>
      </c>
      <c r="AO157" s="26">
        <f t="shared" si="61"/>
        <v>3.8786577825532724</v>
      </c>
    </row>
    <row r="158" spans="1:41" x14ac:dyDescent="0.2">
      <c r="A158" s="12">
        <v>44712</v>
      </c>
      <c r="B158" s="6">
        <v>31</v>
      </c>
      <c r="C158" s="6">
        <v>151</v>
      </c>
      <c r="D158" s="6">
        <v>3</v>
      </c>
      <c r="E158" s="6" t="s">
        <v>14</v>
      </c>
      <c r="F158" s="6">
        <v>22</v>
      </c>
      <c r="G158" s="6">
        <v>5</v>
      </c>
      <c r="H158" s="6" t="s">
        <v>21</v>
      </c>
      <c r="I158" s="6">
        <v>2</v>
      </c>
      <c r="J158" s="14">
        <v>20.795194832562931</v>
      </c>
      <c r="K158" s="14">
        <f t="shared" si="62"/>
        <v>20.795194832562931</v>
      </c>
      <c r="L158" s="14">
        <v>50.069764007138652</v>
      </c>
      <c r="M158" s="14">
        <f t="shared" si="63"/>
        <v>1041.210497748895</v>
      </c>
      <c r="N158" s="16">
        <v>0.59724612248341113</v>
      </c>
      <c r="O158" s="14">
        <f t="shared" si="64"/>
        <v>621.85893246955004</v>
      </c>
      <c r="P158" s="14">
        <f t="shared" si="65"/>
        <v>419.35156527934498</v>
      </c>
      <c r="Q158" s="14">
        <v>37.221494601070169</v>
      </c>
      <c r="R158" s="14">
        <v>19.242968484119729</v>
      </c>
      <c r="S158" s="14">
        <f t="shared" si="50"/>
        <v>12.987012987012987</v>
      </c>
      <c r="T158" s="14">
        <v>33.191381982825519</v>
      </c>
      <c r="U158" s="14">
        <f t="shared" si="66"/>
        <v>728.84734842422642</v>
      </c>
      <c r="V158" s="14">
        <f t="shared" si="67"/>
        <v>35.04883480499705</v>
      </c>
      <c r="W158" s="14">
        <v>27.48355207386221</v>
      </c>
      <c r="X158" s="16">
        <f t="shared" si="68"/>
        <v>1.0619895014530798</v>
      </c>
      <c r="Y158" s="16">
        <f t="shared" si="73"/>
        <v>0.75664145510288194</v>
      </c>
      <c r="Z158" s="16">
        <f t="shared" si="69"/>
        <v>0.85320874640487321</v>
      </c>
      <c r="AA158" s="16">
        <f t="shared" si="70"/>
        <v>0.59332057537039939</v>
      </c>
      <c r="AB158" s="16">
        <f t="shared" si="51"/>
        <v>1.2472994668312514E-2</v>
      </c>
      <c r="AC158" s="14">
        <f t="shared" si="74"/>
        <v>35.04883480499705</v>
      </c>
      <c r="AD158" s="16">
        <f t="shared" si="52"/>
        <v>0.38432313124895456</v>
      </c>
      <c r="AE158" s="16">
        <f t="shared" si="53"/>
        <v>3.5748289785344389E-2</v>
      </c>
      <c r="AF158" s="23" t="str">
        <f t="shared" si="71"/>
        <v/>
      </c>
      <c r="AG158" s="23" t="str">
        <f t="shared" si="54"/>
        <v/>
      </c>
      <c r="AH158" s="23" t="str">
        <f t="shared" si="55"/>
        <v/>
      </c>
      <c r="AI158" s="23" t="str">
        <f t="shared" si="72"/>
        <v/>
      </c>
      <c r="AJ158" s="23" t="str">
        <f t="shared" si="56"/>
        <v/>
      </c>
      <c r="AK158" s="23" t="str">
        <f t="shared" si="57"/>
        <v/>
      </c>
      <c r="AL158" s="23" t="str">
        <f t="shared" si="58"/>
        <v/>
      </c>
      <c r="AM158" s="23" t="str">
        <f t="shared" si="59"/>
        <v/>
      </c>
      <c r="AN158" s="19">
        <f t="shared" si="60"/>
        <v>0</v>
      </c>
      <c r="AO158" s="26">
        <f t="shared" si="61"/>
        <v>419.35156527934498</v>
      </c>
    </row>
    <row r="159" spans="1:41" x14ac:dyDescent="0.2">
      <c r="A159" s="12">
        <v>44713</v>
      </c>
      <c r="B159" s="6">
        <v>1</v>
      </c>
      <c r="C159" s="6">
        <v>152</v>
      </c>
      <c r="D159" s="6">
        <v>4</v>
      </c>
      <c r="E159" s="6" t="s">
        <v>15</v>
      </c>
      <c r="F159" s="6">
        <v>22</v>
      </c>
      <c r="G159" s="6">
        <v>6</v>
      </c>
      <c r="H159" s="6" t="s">
        <v>22</v>
      </c>
      <c r="I159" s="6">
        <v>2</v>
      </c>
      <c r="J159" s="14">
        <v>22.258233724957506</v>
      </c>
      <c r="K159" s="14">
        <f t="shared" si="62"/>
        <v>22.258233724957506</v>
      </c>
      <c r="L159" s="14">
        <v>55.473741056595898</v>
      </c>
      <c r="M159" s="14">
        <f t="shared" si="63"/>
        <v>1234.7474940354828</v>
      </c>
      <c r="N159" s="16">
        <v>0.57808223774902356</v>
      </c>
      <c r="O159" s="14">
        <f t="shared" si="64"/>
        <v>713.785594407031</v>
      </c>
      <c r="P159" s="14">
        <f t="shared" si="65"/>
        <v>520.96189962845176</v>
      </c>
      <c r="Q159" s="14">
        <v>33.627981290428174</v>
      </c>
      <c r="R159" s="14">
        <v>13.128175207296925</v>
      </c>
      <c r="S159" s="14">
        <f t="shared" si="50"/>
        <v>12.987012987012987</v>
      </c>
      <c r="T159" s="14">
        <v>32.84401840226375</v>
      </c>
      <c r="U159" s="14">
        <f t="shared" si="66"/>
        <v>864.32324582483784</v>
      </c>
      <c r="V159" s="14">
        <f t="shared" si="67"/>
        <v>38.831618739617127</v>
      </c>
      <c r="W159" s="14">
        <v>33.598388850234755</v>
      </c>
      <c r="X159" s="16">
        <f t="shared" si="68"/>
        <v>0.86599483570124636</v>
      </c>
      <c r="Y159" s="16">
        <f t="shared" si="73"/>
        <v>0.66247919875485295</v>
      </c>
      <c r="Z159" s="16">
        <f t="shared" si="69"/>
        <v>0.82583176821289084</v>
      </c>
      <c r="AA159" s="16">
        <f t="shared" si="70"/>
        <v>0.57319870887197966</v>
      </c>
      <c r="AB159" s="16">
        <f t="shared" si="51"/>
        <v>1.0517950471450628E-2</v>
      </c>
      <c r="AC159" s="14">
        <f t="shared" si="74"/>
        <v>38.831618739617127</v>
      </c>
      <c r="AD159" s="16">
        <f t="shared" si="52"/>
        <v>0.23665566729857257</v>
      </c>
      <c r="AE159" s="16">
        <f t="shared" si="53"/>
        <v>2.7234703008404578E-2</v>
      </c>
      <c r="AF159" s="23">
        <f t="shared" si="71"/>
        <v>3000</v>
      </c>
      <c r="AG159" s="23" t="str">
        <f t="shared" si="54"/>
        <v/>
      </c>
      <c r="AH159" s="23" t="str">
        <f t="shared" si="55"/>
        <v/>
      </c>
      <c r="AI159" s="23" t="str">
        <f t="shared" si="72"/>
        <v/>
      </c>
      <c r="AJ159" s="23" t="str">
        <f t="shared" si="56"/>
        <v/>
      </c>
      <c r="AK159" s="23" t="str">
        <f t="shared" si="57"/>
        <v/>
      </c>
      <c r="AL159" s="23" t="str">
        <f t="shared" si="58"/>
        <v/>
      </c>
      <c r="AM159" s="23" t="str">
        <f t="shared" si="59"/>
        <v/>
      </c>
      <c r="AN159" s="19">
        <f t="shared" si="60"/>
        <v>3000</v>
      </c>
      <c r="AO159" s="26">
        <f t="shared" si="61"/>
        <v>-2479.0381003715484</v>
      </c>
    </row>
    <row r="160" spans="1:41" x14ac:dyDescent="0.2">
      <c r="A160" s="12">
        <v>44714</v>
      </c>
      <c r="B160" s="6">
        <v>2</v>
      </c>
      <c r="C160" s="6">
        <v>153</v>
      </c>
      <c r="D160" s="6">
        <v>5</v>
      </c>
      <c r="E160" s="6" t="s">
        <v>16</v>
      </c>
      <c r="F160" s="6">
        <v>22</v>
      </c>
      <c r="G160" s="6">
        <v>6</v>
      </c>
      <c r="H160" s="6" t="s">
        <v>22</v>
      </c>
      <c r="I160" s="6">
        <v>2</v>
      </c>
      <c r="J160" s="14">
        <v>22.161915908735256</v>
      </c>
      <c r="K160" s="14">
        <f t="shared" si="62"/>
        <v>22.161915908735256</v>
      </c>
      <c r="L160" s="14">
        <v>66.787419247105476</v>
      </c>
      <c r="M160" s="14">
        <f t="shared" si="63"/>
        <v>1480.1371691157981</v>
      </c>
      <c r="N160" s="16">
        <v>0.84668547431343699</v>
      </c>
      <c r="O160" s="14">
        <f t="shared" si="64"/>
        <v>1253.2106410817573</v>
      </c>
      <c r="P160" s="14">
        <f t="shared" si="65"/>
        <v>226.92652803404076</v>
      </c>
      <c r="Q160" s="14">
        <v>44.396813344584558</v>
      </c>
      <c r="R160" s="14">
        <v>15.089843780674785</v>
      </c>
      <c r="S160" s="14">
        <f t="shared" si="50"/>
        <v>12.987012987012987</v>
      </c>
      <c r="T160" s="14">
        <v>31.311694838539889</v>
      </c>
      <c r="U160" s="14">
        <f t="shared" si="66"/>
        <v>1036.0960183810587</v>
      </c>
      <c r="V160" s="14">
        <f t="shared" si="67"/>
        <v>46.751193472973831</v>
      </c>
      <c r="W160" s="14">
        <v>30.573037968838232</v>
      </c>
      <c r="X160" s="16">
        <f t="shared" si="68"/>
        <v>0.94964021336160531</v>
      </c>
      <c r="Y160" s="16">
        <f t="shared" si="73"/>
        <v>0.72488432230136679</v>
      </c>
      <c r="Z160" s="16">
        <f t="shared" si="69"/>
        <v>1.2095506775906242</v>
      </c>
      <c r="AA160" s="16">
        <f t="shared" si="70"/>
        <v>0.47403957551472414</v>
      </c>
      <c r="AB160" s="16">
        <f t="shared" si="51"/>
        <v>8.7741955664630382E-3</v>
      </c>
      <c r="AC160" s="14">
        <f t="shared" si="74"/>
        <v>46.751193472973831</v>
      </c>
      <c r="AD160" s="16">
        <f t="shared" si="52"/>
        <v>0.22593841700701392</v>
      </c>
      <c r="AE160" s="16">
        <f t="shared" si="53"/>
        <v>2.9995066856611845E-2</v>
      </c>
      <c r="AF160" s="23" t="str">
        <f t="shared" si="71"/>
        <v/>
      </c>
      <c r="AG160" s="23" t="str">
        <f t="shared" si="54"/>
        <v/>
      </c>
      <c r="AH160" s="23" t="str">
        <f t="shared" si="55"/>
        <v/>
      </c>
      <c r="AI160" s="23" t="str">
        <f t="shared" si="72"/>
        <v/>
      </c>
      <c r="AJ160" s="23" t="str">
        <f t="shared" si="56"/>
        <v/>
      </c>
      <c r="AK160" s="23" t="str">
        <f t="shared" si="57"/>
        <v/>
      </c>
      <c r="AL160" s="23" t="str">
        <f t="shared" si="58"/>
        <v/>
      </c>
      <c r="AM160" s="23" t="str">
        <f t="shared" si="59"/>
        <v/>
      </c>
      <c r="AN160" s="19">
        <f t="shared" si="60"/>
        <v>0</v>
      </c>
      <c r="AO160" s="26">
        <f t="shared" si="61"/>
        <v>226.92652803404076</v>
      </c>
    </row>
    <row r="161" spans="1:41" x14ac:dyDescent="0.2">
      <c r="A161" s="12">
        <v>44715</v>
      </c>
      <c r="B161" s="6">
        <v>3</v>
      </c>
      <c r="C161" s="6">
        <v>154</v>
      </c>
      <c r="D161" s="6">
        <v>6</v>
      </c>
      <c r="E161" s="6" t="s">
        <v>17</v>
      </c>
      <c r="F161" s="6">
        <v>22</v>
      </c>
      <c r="G161" s="6">
        <v>6</v>
      </c>
      <c r="H161" s="6" t="s">
        <v>22</v>
      </c>
      <c r="I161" s="6">
        <v>2</v>
      </c>
      <c r="J161" s="14">
        <v>19.023258958159893</v>
      </c>
      <c r="K161" s="14">
        <f t="shared" si="62"/>
        <v>19.023258958159893</v>
      </c>
      <c r="L161" s="14">
        <v>96.551591998201005</v>
      </c>
      <c r="M161" s="14">
        <f t="shared" si="63"/>
        <v>1836.7259374043763</v>
      </c>
      <c r="N161" s="16">
        <v>0.42692664839509648</v>
      </c>
      <c r="O161" s="14">
        <f t="shared" si="64"/>
        <v>784.14724847639218</v>
      </c>
      <c r="P161" s="14">
        <f t="shared" si="65"/>
        <v>1052.5786889279841</v>
      </c>
      <c r="Q161" s="14">
        <v>36.121210592276327</v>
      </c>
      <c r="R161" s="14">
        <v>19.0169046792792</v>
      </c>
      <c r="S161" s="14">
        <f t="shared" si="50"/>
        <v>12.987012987012987</v>
      </c>
      <c r="T161" s="14">
        <v>33.646797966819335</v>
      </c>
      <c r="U161" s="14">
        <f t="shared" si="66"/>
        <v>1285.7081561830632</v>
      </c>
      <c r="V161" s="14">
        <f t="shared" si="67"/>
        <v>67.58611439874069</v>
      </c>
      <c r="W161" s="14">
        <v>30.300445804174309</v>
      </c>
      <c r="X161" s="16">
        <f t="shared" si="68"/>
        <v>0.53444721469221435</v>
      </c>
      <c r="Y161" s="16">
        <f t="shared" si="73"/>
        <v>0.62782109151473853</v>
      </c>
      <c r="Z161" s="16">
        <f t="shared" si="69"/>
        <v>0.60989521199299512</v>
      </c>
      <c r="AA161" s="16">
        <f t="shared" si="70"/>
        <v>0.28146697183873537</v>
      </c>
      <c r="AB161" s="16">
        <f t="shared" si="51"/>
        <v>7.070740779849807E-3</v>
      </c>
      <c r="AC161" s="14">
        <f t="shared" si="74"/>
        <v>67.58611439874069</v>
      </c>
      <c r="AD161" s="16">
        <f t="shared" si="52"/>
        <v>0.19696106802292326</v>
      </c>
      <c r="AE161" s="16">
        <f t="shared" si="53"/>
        <v>1.9666086189931029E-2</v>
      </c>
      <c r="AF161" s="23" t="str">
        <f t="shared" si="71"/>
        <v/>
      </c>
      <c r="AG161" s="23" t="str">
        <f t="shared" si="54"/>
        <v/>
      </c>
      <c r="AH161" s="23" t="str">
        <f t="shared" si="55"/>
        <v/>
      </c>
      <c r="AI161" s="23" t="str">
        <f t="shared" si="72"/>
        <v/>
      </c>
      <c r="AJ161" s="23" t="str">
        <f t="shared" si="56"/>
        <v/>
      </c>
      <c r="AK161" s="23" t="str">
        <f t="shared" si="57"/>
        <v/>
      </c>
      <c r="AL161" s="23" t="str">
        <f t="shared" si="58"/>
        <v/>
      </c>
      <c r="AM161" s="23" t="str">
        <f t="shared" si="59"/>
        <v/>
      </c>
      <c r="AN161" s="19">
        <f t="shared" si="60"/>
        <v>0</v>
      </c>
      <c r="AO161" s="26">
        <f t="shared" si="61"/>
        <v>1052.5786889279841</v>
      </c>
    </row>
    <row r="162" spans="1:41" x14ac:dyDescent="0.2">
      <c r="A162" s="12">
        <v>44716</v>
      </c>
      <c r="B162" s="6">
        <v>4</v>
      </c>
      <c r="C162" s="6">
        <v>155</v>
      </c>
      <c r="D162" s="6">
        <v>7</v>
      </c>
      <c r="E162" s="6" t="s">
        <v>10</v>
      </c>
      <c r="F162" s="6">
        <v>22</v>
      </c>
      <c r="G162" s="6">
        <v>6</v>
      </c>
      <c r="H162" s="6" t="s">
        <v>22</v>
      </c>
      <c r="I162" s="6">
        <v>2</v>
      </c>
      <c r="J162" s="14">
        <v>23.54270740956094</v>
      </c>
      <c r="K162" s="14">
        <f t="shared" si="62"/>
        <v>23.54270740956094</v>
      </c>
      <c r="L162" s="14">
        <v>41.734344608179939</v>
      </c>
      <c r="M162" s="14">
        <f t="shared" si="63"/>
        <v>982.53946404016745</v>
      </c>
      <c r="N162" s="16">
        <v>0.99785529665192774</v>
      </c>
      <c r="O162" s="14">
        <f t="shared" si="64"/>
        <v>980.43220836202738</v>
      </c>
      <c r="P162" s="14">
        <f t="shared" si="65"/>
        <v>2.1072556781400635</v>
      </c>
      <c r="Q162" s="14">
        <v>28.185747356201528</v>
      </c>
      <c r="R162" s="14">
        <v>17.361124582002461</v>
      </c>
      <c r="S162" s="14">
        <f t="shared" si="50"/>
        <v>12.987012987012987</v>
      </c>
      <c r="T162" s="14">
        <v>33.054955780703523</v>
      </c>
      <c r="U162" s="14">
        <f t="shared" si="66"/>
        <v>687.77762482811715</v>
      </c>
      <c r="V162" s="14">
        <f t="shared" si="67"/>
        <v>29.214041225725953</v>
      </c>
      <c r="W162" s="14">
        <v>35.749084068175044</v>
      </c>
      <c r="X162" s="16">
        <f t="shared" si="68"/>
        <v>0.96480138226754786</v>
      </c>
      <c r="Y162" s="16">
        <f t="shared" si="73"/>
        <v>0.65855414266457801</v>
      </c>
      <c r="Z162" s="16">
        <f t="shared" si="69"/>
        <v>1.4255075666456112</v>
      </c>
      <c r="AA162" s="16">
        <f t="shared" si="70"/>
        <v>0.80586958947771925</v>
      </c>
      <c r="AB162" s="16">
        <f t="shared" si="51"/>
        <v>1.3217802910033608E-2</v>
      </c>
      <c r="AC162" s="14">
        <f t="shared" si="74"/>
        <v>29.214041225725953</v>
      </c>
      <c r="AD162" s="16">
        <f t="shared" si="52"/>
        <v>0.41599130751893199</v>
      </c>
      <c r="AE162" s="16">
        <f t="shared" si="53"/>
        <v>2.8686631313822993E-2</v>
      </c>
      <c r="AF162" s="23" t="str">
        <f t="shared" si="71"/>
        <v/>
      </c>
      <c r="AG162" s="23" t="str">
        <f t="shared" si="54"/>
        <v/>
      </c>
      <c r="AH162" s="23" t="str">
        <f t="shared" si="55"/>
        <v/>
      </c>
      <c r="AI162" s="23" t="str">
        <f t="shared" si="72"/>
        <v/>
      </c>
      <c r="AJ162" s="23" t="str">
        <f t="shared" si="56"/>
        <v/>
      </c>
      <c r="AK162" s="23" t="str">
        <f t="shared" si="57"/>
        <v/>
      </c>
      <c r="AL162" s="23" t="str">
        <f t="shared" si="58"/>
        <v/>
      </c>
      <c r="AM162" s="23" t="str">
        <f t="shared" si="59"/>
        <v/>
      </c>
      <c r="AN162" s="19">
        <f t="shared" si="60"/>
        <v>0</v>
      </c>
      <c r="AO162" s="26">
        <f t="shared" si="61"/>
        <v>2.1072556781400635</v>
      </c>
    </row>
    <row r="163" spans="1:41" x14ac:dyDescent="0.2">
      <c r="A163" s="12">
        <v>44717</v>
      </c>
      <c r="B163" s="6">
        <v>5</v>
      </c>
      <c r="C163" s="6">
        <v>156</v>
      </c>
      <c r="D163" s="6">
        <v>1</v>
      </c>
      <c r="E163" s="6" t="s">
        <v>12</v>
      </c>
      <c r="F163" s="6">
        <v>23</v>
      </c>
      <c r="G163" s="6">
        <v>6</v>
      </c>
      <c r="H163" s="6" t="s">
        <v>22</v>
      </c>
      <c r="I163" s="6">
        <v>2</v>
      </c>
      <c r="J163" s="14">
        <v>5.4900949341694902</v>
      </c>
      <c r="K163" s="14">
        <f t="shared" si="62"/>
        <v>5.4900949341694902</v>
      </c>
      <c r="L163" s="14">
        <v>27.937863784371928</v>
      </c>
      <c r="M163" s="14">
        <f t="shared" si="63"/>
        <v>153.38152443409757</v>
      </c>
      <c r="N163" s="16">
        <v>0.28738916006920756</v>
      </c>
      <c r="O163" s="14">
        <f t="shared" si="64"/>
        <v>44.080187477249936</v>
      </c>
      <c r="P163" s="14">
        <f t="shared" si="65"/>
        <v>109.30133695684763</v>
      </c>
      <c r="Q163" s="14">
        <v>20.072206615182942</v>
      </c>
      <c r="R163" s="14">
        <v>5.6317005701084577</v>
      </c>
      <c r="S163" s="14">
        <f t="shared" si="50"/>
        <v>28.571428571428573</v>
      </c>
      <c r="T163" s="14">
        <v>16.703821917190357</v>
      </c>
      <c r="U163" s="14">
        <f t="shared" si="66"/>
        <v>107.36706710386829</v>
      </c>
      <c r="V163" s="14">
        <f t="shared" si="67"/>
        <v>19.556504649060347</v>
      </c>
      <c r="W163" s="14">
        <v>11.569493560461435</v>
      </c>
      <c r="X163" s="16">
        <f t="shared" si="68"/>
        <v>1.0263698434549946</v>
      </c>
      <c r="Y163" s="16">
        <f t="shared" si="73"/>
        <v>0.47453200137746776</v>
      </c>
      <c r="Z163" s="16">
        <f t="shared" si="69"/>
        <v>0.41055594295601083</v>
      </c>
      <c r="AA163" s="16">
        <f t="shared" si="70"/>
        <v>0.28072986623574775</v>
      </c>
      <c r="AB163" s="16">
        <f t="shared" si="51"/>
        <v>0.18627685881231851</v>
      </c>
      <c r="AC163" s="14">
        <f t="shared" si="74"/>
        <v>19.556504649060347</v>
      </c>
      <c r="AD163" s="16">
        <f t="shared" si="52"/>
        <v>0.20157949847471004</v>
      </c>
      <c r="AE163" s="16">
        <f t="shared" si="53"/>
        <v>0.13086456591978413</v>
      </c>
      <c r="AF163" s="23" t="str">
        <f t="shared" si="71"/>
        <v/>
      </c>
      <c r="AG163" s="23">
        <f t="shared" si="54"/>
        <v>1000</v>
      </c>
      <c r="AH163" s="23" t="str">
        <f t="shared" si="55"/>
        <v/>
      </c>
      <c r="AI163" s="23" t="str">
        <f t="shared" si="72"/>
        <v/>
      </c>
      <c r="AJ163" s="23" t="str">
        <f t="shared" si="56"/>
        <v/>
      </c>
      <c r="AK163" s="23" t="str">
        <f t="shared" si="57"/>
        <v/>
      </c>
      <c r="AL163" s="23" t="str">
        <f t="shared" si="58"/>
        <v/>
      </c>
      <c r="AM163" s="23">
        <f t="shared" si="59"/>
        <v>1000</v>
      </c>
      <c r="AN163" s="19">
        <f t="shared" si="60"/>
        <v>2000</v>
      </c>
      <c r="AO163" s="26">
        <f t="shared" si="61"/>
        <v>-1890.6986630431525</v>
      </c>
    </row>
    <row r="164" spans="1:41" x14ac:dyDescent="0.2">
      <c r="A164" s="12">
        <v>44718</v>
      </c>
      <c r="B164" s="6">
        <v>6</v>
      </c>
      <c r="C164" s="6">
        <v>157</v>
      </c>
      <c r="D164" s="6">
        <v>2</v>
      </c>
      <c r="E164" s="6" t="s">
        <v>13</v>
      </c>
      <c r="F164" s="6">
        <v>23</v>
      </c>
      <c r="G164" s="6">
        <v>6</v>
      </c>
      <c r="H164" s="6" t="s">
        <v>22</v>
      </c>
      <c r="I164" s="6">
        <v>2</v>
      </c>
      <c r="J164" s="14">
        <v>17.585405193459174</v>
      </c>
      <c r="K164" s="14">
        <f t="shared" si="62"/>
        <v>17.585405193459174</v>
      </c>
      <c r="L164" s="14">
        <v>17.563178849845986</v>
      </c>
      <c r="M164" s="14">
        <f t="shared" si="63"/>
        <v>308.8556165597339</v>
      </c>
      <c r="N164" s="16">
        <v>0.654953240489901</v>
      </c>
      <c r="O164" s="14">
        <f t="shared" si="64"/>
        <v>202.28598690930406</v>
      </c>
      <c r="P164" s="14">
        <f t="shared" si="65"/>
        <v>106.56962965042985</v>
      </c>
      <c r="Q164" s="14">
        <v>33.968910719959609</v>
      </c>
      <c r="R164" s="14">
        <v>10.4981936866907</v>
      </c>
      <c r="S164" s="14">
        <f t="shared" si="50"/>
        <v>12.987012987012987</v>
      </c>
      <c r="T164" s="14">
        <v>35.340357050490738</v>
      </c>
      <c r="U164" s="14">
        <f t="shared" si="66"/>
        <v>216.19893159181373</v>
      </c>
      <c r="V164" s="14">
        <f t="shared" si="67"/>
        <v>12.29422519489219</v>
      </c>
      <c r="W164" s="14">
        <v>28.410418427175081</v>
      </c>
      <c r="X164" s="16">
        <f t="shared" si="68"/>
        <v>2.7629972756699197</v>
      </c>
      <c r="Y164" s="16">
        <f t="shared" si="73"/>
        <v>0.61897733884265549</v>
      </c>
      <c r="Z164" s="16">
        <f t="shared" si="69"/>
        <v>0.9356474864141443</v>
      </c>
      <c r="AA164" s="16">
        <f t="shared" si="70"/>
        <v>1.4303792971650853</v>
      </c>
      <c r="AB164" s="16">
        <f t="shared" si="51"/>
        <v>4.2048815986162412E-2</v>
      </c>
      <c r="AC164" s="14">
        <f t="shared" si="74"/>
        <v>12.29422519489219</v>
      </c>
      <c r="AD164" s="16">
        <f t="shared" si="52"/>
        <v>0.59773881348266056</v>
      </c>
      <c r="AE164" s="16">
        <f t="shared" si="53"/>
        <v>0.10998314066077503</v>
      </c>
      <c r="AF164" s="23" t="str">
        <f t="shared" si="71"/>
        <v/>
      </c>
      <c r="AG164" s="23" t="str">
        <f t="shared" si="54"/>
        <v/>
      </c>
      <c r="AH164" s="23" t="str">
        <f t="shared" si="55"/>
        <v/>
      </c>
      <c r="AI164" s="23" t="str">
        <f t="shared" si="72"/>
        <v/>
      </c>
      <c r="AJ164" s="23" t="str">
        <f t="shared" si="56"/>
        <v/>
      </c>
      <c r="AK164" s="23" t="str">
        <f t="shared" si="57"/>
        <v/>
      </c>
      <c r="AL164" s="23" t="str">
        <f t="shared" si="58"/>
        <v/>
      </c>
      <c r="AM164" s="23" t="str">
        <f t="shared" si="59"/>
        <v/>
      </c>
      <c r="AN164" s="19">
        <f t="shared" si="60"/>
        <v>0</v>
      </c>
      <c r="AO164" s="26">
        <f t="shared" si="61"/>
        <v>106.56962965042985</v>
      </c>
    </row>
    <row r="165" spans="1:41" x14ac:dyDescent="0.2">
      <c r="A165" s="12">
        <v>44719</v>
      </c>
      <c r="B165" s="6">
        <v>7</v>
      </c>
      <c r="C165" s="6">
        <v>158</v>
      </c>
      <c r="D165" s="6">
        <v>3</v>
      </c>
      <c r="E165" s="6" t="s">
        <v>14</v>
      </c>
      <c r="F165" s="6">
        <v>23</v>
      </c>
      <c r="G165" s="6">
        <v>6</v>
      </c>
      <c r="H165" s="6" t="s">
        <v>22</v>
      </c>
      <c r="I165" s="6">
        <v>2</v>
      </c>
      <c r="J165" s="14">
        <v>11.414878927872348</v>
      </c>
      <c r="K165" s="14">
        <f t="shared" si="62"/>
        <v>11.414878927872348</v>
      </c>
      <c r="L165" s="14">
        <v>86.089874486203797</v>
      </c>
      <c r="M165" s="14">
        <f t="shared" si="63"/>
        <v>982.70549417574296</v>
      </c>
      <c r="N165" s="16">
        <v>0.51405349067958961</v>
      </c>
      <c r="O165" s="14">
        <f t="shared" si="64"/>
        <v>505.16318959105178</v>
      </c>
      <c r="P165" s="14">
        <f t="shared" si="65"/>
        <v>477.54230458469118</v>
      </c>
      <c r="Q165" s="14">
        <v>30.461870243102712</v>
      </c>
      <c r="R165" s="14">
        <v>18.091353632222564</v>
      </c>
      <c r="S165" s="14">
        <f t="shared" si="50"/>
        <v>12.987012987012987</v>
      </c>
      <c r="T165" s="14">
        <v>37.238083079661628</v>
      </c>
      <c r="U165" s="14">
        <f t="shared" si="66"/>
        <v>687.89384592302008</v>
      </c>
      <c r="V165" s="14">
        <f t="shared" si="67"/>
        <v>60.262912140342657</v>
      </c>
      <c r="W165" s="14">
        <v>30.871470506295381</v>
      </c>
      <c r="X165" s="16">
        <f t="shared" si="68"/>
        <v>0.50548287763063793</v>
      </c>
      <c r="Y165" s="16">
        <f t="shared" si="73"/>
        <v>0.36975494657906233</v>
      </c>
      <c r="Z165" s="16">
        <f t="shared" si="69"/>
        <v>0.73436212954227087</v>
      </c>
      <c r="AA165" s="16">
        <f t="shared" si="70"/>
        <v>0.18941797736705662</v>
      </c>
      <c r="AB165" s="16">
        <f t="shared" si="51"/>
        <v>1.3215569734761698E-2</v>
      </c>
      <c r="AC165" s="14">
        <f t="shared" si="74"/>
        <v>60.262912140342657</v>
      </c>
      <c r="AD165" s="16">
        <f t="shared" si="52"/>
        <v>0.2101449646685426</v>
      </c>
      <c r="AE165" s="16">
        <f t="shared" si="53"/>
        <v>3.0997964724571937E-2</v>
      </c>
      <c r="AF165" s="23" t="str">
        <f t="shared" si="71"/>
        <v/>
      </c>
      <c r="AG165" s="23" t="str">
        <f t="shared" si="54"/>
        <v/>
      </c>
      <c r="AH165" s="23" t="str">
        <f t="shared" si="55"/>
        <v/>
      </c>
      <c r="AI165" s="23" t="str">
        <f t="shared" si="72"/>
        <v/>
      </c>
      <c r="AJ165" s="23" t="str">
        <f t="shared" si="56"/>
        <v/>
      </c>
      <c r="AK165" s="23" t="str">
        <f t="shared" si="57"/>
        <v/>
      </c>
      <c r="AL165" s="23" t="str">
        <f t="shared" si="58"/>
        <v/>
      </c>
      <c r="AM165" s="23" t="str">
        <f t="shared" si="59"/>
        <v/>
      </c>
      <c r="AN165" s="19">
        <f t="shared" si="60"/>
        <v>0</v>
      </c>
      <c r="AO165" s="26">
        <f t="shared" si="61"/>
        <v>477.54230458469118</v>
      </c>
    </row>
    <row r="166" spans="1:41" x14ac:dyDescent="0.2">
      <c r="A166" s="12">
        <v>44720</v>
      </c>
      <c r="B166" s="6">
        <v>8</v>
      </c>
      <c r="C166" s="6">
        <v>159</v>
      </c>
      <c r="D166" s="6">
        <v>4</v>
      </c>
      <c r="E166" s="6" t="s">
        <v>15</v>
      </c>
      <c r="F166" s="6">
        <v>23</v>
      </c>
      <c r="G166" s="6">
        <v>6</v>
      </c>
      <c r="H166" s="6" t="s">
        <v>22</v>
      </c>
      <c r="I166" s="6">
        <v>2</v>
      </c>
      <c r="J166" s="14">
        <v>1.0264280451801078</v>
      </c>
      <c r="K166" s="14">
        <f t="shared" si="62"/>
        <v>1.0264280451801078</v>
      </c>
      <c r="L166" s="14">
        <v>72.306975463709961</v>
      </c>
      <c r="M166" s="14">
        <f t="shared" si="63"/>
        <v>74.217907478101836</v>
      </c>
      <c r="N166" s="16">
        <v>0.72383221414356691</v>
      </c>
      <c r="O166" s="14">
        <f t="shared" si="64"/>
        <v>53.721312298976841</v>
      </c>
      <c r="P166" s="14">
        <f t="shared" si="65"/>
        <v>20.496595179124995</v>
      </c>
      <c r="Q166" s="14">
        <v>35.573138134394995</v>
      </c>
      <c r="R166" s="14">
        <v>15.829234091245063</v>
      </c>
      <c r="S166" s="14">
        <f t="shared" si="50"/>
        <v>12.987012987012987</v>
      </c>
      <c r="T166" s="14">
        <v>36.630290503376735</v>
      </c>
      <c r="U166" s="14">
        <f t="shared" si="66"/>
        <v>51.952535234671281</v>
      </c>
      <c r="V166" s="14">
        <f t="shared" si="67"/>
        <v>50.614882824596968</v>
      </c>
      <c r="W166" s="14">
        <v>35.809610852245875</v>
      </c>
      <c r="X166" s="16">
        <f t="shared" si="68"/>
        <v>0.70281972710816509</v>
      </c>
      <c r="Y166" s="16">
        <f t="shared" si="73"/>
        <v>2.8663479461289179E-2</v>
      </c>
      <c r="Z166" s="16">
        <f t="shared" si="69"/>
        <v>1.0340460202050956</v>
      </c>
      <c r="AA166" s="16">
        <f t="shared" si="70"/>
        <v>2.027917458066902E-2</v>
      </c>
      <c r="AB166" s="16">
        <f t="shared" si="51"/>
        <v>0.17498489823153307</v>
      </c>
      <c r="AC166" s="14">
        <f t="shared" si="74"/>
        <v>50.614882824596968</v>
      </c>
      <c r="AD166" s="16">
        <f t="shared" si="52"/>
        <v>0.21891710986016244</v>
      </c>
      <c r="AE166" s="16">
        <f t="shared" si="53"/>
        <v>0.47930667062919996</v>
      </c>
      <c r="AF166" s="23" t="str">
        <f t="shared" si="71"/>
        <v/>
      </c>
      <c r="AG166" s="23" t="str">
        <f t="shared" si="54"/>
        <v/>
      </c>
      <c r="AH166" s="23" t="str">
        <f t="shared" si="55"/>
        <v/>
      </c>
      <c r="AI166" s="23" t="str">
        <f t="shared" si="72"/>
        <v/>
      </c>
      <c r="AJ166" s="23" t="str">
        <f t="shared" si="56"/>
        <v/>
      </c>
      <c r="AK166" s="23" t="str">
        <f t="shared" si="57"/>
        <v/>
      </c>
      <c r="AL166" s="23" t="str">
        <f t="shared" si="58"/>
        <v/>
      </c>
      <c r="AM166" s="23" t="str">
        <f t="shared" si="59"/>
        <v/>
      </c>
      <c r="AN166" s="19">
        <f t="shared" si="60"/>
        <v>0</v>
      </c>
      <c r="AO166" s="26">
        <f t="shared" si="61"/>
        <v>20.496595179124995</v>
      </c>
    </row>
    <row r="167" spans="1:41" x14ac:dyDescent="0.2">
      <c r="A167" s="12">
        <v>44721</v>
      </c>
      <c r="B167" s="6">
        <v>9</v>
      </c>
      <c r="C167" s="6">
        <v>160</v>
      </c>
      <c r="D167" s="6">
        <v>5</v>
      </c>
      <c r="E167" s="6" t="s">
        <v>16</v>
      </c>
      <c r="F167" s="6">
        <v>23</v>
      </c>
      <c r="G167" s="6">
        <v>6</v>
      </c>
      <c r="H167" s="6" t="s">
        <v>22</v>
      </c>
      <c r="I167" s="6">
        <v>2</v>
      </c>
      <c r="J167" s="14">
        <v>19.638634765652974</v>
      </c>
      <c r="K167" s="14">
        <f t="shared" si="62"/>
        <v>19.638634765652974</v>
      </c>
      <c r="L167" s="14">
        <v>47.278170190138553</v>
      </c>
      <c r="M167" s="14">
        <f t="shared" si="63"/>
        <v>928.47871675251304</v>
      </c>
      <c r="N167" s="16">
        <v>0.54379122912294164</v>
      </c>
      <c r="O167" s="14">
        <f t="shared" si="64"/>
        <v>504.89858259734063</v>
      </c>
      <c r="P167" s="14">
        <f t="shared" si="65"/>
        <v>423.5801341551724</v>
      </c>
      <c r="Q167" s="14">
        <v>22.071897898186485</v>
      </c>
      <c r="R167" s="14">
        <v>11.697890725525651</v>
      </c>
      <c r="S167" s="14">
        <f t="shared" si="50"/>
        <v>12.987012987012987</v>
      </c>
      <c r="T167" s="14">
        <v>42.397041957742488</v>
      </c>
      <c r="U167" s="14">
        <f t="shared" si="66"/>
        <v>649.93510172675906</v>
      </c>
      <c r="V167" s="14">
        <f t="shared" si="67"/>
        <v>33.09471913309698</v>
      </c>
      <c r="W167" s="14">
        <v>26.96787268005766</v>
      </c>
      <c r="X167" s="16">
        <f t="shared" si="68"/>
        <v>0.66693111397682414</v>
      </c>
      <c r="Y167" s="16">
        <f t="shared" si="73"/>
        <v>0.72822335668231819</v>
      </c>
      <c r="Z167" s="16">
        <f t="shared" si="69"/>
        <v>0.77684461303277386</v>
      </c>
      <c r="AA167" s="16">
        <f t="shared" si="70"/>
        <v>0.5934069023723183</v>
      </c>
      <c r="AB167" s="16">
        <f t="shared" si="51"/>
        <v>1.3987410538000181E-2</v>
      </c>
      <c r="AC167" s="14">
        <f t="shared" si="74"/>
        <v>33.09471913309698</v>
      </c>
      <c r="AD167" s="16">
        <f t="shared" si="52"/>
        <v>0.24742689233699738</v>
      </c>
      <c r="AE167" s="16">
        <f t="shared" si="53"/>
        <v>2.3772109688616344E-2</v>
      </c>
      <c r="AF167" s="23" t="str">
        <f t="shared" si="71"/>
        <v/>
      </c>
      <c r="AG167" s="23" t="str">
        <f t="shared" si="54"/>
        <v/>
      </c>
      <c r="AH167" s="23" t="str">
        <f t="shared" si="55"/>
        <v/>
      </c>
      <c r="AI167" s="23" t="str">
        <f t="shared" si="72"/>
        <v/>
      </c>
      <c r="AJ167" s="23" t="str">
        <f t="shared" si="56"/>
        <v/>
      </c>
      <c r="AK167" s="23" t="str">
        <f t="shared" si="57"/>
        <v/>
      </c>
      <c r="AL167" s="23" t="str">
        <f t="shared" si="58"/>
        <v/>
      </c>
      <c r="AM167" s="23" t="str">
        <f t="shared" si="59"/>
        <v/>
      </c>
      <c r="AN167" s="19">
        <f t="shared" si="60"/>
        <v>0</v>
      </c>
      <c r="AO167" s="26">
        <f t="shared" si="61"/>
        <v>423.5801341551724</v>
      </c>
    </row>
    <row r="168" spans="1:41" x14ac:dyDescent="0.2">
      <c r="A168" s="12">
        <v>44722</v>
      </c>
      <c r="B168" s="6">
        <v>10</v>
      </c>
      <c r="C168" s="6">
        <v>161</v>
      </c>
      <c r="D168" s="6">
        <v>6</v>
      </c>
      <c r="E168" s="6" t="s">
        <v>17</v>
      </c>
      <c r="F168" s="6">
        <v>23</v>
      </c>
      <c r="G168" s="6">
        <v>6</v>
      </c>
      <c r="H168" s="6" t="s">
        <v>22</v>
      </c>
      <c r="I168" s="6">
        <v>2</v>
      </c>
      <c r="J168" s="14">
        <v>17.494948976511047</v>
      </c>
      <c r="K168" s="14">
        <f t="shared" si="62"/>
        <v>17.494948976511047</v>
      </c>
      <c r="L168" s="14">
        <v>31.965401092721656</v>
      </c>
      <c r="M168" s="14">
        <f t="shared" si="63"/>
        <v>559.23306113087585</v>
      </c>
      <c r="N168" s="16">
        <v>0.59368238788279737</v>
      </c>
      <c r="O168" s="14">
        <f t="shared" si="64"/>
        <v>332.00681911518478</v>
      </c>
      <c r="P168" s="14">
        <f t="shared" si="65"/>
        <v>227.22624201569107</v>
      </c>
      <c r="Q168" s="14">
        <v>34.062919848313335</v>
      </c>
      <c r="R168" s="14">
        <v>8.3071706926944273</v>
      </c>
      <c r="S168" s="14">
        <f t="shared" si="50"/>
        <v>12.987012987012987</v>
      </c>
      <c r="T168" s="14">
        <v>35.504254928994406</v>
      </c>
      <c r="U168" s="14">
        <f t="shared" si="66"/>
        <v>391.46314279161305</v>
      </c>
      <c r="V168" s="14">
        <f t="shared" si="67"/>
        <v>22.375780764905159</v>
      </c>
      <c r="W168" s="14">
        <v>30.864879312308759</v>
      </c>
      <c r="X168" s="16">
        <f t="shared" si="68"/>
        <v>1.522312012537173</v>
      </c>
      <c r="Y168" s="16">
        <f t="shared" si="73"/>
        <v>0.56682382586003344</v>
      </c>
      <c r="Z168" s="16">
        <f t="shared" si="69"/>
        <v>0.84811769697542494</v>
      </c>
      <c r="AA168" s="16">
        <f t="shared" si="70"/>
        <v>0.78186987798658836</v>
      </c>
      <c r="AB168" s="16">
        <f t="shared" si="51"/>
        <v>2.3222899162561619E-2</v>
      </c>
      <c r="AC168" s="14">
        <f t="shared" si="74"/>
        <v>22.375780764905159</v>
      </c>
      <c r="AD168" s="16">
        <f t="shared" si="52"/>
        <v>0.25988007059876761</v>
      </c>
      <c r="AE168" s="16">
        <f t="shared" si="53"/>
        <v>6.0910060967124542E-2</v>
      </c>
      <c r="AF168" s="23" t="str">
        <f t="shared" si="71"/>
        <v/>
      </c>
      <c r="AG168" s="23" t="str">
        <f t="shared" ref="AG168:AG188" si="75">IF(E168=$AG$6,$AG$5,"")</f>
        <v/>
      </c>
      <c r="AH168" s="23" t="str">
        <f t="shared" si="55"/>
        <v/>
      </c>
      <c r="AI168" s="23">
        <f t="shared" si="72"/>
        <v>300</v>
      </c>
      <c r="AJ168" s="23" t="str">
        <f t="shared" si="56"/>
        <v/>
      </c>
      <c r="AK168" s="23" t="str">
        <f t="shared" si="57"/>
        <v/>
      </c>
      <c r="AL168" s="23" t="str">
        <f t="shared" si="58"/>
        <v/>
      </c>
      <c r="AM168" s="23" t="str">
        <f t="shared" si="59"/>
        <v/>
      </c>
      <c r="AN168" s="19">
        <f t="shared" si="60"/>
        <v>300</v>
      </c>
      <c r="AO168" s="26">
        <f t="shared" si="61"/>
        <v>-72.773757984308929</v>
      </c>
    </row>
    <row r="169" spans="1:41" x14ac:dyDescent="0.2">
      <c r="A169" s="12">
        <v>44723</v>
      </c>
      <c r="B169" s="6">
        <v>11</v>
      </c>
      <c r="C169" s="6">
        <v>162</v>
      </c>
      <c r="D169" s="6">
        <v>7</v>
      </c>
      <c r="E169" s="6" t="s">
        <v>10</v>
      </c>
      <c r="F169" s="6">
        <v>23</v>
      </c>
      <c r="G169" s="6">
        <v>6</v>
      </c>
      <c r="H169" s="6" t="s">
        <v>22</v>
      </c>
      <c r="I169" s="6">
        <v>2</v>
      </c>
      <c r="J169" s="14">
        <v>8.2969607473509193</v>
      </c>
      <c r="K169" s="14">
        <f t="shared" si="62"/>
        <v>8.2969607473509193</v>
      </c>
      <c r="L169" s="14">
        <v>74.152230963815242</v>
      </c>
      <c r="M169" s="14">
        <f t="shared" si="63"/>
        <v>615.23814963527445</v>
      </c>
      <c r="N169" s="16">
        <v>0.5401957544799868</v>
      </c>
      <c r="O169" s="14">
        <f t="shared" si="64"/>
        <v>332.3490364270981</v>
      </c>
      <c r="P169" s="14">
        <f t="shared" si="65"/>
        <v>282.88911320817635</v>
      </c>
      <c r="Q169" s="14">
        <v>35.451414842516201</v>
      </c>
      <c r="R169" s="14">
        <v>7.6260933590724731</v>
      </c>
      <c r="S169" s="14">
        <f t="shared" si="50"/>
        <v>12.987012987012987</v>
      </c>
      <c r="T169" s="14">
        <v>31.379332431012461</v>
      </c>
      <c r="U169" s="14">
        <f t="shared" si="66"/>
        <v>430.66670474469208</v>
      </c>
      <c r="V169" s="14">
        <f t="shared" si="67"/>
        <v>51.906561674670662</v>
      </c>
      <c r="W169" s="14">
        <v>31.897439359814321</v>
      </c>
      <c r="X169" s="16">
        <f t="shared" si="68"/>
        <v>0.68298522766179992</v>
      </c>
      <c r="Y169" s="16">
        <f t="shared" si="73"/>
        <v>0.26011369294438613</v>
      </c>
      <c r="Z169" s="16">
        <f t="shared" si="69"/>
        <v>0.77170822068569545</v>
      </c>
      <c r="AA169" s="16">
        <f t="shared" si="70"/>
        <v>0.15984415996098747</v>
      </c>
      <c r="AB169" s="16">
        <f t="shared" si="51"/>
        <v>2.1108920171338447E-2</v>
      </c>
      <c r="AC169" s="14">
        <f t="shared" si="74"/>
        <v>51.906561674670662</v>
      </c>
      <c r="AD169" s="16">
        <f t="shared" si="52"/>
        <v>0.10284374805653318</v>
      </c>
      <c r="AE169" s="16">
        <f t="shared" si="53"/>
        <v>5.7622263612119161E-2</v>
      </c>
      <c r="AF169" s="23" t="str">
        <f t="shared" si="71"/>
        <v/>
      </c>
      <c r="AG169" s="23" t="str">
        <f t="shared" si="75"/>
        <v/>
      </c>
      <c r="AH169" s="23" t="str">
        <f t="shared" si="55"/>
        <v/>
      </c>
      <c r="AI169" s="23" t="str">
        <f t="shared" si="72"/>
        <v/>
      </c>
      <c r="AJ169" s="23" t="str">
        <f t="shared" si="56"/>
        <v/>
      </c>
      <c r="AK169" s="23" t="str">
        <f t="shared" si="57"/>
        <v/>
      </c>
      <c r="AL169" s="23" t="str">
        <f t="shared" si="58"/>
        <v/>
      </c>
      <c r="AM169" s="23" t="str">
        <f t="shared" si="59"/>
        <v/>
      </c>
      <c r="AN169" s="19">
        <f t="shared" si="60"/>
        <v>0</v>
      </c>
      <c r="AO169" s="26">
        <f t="shared" si="61"/>
        <v>282.88911320817635</v>
      </c>
    </row>
    <row r="170" spans="1:41" x14ac:dyDescent="0.2">
      <c r="A170" s="12">
        <v>44724</v>
      </c>
      <c r="B170" s="6">
        <v>12</v>
      </c>
      <c r="C170" s="6">
        <v>163</v>
      </c>
      <c r="D170" s="6">
        <v>1</v>
      </c>
      <c r="E170" s="6" t="s">
        <v>12</v>
      </c>
      <c r="F170" s="6">
        <v>24</v>
      </c>
      <c r="G170" s="6">
        <v>6</v>
      </c>
      <c r="H170" s="6" t="s">
        <v>22</v>
      </c>
      <c r="I170" s="6">
        <v>2</v>
      </c>
      <c r="J170" s="14">
        <v>5.6218363696986344</v>
      </c>
      <c r="K170" s="14">
        <f t="shared" si="62"/>
        <v>5.6218363696986344</v>
      </c>
      <c r="L170" s="14">
        <v>2.7298506017636228</v>
      </c>
      <c r="M170" s="14">
        <f t="shared" si="63"/>
        <v>15.346773396838438</v>
      </c>
      <c r="N170" s="16">
        <v>0.39479483765752699</v>
      </c>
      <c r="O170" s="14">
        <f t="shared" si="64"/>
        <v>6.0588269117716855</v>
      </c>
      <c r="P170" s="14">
        <f t="shared" si="65"/>
        <v>9.2879464850667528</v>
      </c>
      <c r="Q170" s="14">
        <v>20.35586443794115</v>
      </c>
      <c r="R170" s="14">
        <v>5.7786035689627733</v>
      </c>
      <c r="S170" s="14">
        <f t="shared" si="50"/>
        <v>28.571428571428573</v>
      </c>
      <c r="T170" s="14">
        <v>15.759535751738481</v>
      </c>
      <c r="U170" s="14">
        <f t="shared" si="66"/>
        <v>10.742741377786906</v>
      </c>
      <c r="V170" s="14">
        <f t="shared" si="67"/>
        <v>1.9108954212345359</v>
      </c>
      <c r="W170" s="14">
        <v>13.437885144890402</v>
      </c>
      <c r="X170" s="16">
        <f t="shared" si="68"/>
        <v>10.652526669821745</v>
      </c>
      <c r="Y170" s="16">
        <f t="shared" si="73"/>
        <v>0.41835722727815333</v>
      </c>
      <c r="Z170" s="16">
        <f t="shared" si="69"/>
        <v>0.56399262522503857</v>
      </c>
      <c r="AA170" s="16">
        <f t="shared" si="70"/>
        <v>2.9419906014880928</v>
      </c>
      <c r="AB170" s="16">
        <f t="shared" si="51"/>
        <v>1.8617221895851099</v>
      </c>
      <c r="AC170" s="14">
        <f t="shared" si="74"/>
        <v>1.9108954212345359</v>
      </c>
      <c r="AD170" s="16">
        <f t="shared" si="52"/>
        <v>2.1168204462286324</v>
      </c>
      <c r="AE170" s="16">
        <f t="shared" si="53"/>
        <v>1.3263937579305514</v>
      </c>
      <c r="AF170" s="23" t="str">
        <f t="shared" si="71"/>
        <v/>
      </c>
      <c r="AG170" s="23">
        <f t="shared" si="75"/>
        <v>1000</v>
      </c>
      <c r="AH170" s="23" t="str">
        <f t="shared" si="55"/>
        <v/>
      </c>
      <c r="AI170" s="23" t="str">
        <f t="shared" si="72"/>
        <v/>
      </c>
      <c r="AJ170" s="23" t="str">
        <f t="shared" si="56"/>
        <v/>
      </c>
      <c r="AK170" s="23">
        <f t="shared" si="57"/>
        <v>480</v>
      </c>
      <c r="AL170" s="23" t="str">
        <f t="shared" si="58"/>
        <v/>
      </c>
      <c r="AM170" s="23" t="str">
        <f t="shared" si="59"/>
        <v/>
      </c>
      <c r="AN170" s="19">
        <f t="shared" si="60"/>
        <v>1480</v>
      </c>
      <c r="AO170" s="26">
        <f t="shared" si="61"/>
        <v>-1470.7120535149334</v>
      </c>
    </row>
    <row r="171" spans="1:41" x14ac:dyDescent="0.2">
      <c r="A171" s="12">
        <v>44725</v>
      </c>
      <c r="B171" s="6">
        <v>13</v>
      </c>
      <c r="C171" s="6">
        <v>164</v>
      </c>
      <c r="D171" s="6">
        <v>2</v>
      </c>
      <c r="E171" s="6" t="s">
        <v>13</v>
      </c>
      <c r="F171" s="6">
        <v>24</v>
      </c>
      <c r="G171" s="6">
        <v>6</v>
      </c>
      <c r="H171" s="6" t="s">
        <v>22</v>
      </c>
      <c r="I171" s="6">
        <v>2</v>
      </c>
      <c r="J171" s="14">
        <v>16.395358015497205</v>
      </c>
      <c r="K171" s="14">
        <f t="shared" si="62"/>
        <v>16.395358015497205</v>
      </c>
      <c r="L171" s="14">
        <v>110.28230441546563</v>
      </c>
      <c r="M171" s="14">
        <f t="shared" si="63"/>
        <v>1808.1178636656073</v>
      </c>
      <c r="N171" s="16">
        <v>0.59101057086691733</v>
      </c>
      <c r="O171" s="14">
        <f t="shared" si="64"/>
        <v>1068.6167707996815</v>
      </c>
      <c r="P171" s="14">
        <f t="shared" si="65"/>
        <v>739.50109286592578</v>
      </c>
      <c r="Q171" s="14">
        <v>59.092759024949757</v>
      </c>
      <c r="R171" s="14">
        <v>12.157790084569291</v>
      </c>
      <c r="S171" s="14">
        <f t="shared" si="50"/>
        <v>12.987012987012987</v>
      </c>
      <c r="T171" s="14">
        <v>41.631030258934054</v>
      </c>
      <c r="U171" s="14">
        <f t="shared" si="66"/>
        <v>1265.682504565925</v>
      </c>
      <c r="V171" s="14">
        <f t="shared" si="67"/>
        <v>77.197613090825939</v>
      </c>
      <c r="W171" s="14">
        <v>38.778941700901342</v>
      </c>
      <c r="X171" s="16">
        <f t="shared" si="68"/>
        <v>0.76547391375203366</v>
      </c>
      <c r="Y171" s="16">
        <f t="shared" si="73"/>
        <v>0.4227902386288207</v>
      </c>
      <c r="Z171" s="16">
        <f t="shared" si="69"/>
        <v>0.84430081552416758</v>
      </c>
      <c r="AA171" s="16">
        <f t="shared" si="70"/>
        <v>0.21238167035303851</v>
      </c>
      <c r="AB171" s="16">
        <f t="shared" si="51"/>
        <v>7.1826141691252055E-3</v>
      </c>
      <c r="AC171" s="14">
        <f t="shared" si="74"/>
        <v>77.197613090825939</v>
      </c>
      <c r="AD171" s="16">
        <f t="shared" si="52"/>
        <v>0.11024243779643329</v>
      </c>
      <c r="AE171" s="16">
        <f t="shared" si="53"/>
        <v>3.2681917596428522E-2</v>
      </c>
      <c r="AF171" s="23" t="str">
        <f t="shared" si="71"/>
        <v/>
      </c>
      <c r="AG171" s="23" t="str">
        <f t="shared" si="75"/>
        <v/>
      </c>
      <c r="AH171" s="23" t="str">
        <f t="shared" si="55"/>
        <v/>
      </c>
      <c r="AI171" s="23" t="str">
        <f t="shared" si="72"/>
        <v/>
      </c>
      <c r="AJ171" s="23" t="str">
        <f t="shared" si="56"/>
        <v/>
      </c>
      <c r="AK171" s="23" t="str">
        <f t="shared" si="57"/>
        <v/>
      </c>
      <c r="AL171" s="23" t="str">
        <f t="shared" si="58"/>
        <v/>
      </c>
      <c r="AM171" s="23" t="str">
        <f t="shared" si="59"/>
        <v/>
      </c>
      <c r="AN171" s="19">
        <f t="shared" si="60"/>
        <v>0</v>
      </c>
      <c r="AO171" s="26">
        <f t="shared" si="61"/>
        <v>739.50109286592578</v>
      </c>
    </row>
    <row r="172" spans="1:41" x14ac:dyDescent="0.2">
      <c r="A172" s="12">
        <v>44726</v>
      </c>
      <c r="B172" s="6">
        <v>14</v>
      </c>
      <c r="C172" s="6">
        <v>165</v>
      </c>
      <c r="D172" s="6">
        <v>3</v>
      </c>
      <c r="E172" s="6" t="s">
        <v>14</v>
      </c>
      <c r="F172" s="6">
        <v>24</v>
      </c>
      <c r="G172" s="6">
        <v>6</v>
      </c>
      <c r="H172" s="6" t="s">
        <v>22</v>
      </c>
      <c r="I172" s="6">
        <v>2</v>
      </c>
      <c r="J172" s="14">
        <v>13.174823805906421</v>
      </c>
      <c r="K172" s="14">
        <f t="shared" si="62"/>
        <v>13.174823805906421</v>
      </c>
      <c r="L172" s="14">
        <v>69.206325099748184</v>
      </c>
      <c r="M172" s="14">
        <f t="shared" si="63"/>
        <v>911.78113944346137</v>
      </c>
      <c r="N172" s="16">
        <v>0.72260135557277971</v>
      </c>
      <c r="O172" s="14">
        <f t="shared" si="64"/>
        <v>658.85428734753884</v>
      </c>
      <c r="P172" s="14">
        <f t="shared" si="65"/>
        <v>252.92685209592253</v>
      </c>
      <c r="Q172" s="14">
        <v>31.931657283130018</v>
      </c>
      <c r="R172" s="14">
        <v>17.197903382174527</v>
      </c>
      <c r="S172" s="14">
        <f t="shared" si="50"/>
        <v>12.987012987012987</v>
      </c>
      <c r="T172" s="14">
        <v>34.366042463828663</v>
      </c>
      <c r="U172" s="14">
        <f t="shared" si="66"/>
        <v>638.24679761042296</v>
      </c>
      <c r="V172" s="14">
        <f t="shared" si="67"/>
        <v>48.444427569823723</v>
      </c>
      <c r="W172" s="14">
        <v>28.694837486593809</v>
      </c>
      <c r="X172" s="16">
        <f t="shared" si="68"/>
        <v>0.65913994415779631</v>
      </c>
      <c r="Y172" s="16">
        <f t="shared" si="73"/>
        <v>0.45913568292769324</v>
      </c>
      <c r="Z172" s="16">
        <f t="shared" si="69"/>
        <v>1.0322876508182568</v>
      </c>
      <c r="AA172" s="16">
        <f t="shared" si="70"/>
        <v>0.27195746687103151</v>
      </c>
      <c r="AB172" s="16">
        <f t="shared" si="51"/>
        <v>1.4243563970779303E-2</v>
      </c>
      <c r="AC172" s="14">
        <f t="shared" si="74"/>
        <v>48.444427569823723</v>
      </c>
      <c r="AD172" s="16">
        <f t="shared" si="52"/>
        <v>0.24850190148641635</v>
      </c>
      <c r="AE172" s="16">
        <f t="shared" si="53"/>
        <v>3.5021186446805276E-2</v>
      </c>
      <c r="AF172" s="23" t="str">
        <f t="shared" si="71"/>
        <v/>
      </c>
      <c r="AG172" s="23" t="str">
        <f t="shared" si="75"/>
        <v/>
      </c>
      <c r="AH172" s="23" t="str">
        <f t="shared" si="55"/>
        <v/>
      </c>
      <c r="AI172" s="23" t="str">
        <f t="shared" si="72"/>
        <v/>
      </c>
      <c r="AJ172" s="23" t="str">
        <f t="shared" si="56"/>
        <v/>
      </c>
      <c r="AK172" s="23" t="str">
        <f t="shared" si="57"/>
        <v/>
      </c>
      <c r="AL172" s="23" t="str">
        <f t="shared" si="58"/>
        <v/>
      </c>
      <c r="AM172" s="23" t="str">
        <f t="shared" si="59"/>
        <v/>
      </c>
      <c r="AN172" s="19">
        <f t="shared" si="60"/>
        <v>0</v>
      </c>
      <c r="AO172" s="26">
        <f t="shared" si="61"/>
        <v>252.92685209592253</v>
      </c>
    </row>
    <row r="173" spans="1:41" x14ac:dyDescent="0.2">
      <c r="A173" s="12">
        <v>44727</v>
      </c>
      <c r="B173" s="6">
        <v>15</v>
      </c>
      <c r="C173" s="6">
        <v>166</v>
      </c>
      <c r="D173" s="6">
        <v>4</v>
      </c>
      <c r="E173" s="6" t="s">
        <v>15</v>
      </c>
      <c r="F173" s="6">
        <v>24</v>
      </c>
      <c r="G173" s="6">
        <v>6</v>
      </c>
      <c r="H173" s="6" t="s">
        <v>22</v>
      </c>
      <c r="I173" s="6">
        <v>2</v>
      </c>
      <c r="J173" s="14">
        <v>19.020745866827141</v>
      </c>
      <c r="K173" s="14">
        <f t="shared" si="62"/>
        <v>19.020745866827141</v>
      </c>
      <c r="L173" s="14">
        <v>6.0215591377441724</v>
      </c>
      <c r="M173" s="14">
        <f t="shared" si="63"/>
        <v>114.53454608110268</v>
      </c>
      <c r="N173" s="16">
        <v>0.60092655976290843</v>
      </c>
      <c r="O173" s="14">
        <f t="shared" si="64"/>
        <v>68.826850750523334</v>
      </c>
      <c r="P173" s="14">
        <f t="shared" si="65"/>
        <v>45.707695330579341</v>
      </c>
      <c r="Q173" s="14">
        <v>34.937398332223992</v>
      </c>
      <c r="R173" s="14">
        <v>13.282956093636541</v>
      </c>
      <c r="S173" s="14">
        <f t="shared" si="50"/>
        <v>12.987012987012987</v>
      </c>
      <c r="T173" s="14">
        <v>37.33935766728348</v>
      </c>
      <c r="U173" s="14">
        <f t="shared" si="66"/>
        <v>80.174182256771871</v>
      </c>
      <c r="V173" s="14">
        <f t="shared" si="67"/>
        <v>4.2150913964209211</v>
      </c>
      <c r="W173" s="14">
        <v>41.923408208064629</v>
      </c>
      <c r="X173" s="16">
        <f t="shared" si="68"/>
        <v>8.2886454993335867</v>
      </c>
      <c r="Y173" s="16">
        <f t="shared" si="73"/>
        <v>0.45370227946229336</v>
      </c>
      <c r="Z173" s="16">
        <f t="shared" si="69"/>
        <v>0.85846651394701201</v>
      </c>
      <c r="AA173" s="16">
        <f t="shared" si="70"/>
        <v>4.5125346233246235</v>
      </c>
      <c r="AB173" s="16">
        <f t="shared" si="51"/>
        <v>0.11338948318542072</v>
      </c>
      <c r="AC173" s="14">
        <f t="shared" si="74"/>
        <v>4.2150913964209211</v>
      </c>
      <c r="AD173" s="16">
        <f t="shared" si="52"/>
        <v>2.2058997993354708</v>
      </c>
      <c r="AE173" s="16">
        <f t="shared" si="53"/>
        <v>0.30503808263652249</v>
      </c>
      <c r="AF173" s="23" t="str">
        <f t="shared" si="71"/>
        <v/>
      </c>
      <c r="AG173" s="23" t="str">
        <f t="shared" si="75"/>
        <v/>
      </c>
      <c r="AH173" s="23">
        <f t="shared" si="55"/>
        <v>300</v>
      </c>
      <c r="AI173" s="23" t="str">
        <f t="shared" si="72"/>
        <v/>
      </c>
      <c r="AJ173" s="23" t="str">
        <f t="shared" si="56"/>
        <v/>
      </c>
      <c r="AK173" s="23" t="str">
        <f t="shared" si="57"/>
        <v/>
      </c>
      <c r="AL173" s="23" t="str">
        <f t="shared" si="58"/>
        <v/>
      </c>
      <c r="AM173" s="23" t="str">
        <f t="shared" si="59"/>
        <v/>
      </c>
      <c r="AN173" s="19">
        <f t="shared" si="60"/>
        <v>300</v>
      </c>
      <c r="AO173" s="26">
        <f t="shared" si="61"/>
        <v>-254.29230466942067</v>
      </c>
    </row>
    <row r="174" spans="1:41" x14ac:dyDescent="0.2">
      <c r="A174" s="12">
        <v>44728</v>
      </c>
      <c r="B174" s="6">
        <v>16</v>
      </c>
      <c r="C174" s="6">
        <v>167</v>
      </c>
      <c r="D174" s="6">
        <v>5</v>
      </c>
      <c r="E174" s="6" t="s">
        <v>16</v>
      </c>
      <c r="F174" s="6">
        <v>24</v>
      </c>
      <c r="G174" s="6">
        <v>6</v>
      </c>
      <c r="H174" s="6" t="s">
        <v>22</v>
      </c>
      <c r="I174" s="6">
        <v>2</v>
      </c>
      <c r="J174" s="14">
        <v>1.6945514025259625</v>
      </c>
      <c r="K174" s="14">
        <f t="shared" si="62"/>
        <v>1.6945514025259625</v>
      </c>
      <c r="L174" s="14">
        <v>45.722301807264188</v>
      </c>
      <c r="M174" s="14">
        <f t="shared" si="63"/>
        <v>77.478790654214876</v>
      </c>
      <c r="N174" s="16">
        <v>0.52164097361563277</v>
      </c>
      <c r="O174" s="14">
        <f t="shared" si="64"/>
        <v>40.416111791426438</v>
      </c>
      <c r="P174" s="14">
        <f t="shared" si="65"/>
        <v>37.062678862788438</v>
      </c>
      <c r="Q174" s="14">
        <v>54.434277418717748</v>
      </c>
      <c r="R174" s="14">
        <v>10.457302203497964</v>
      </c>
      <c r="S174" s="14">
        <f t="shared" si="50"/>
        <v>12.987012987012987</v>
      </c>
      <c r="T174" s="14">
        <v>30.701330400036387</v>
      </c>
      <c r="U174" s="14">
        <f t="shared" si="66"/>
        <v>54.23515345795041</v>
      </c>
      <c r="V174" s="14">
        <f t="shared" si="67"/>
        <v>32.00561126508493</v>
      </c>
      <c r="W174" s="14">
        <v>34.441081794657691</v>
      </c>
      <c r="X174" s="16">
        <f t="shared" si="68"/>
        <v>1.7007729353415084</v>
      </c>
      <c r="Y174" s="16">
        <f t="shared" si="73"/>
        <v>4.9201456929521069E-2</v>
      </c>
      <c r="Z174" s="16">
        <f t="shared" si="69"/>
        <v>0.74520139087947546</v>
      </c>
      <c r="AA174" s="16">
        <f t="shared" si="70"/>
        <v>5.2945447237077344E-2</v>
      </c>
      <c r="AB174" s="16">
        <f t="shared" si="51"/>
        <v>0.16762023358074302</v>
      </c>
      <c r="AC174" s="14">
        <f t="shared" si="74"/>
        <v>32.00561126508493</v>
      </c>
      <c r="AD174" s="16">
        <f t="shared" si="52"/>
        <v>0.22871338034509336</v>
      </c>
      <c r="AE174" s="16">
        <f t="shared" si="53"/>
        <v>0.70257004477078144</v>
      </c>
      <c r="AF174" s="23" t="str">
        <f t="shared" si="71"/>
        <v/>
      </c>
      <c r="AG174" s="23" t="str">
        <f t="shared" si="75"/>
        <v/>
      </c>
      <c r="AH174" s="23" t="str">
        <f t="shared" si="55"/>
        <v/>
      </c>
      <c r="AI174" s="23" t="str">
        <f t="shared" si="72"/>
        <v/>
      </c>
      <c r="AJ174" s="23" t="str">
        <f t="shared" si="56"/>
        <v/>
      </c>
      <c r="AK174" s="23" t="str">
        <f t="shared" si="57"/>
        <v/>
      </c>
      <c r="AL174" s="23" t="str">
        <f t="shared" si="58"/>
        <v/>
      </c>
      <c r="AM174" s="23" t="str">
        <f t="shared" si="59"/>
        <v/>
      </c>
      <c r="AN174" s="19">
        <f t="shared" si="60"/>
        <v>0</v>
      </c>
      <c r="AO174" s="26">
        <f t="shared" si="61"/>
        <v>37.062678862788438</v>
      </c>
    </row>
    <row r="175" spans="1:41" x14ac:dyDescent="0.2">
      <c r="A175" s="12">
        <v>44729</v>
      </c>
      <c r="B175" s="6">
        <v>17</v>
      </c>
      <c r="C175" s="6">
        <v>168</v>
      </c>
      <c r="D175" s="6">
        <v>6</v>
      </c>
      <c r="E175" s="6" t="s">
        <v>17</v>
      </c>
      <c r="F175" s="6">
        <v>24</v>
      </c>
      <c r="G175" s="6">
        <v>6</v>
      </c>
      <c r="H175" s="6" t="s">
        <v>22</v>
      </c>
      <c r="I175" s="6">
        <v>2</v>
      </c>
      <c r="J175" s="14">
        <v>18.454457018110041</v>
      </c>
      <c r="K175" s="14">
        <f t="shared" si="62"/>
        <v>18.454457018110041</v>
      </c>
      <c r="L175" s="14">
        <v>64.991103866891677</v>
      </c>
      <c r="M175" s="14">
        <f t="shared" si="63"/>
        <v>1199.3755328710777</v>
      </c>
      <c r="N175" s="16">
        <v>0.9976542648709531</v>
      </c>
      <c r="O175" s="14">
        <f t="shared" si="64"/>
        <v>1196.5621155507026</v>
      </c>
      <c r="P175" s="14">
        <f t="shared" si="65"/>
        <v>2.8134173203750379</v>
      </c>
      <c r="Q175" s="14">
        <v>40.125937643801521</v>
      </c>
      <c r="R175" s="14">
        <v>5.8391978830482643</v>
      </c>
      <c r="S175" s="14">
        <f t="shared" si="50"/>
        <v>12.987012987012987</v>
      </c>
      <c r="T175" s="14">
        <v>33.865748978233377</v>
      </c>
      <c r="U175" s="14">
        <f t="shared" si="66"/>
        <v>839.5628730097543</v>
      </c>
      <c r="V175" s="14">
        <f t="shared" si="67"/>
        <v>45.493772706824167</v>
      </c>
      <c r="W175" s="14">
        <v>25.283247805015488</v>
      </c>
      <c r="X175" s="16">
        <f t="shared" si="68"/>
        <v>0.88200945440127332</v>
      </c>
      <c r="Y175" s="16">
        <f t="shared" si="73"/>
        <v>0.72990848171211586</v>
      </c>
      <c r="Z175" s="16">
        <f t="shared" si="69"/>
        <v>1.425220378387076</v>
      </c>
      <c r="AA175" s="16">
        <f t="shared" si="70"/>
        <v>0.40564798037384647</v>
      </c>
      <c r="AB175" s="16">
        <f t="shared" si="51"/>
        <v>1.0828145673377662E-2</v>
      </c>
      <c r="AC175" s="14">
        <f t="shared" si="74"/>
        <v>45.493772706824167</v>
      </c>
      <c r="AD175" s="16">
        <f t="shared" si="52"/>
        <v>8.984611024621969E-2</v>
      </c>
      <c r="AE175" s="16">
        <f t="shared" si="53"/>
        <v>3.3455691352772252E-2</v>
      </c>
      <c r="AF175" s="23" t="str">
        <f t="shared" si="71"/>
        <v/>
      </c>
      <c r="AG175" s="23" t="str">
        <f t="shared" si="75"/>
        <v/>
      </c>
      <c r="AH175" s="23" t="str">
        <f t="shared" si="55"/>
        <v/>
      </c>
      <c r="AI175" s="23" t="str">
        <f t="shared" si="72"/>
        <v/>
      </c>
      <c r="AJ175" s="23" t="str">
        <f t="shared" si="56"/>
        <v/>
      </c>
      <c r="AK175" s="23" t="str">
        <f t="shared" si="57"/>
        <v/>
      </c>
      <c r="AL175" s="23" t="str">
        <f t="shared" si="58"/>
        <v/>
      </c>
      <c r="AM175" s="23" t="str">
        <f t="shared" si="59"/>
        <v/>
      </c>
      <c r="AN175" s="19">
        <f t="shared" si="60"/>
        <v>0</v>
      </c>
      <c r="AO175" s="26">
        <f t="shared" si="61"/>
        <v>2.8134173203750379</v>
      </c>
    </row>
    <row r="176" spans="1:41" x14ac:dyDescent="0.2">
      <c r="A176" s="12">
        <v>44730</v>
      </c>
      <c r="B176" s="6">
        <v>18</v>
      </c>
      <c r="C176" s="6">
        <v>169</v>
      </c>
      <c r="D176" s="6">
        <v>7</v>
      </c>
      <c r="E176" s="6" t="s">
        <v>10</v>
      </c>
      <c r="F176" s="6">
        <v>24</v>
      </c>
      <c r="G176" s="6">
        <v>6</v>
      </c>
      <c r="H176" s="6" t="s">
        <v>22</v>
      </c>
      <c r="I176" s="6">
        <v>2</v>
      </c>
      <c r="J176" s="14">
        <v>11.281401382663299</v>
      </c>
      <c r="K176" s="14">
        <f t="shared" si="62"/>
        <v>11.281401382663299</v>
      </c>
      <c r="L176" s="14">
        <v>52.85965512805106</v>
      </c>
      <c r="M176" s="14">
        <f t="shared" si="63"/>
        <v>596.3309864487004</v>
      </c>
      <c r="N176" s="16">
        <v>0.7580011938249569</v>
      </c>
      <c r="O176" s="14">
        <f t="shared" si="64"/>
        <v>452.01959964292911</v>
      </c>
      <c r="P176" s="14">
        <f t="shared" si="65"/>
        <v>144.31138680577129</v>
      </c>
      <c r="Q176" s="14">
        <v>25.084677289872943</v>
      </c>
      <c r="R176" s="14">
        <v>18.287130256735196</v>
      </c>
      <c r="S176" s="14">
        <f t="shared" si="50"/>
        <v>12.987012987012987</v>
      </c>
      <c r="T176" s="14">
        <v>32.855637418724143</v>
      </c>
      <c r="U176" s="14">
        <f t="shared" si="66"/>
        <v>417.43169051409023</v>
      </c>
      <c r="V176" s="14">
        <f t="shared" si="67"/>
        <v>37.001758589635742</v>
      </c>
      <c r="W176" s="14">
        <v>27.516517704593273</v>
      </c>
      <c r="X176" s="16">
        <f t="shared" si="68"/>
        <v>0.67793202934141639</v>
      </c>
      <c r="Y176" s="16">
        <f t="shared" si="73"/>
        <v>0.40998652168766686</v>
      </c>
      <c r="Z176" s="16">
        <f t="shared" si="69"/>
        <v>1.0828588483213673</v>
      </c>
      <c r="AA176" s="16">
        <f t="shared" si="70"/>
        <v>0.30488824890131683</v>
      </c>
      <c r="AB176" s="16">
        <f t="shared" si="51"/>
        <v>2.1778195804235973E-2</v>
      </c>
      <c r="AC176" s="14">
        <f t="shared" si="74"/>
        <v>37.001758589635742</v>
      </c>
      <c r="AD176" s="16">
        <f t="shared" si="52"/>
        <v>0.34595629147475759</v>
      </c>
      <c r="AE176" s="16">
        <f t="shared" si="53"/>
        <v>4.2065024055279177E-2</v>
      </c>
      <c r="AF176" s="23" t="str">
        <f t="shared" si="71"/>
        <v/>
      </c>
      <c r="AG176" s="23" t="str">
        <f t="shared" si="75"/>
        <v/>
      </c>
      <c r="AH176" s="23" t="str">
        <f t="shared" si="55"/>
        <v/>
      </c>
      <c r="AI176" s="23" t="str">
        <f t="shared" si="72"/>
        <v/>
      </c>
      <c r="AJ176" s="23" t="str">
        <f t="shared" si="56"/>
        <v/>
      </c>
      <c r="AK176" s="23" t="str">
        <f t="shared" si="57"/>
        <v/>
      </c>
      <c r="AL176" s="23" t="str">
        <f t="shared" si="58"/>
        <v/>
      </c>
      <c r="AM176" s="23" t="str">
        <f t="shared" si="59"/>
        <v/>
      </c>
      <c r="AN176" s="19">
        <f t="shared" si="60"/>
        <v>0</v>
      </c>
      <c r="AO176" s="26">
        <f t="shared" si="61"/>
        <v>144.31138680577129</v>
      </c>
    </row>
    <row r="177" spans="1:41" x14ac:dyDescent="0.2">
      <c r="A177" s="12">
        <v>44731</v>
      </c>
      <c r="B177" s="6">
        <v>19</v>
      </c>
      <c r="C177" s="6">
        <v>170</v>
      </c>
      <c r="D177" s="6">
        <v>1</v>
      </c>
      <c r="E177" s="6" t="s">
        <v>12</v>
      </c>
      <c r="F177" s="6">
        <v>25</v>
      </c>
      <c r="G177" s="6">
        <v>6</v>
      </c>
      <c r="H177" s="6" t="s">
        <v>22</v>
      </c>
      <c r="I177" s="6">
        <v>2</v>
      </c>
      <c r="J177" s="14">
        <v>1.2840917074873324</v>
      </c>
      <c r="K177" s="14">
        <f t="shared" si="62"/>
        <v>1.2840917074873324</v>
      </c>
      <c r="L177" s="14">
        <v>32.480933902351509</v>
      </c>
      <c r="M177" s="14">
        <f t="shared" si="63"/>
        <v>41.70849787545373</v>
      </c>
      <c r="N177" s="16">
        <v>0.3203902646039164</v>
      </c>
      <c r="O177" s="14">
        <f t="shared" si="64"/>
        <v>13.362996670548506</v>
      </c>
      <c r="P177" s="14">
        <f t="shared" si="65"/>
        <v>28.345501204905226</v>
      </c>
      <c r="Q177" s="14">
        <v>20.681886872313644</v>
      </c>
      <c r="R177" s="14">
        <v>6.2048241663814308</v>
      </c>
      <c r="S177" s="14">
        <f t="shared" si="50"/>
        <v>28.571428571428573</v>
      </c>
      <c r="T177" s="14">
        <v>16.021962857496234</v>
      </c>
      <c r="U177" s="14">
        <f t="shared" si="66"/>
        <v>29.195948512817608</v>
      </c>
      <c r="V177" s="14">
        <f t="shared" si="67"/>
        <v>22.736653731646054</v>
      </c>
      <c r="W177" s="14">
        <v>16.332713630036167</v>
      </c>
      <c r="X177" s="16">
        <f t="shared" si="68"/>
        <v>0.90962756069630069</v>
      </c>
      <c r="Y177" s="16">
        <f t="shared" si="73"/>
        <v>7.8620842596900956E-2</v>
      </c>
      <c r="Z177" s="16">
        <f t="shared" si="69"/>
        <v>0.45770037800559493</v>
      </c>
      <c r="AA177" s="16">
        <f t="shared" si="70"/>
        <v>5.6476723560251386E-2</v>
      </c>
      <c r="AB177" s="16">
        <f t="shared" si="51"/>
        <v>0.68502655398298151</v>
      </c>
      <c r="AC177" s="14">
        <f t="shared" si="74"/>
        <v>22.736653731646054</v>
      </c>
      <c r="AD177" s="16">
        <f t="shared" si="52"/>
        <v>0.19102973409062671</v>
      </c>
      <c r="AE177" s="16">
        <f t="shared" si="53"/>
        <v>0.49586745929024073</v>
      </c>
      <c r="AF177" s="23" t="str">
        <f t="shared" si="71"/>
        <v/>
      </c>
      <c r="AG177" s="23">
        <f t="shared" si="75"/>
        <v>1000</v>
      </c>
      <c r="AH177" s="23" t="str">
        <f t="shared" si="55"/>
        <v/>
      </c>
      <c r="AI177" s="23" t="str">
        <f t="shared" si="72"/>
        <v/>
      </c>
      <c r="AJ177" s="23" t="str">
        <f t="shared" si="56"/>
        <v/>
      </c>
      <c r="AK177" s="23" t="str">
        <f t="shared" si="57"/>
        <v/>
      </c>
      <c r="AL177" s="23" t="str">
        <f t="shared" si="58"/>
        <v/>
      </c>
      <c r="AM177" s="23" t="str">
        <f t="shared" si="59"/>
        <v/>
      </c>
      <c r="AN177" s="19">
        <f t="shared" si="60"/>
        <v>1000</v>
      </c>
      <c r="AO177" s="26">
        <f t="shared" si="61"/>
        <v>-971.65449879509481</v>
      </c>
    </row>
    <row r="178" spans="1:41" x14ac:dyDescent="0.2">
      <c r="A178" s="12">
        <v>44732</v>
      </c>
      <c r="B178" s="6">
        <v>20</v>
      </c>
      <c r="C178" s="6">
        <v>171</v>
      </c>
      <c r="D178" s="6">
        <v>2</v>
      </c>
      <c r="E178" s="6" t="s">
        <v>13</v>
      </c>
      <c r="F178" s="6">
        <v>25</v>
      </c>
      <c r="G178" s="6">
        <v>6</v>
      </c>
      <c r="H178" s="6" t="s">
        <v>22</v>
      </c>
      <c r="I178" s="6">
        <v>2</v>
      </c>
      <c r="J178" s="14">
        <v>17.177849625893334</v>
      </c>
      <c r="K178" s="14">
        <f t="shared" si="62"/>
        <v>17.177849625893334</v>
      </c>
      <c r="L178" s="14">
        <v>68.18308925924633</v>
      </c>
      <c r="M178" s="14">
        <f t="shared" si="63"/>
        <v>1171.2388543241964</v>
      </c>
      <c r="N178" s="16">
        <v>0.33488827067541144</v>
      </c>
      <c r="O178" s="14">
        <f t="shared" si="64"/>
        <v>392.23415447248027</v>
      </c>
      <c r="P178" s="14">
        <f t="shared" si="65"/>
        <v>779.00469985171617</v>
      </c>
      <c r="Q178" s="14">
        <v>33.168342483298169</v>
      </c>
      <c r="R178" s="14">
        <v>13.254510876848977</v>
      </c>
      <c r="S178" s="14">
        <f t="shared" si="50"/>
        <v>12.987012987012987</v>
      </c>
      <c r="T178" s="14">
        <v>25.291334805002258</v>
      </c>
      <c r="U178" s="14">
        <f t="shared" si="66"/>
        <v>819.86719802693744</v>
      </c>
      <c r="V178" s="14">
        <f t="shared" si="67"/>
        <v>47.728162481472431</v>
      </c>
      <c r="W178" s="14">
        <v>27.542864799044821</v>
      </c>
      <c r="X178" s="16">
        <f t="shared" si="68"/>
        <v>0.69494279181968865</v>
      </c>
      <c r="Y178" s="16">
        <f t="shared" si="73"/>
        <v>0.62367693960756965</v>
      </c>
      <c r="Z178" s="16">
        <f t="shared" si="69"/>
        <v>0.47841181525058779</v>
      </c>
      <c r="AA178" s="16">
        <f t="shared" si="70"/>
        <v>0.35991013969082913</v>
      </c>
      <c r="AB178" s="16">
        <f t="shared" si="51"/>
        <v>1.1088270286684162E-2</v>
      </c>
      <c r="AC178" s="14">
        <f t="shared" si="74"/>
        <v>47.728162481472431</v>
      </c>
      <c r="AD178" s="16">
        <f t="shared" si="52"/>
        <v>0.19439586884150353</v>
      </c>
      <c r="AE178" s="16">
        <f t="shared" si="53"/>
        <v>2.8319025074041167E-2</v>
      </c>
      <c r="AF178" s="23" t="str">
        <f t="shared" si="71"/>
        <v/>
      </c>
      <c r="AG178" s="23" t="str">
        <f t="shared" si="75"/>
        <v/>
      </c>
      <c r="AH178" s="23" t="str">
        <f t="shared" si="55"/>
        <v/>
      </c>
      <c r="AI178" s="23" t="str">
        <f t="shared" si="72"/>
        <v/>
      </c>
      <c r="AJ178" s="23">
        <f t="shared" si="56"/>
        <v>100</v>
      </c>
      <c r="AK178" s="23" t="str">
        <f t="shared" si="57"/>
        <v/>
      </c>
      <c r="AL178" s="23" t="str">
        <f t="shared" si="58"/>
        <v/>
      </c>
      <c r="AM178" s="23" t="str">
        <f t="shared" si="59"/>
        <v/>
      </c>
      <c r="AN178" s="19">
        <f t="shared" si="60"/>
        <v>100</v>
      </c>
      <c r="AO178" s="26">
        <f t="shared" si="61"/>
        <v>679.00469985171617</v>
      </c>
    </row>
    <row r="179" spans="1:41" x14ac:dyDescent="0.2">
      <c r="A179" s="12">
        <v>44733</v>
      </c>
      <c r="B179" s="6">
        <v>21</v>
      </c>
      <c r="C179" s="6">
        <v>172</v>
      </c>
      <c r="D179" s="6">
        <v>3</v>
      </c>
      <c r="E179" s="6" t="s">
        <v>14</v>
      </c>
      <c r="F179" s="6">
        <v>25</v>
      </c>
      <c r="G179" s="6">
        <v>6</v>
      </c>
      <c r="H179" s="6" t="s">
        <v>22</v>
      </c>
      <c r="I179" s="6">
        <v>2</v>
      </c>
      <c r="J179" s="14">
        <v>3.4024045862282004</v>
      </c>
      <c r="K179" s="14">
        <f t="shared" si="62"/>
        <v>3.4024045862282004</v>
      </c>
      <c r="L179" s="14">
        <v>45.50730429187437</v>
      </c>
      <c r="M179" s="14">
        <f t="shared" si="63"/>
        <v>154.83426082955563</v>
      </c>
      <c r="N179" s="16">
        <v>0.53525225013633704</v>
      </c>
      <c r="O179" s="14">
        <f t="shared" si="64"/>
        <v>82.875386507216163</v>
      </c>
      <c r="P179" s="14">
        <f t="shared" si="65"/>
        <v>71.958874322339469</v>
      </c>
      <c r="Q179" s="14">
        <v>42.997292059082369</v>
      </c>
      <c r="R179" s="14">
        <v>14.121441426740901</v>
      </c>
      <c r="S179" s="14">
        <f t="shared" si="50"/>
        <v>12.987012987012987</v>
      </c>
      <c r="T179" s="14">
        <v>29.629248474318814</v>
      </c>
      <c r="U179" s="14">
        <f t="shared" si="66"/>
        <v>108.38398258068894</v>
      </c>
      <c r="V179" s="14">
        <f t="shared" si="67"/>
        <v>31.855113004312059</v>
      </c>
      <c r="W179" s="14">
        <v>28.021768925986557</v>
      </c>
      <c r="X179" s="16">
        <f t="shared" si="68"/>
        <v>1.3497767863282122</v>
      </c>
      <c r="Y179" s="16">
        <f t="shared" si="73"/>
        <v>0.12142005007659996</v>
      </c>
      <c r="Z179" s="16">
        <f t="shared" si="69"/>
        <v>0.76464607162333864</v>
      </c>
      <c r="AA179" s="16">
        <f t="shared" si="70"/>
        <v>0.10680874325473699</v>
      </c>
      <c r="AB179" s="16">
        <f t="shared" si="51"/>
        <v>8.3876868836602822E-2</v>
      </c>
      <c r="AC179" s="14">
        <f t="shared" si="74"/>
        <v>31.855113004312059</v>
      </c>
      <c r="AD179" s="16">
        <f t="shared" si="52"/>
        <v>0.3103115345213357</v>
      </c>
      <c r="AE179" s="16">
        <f t="shared" si="53"/>
        <v>0.2776988234303942</v>
      </c>
      <c r="AF179" s="23" t="str">
        <f t="shared" si="71"/>
        <v/>
      </c>
      <c r="AG179" s="23" t="str">
        <f t="shared" si="75"/>
        <v/>
      </c>
      <c r="AH179" s="23" t="str">
        <f t="shared" si="55"/>
        <v/>
      </c>
      <c r="AI179" s="23" t="str">
        <f t="shared" si="72"/>
        <v/>
      </c>
      <c r="AJ179" s="23" t="str">
        <f t="shared" si="56"/>
        <v/>
      </c>
      <c r="AK179" s="23" t="str">
        <f t="shared" si="57"/>
        <v/>
      </c>
      <c r="AL179" s="23" t="str">
        <f t="shared" si="58"/>
        <v/>
      </c>
      <c r="AM179" s="23" t="str">
        <f t="shared" si="59"/>
        <v/>
      </c>
      <c r="AN179" s="19">
        <f t="shared" si="60"/>
        <v>0</v>
      </c>
      <c r="AO179" s="26">
        <f t="shared" si="61"/>
        <v>71.958874322339469</v>
      </c>
    </row>
    <row r="180" spans="1:41" x14ac:dyDescent="0.2">
      <c r="A180" s="12">
        <v>44734</v>
      </c>
      <c r="B180" s="6">
        <v>22</v>
      </c>
      <c r="C180" s="6">
        <v>173</v>
      </c>
      <c r="D180" s="6">
        <v>4</v>
      </c>
      <c r="E180" s="6" t="s">
        <v>15</v>
      </c>
      <c r="F180" s="6">
        <v>25</v>
      </c>
      <c r="G180" s="6">
        <v>6</v>
      </c>
      <c r="H180" s="6" t="s">
        <v>22</v>
      </c>
      <c r="I180" s="6">
        <v>2</v>
      </c>
      <c r="J180" s="14">
        <v>17.526147880955847</v>
      </c>
      <c r="K180" s="14">
        <f t="shared" si="62"/>
        <v>17.526147880955847</v>
      </c>
      <c r="L180" s="14">
        <v>111.01746981532175</v>
      </c>
      <c r="M180" s="14">
        <f t="shared" si="63"/>
        <v>1945.7085933528808</v>
      </c>
      <c r="N180" s="16">
        <v>0.5649157243466858</v>
      </c>
      <c r="O180" s="14">
        <f t="shared" si="64"/>
        <v>1099.1613793815138</v>
      </c>
      <c r="P180" s="14">
        <f t="shared" si="65"/>
        <v>846.547213971367</v>
      </c>
      <c r="Q180" s="14">
        <v>48.855352085383586</v>
      </c>
      <c r="R180" s="14">
        <v>15.106616730116199</v>
      </c>
      <c r="S180" s="14">
        <f t="shared" si="50"/>
        <v>12.987012987012987</v>
      </c>
      <c r="T180" s="14">
        <v>27.14180743379141</v>
      </c>
      <c r="U180" s="14">
        <f t="shared" si="66"/>
        <v>1361.9960153470165</v>
      </c>
      <c r="V180" s="14">
        <f t="shared" si="67"/>
        <v>77.712228870725212</v>
      </c>
      <c r="W180" s="14">
        <v>30.962142791752562</v>
      </c>
      <c r="X180" s="16">
        <f t="shared" si="68"/>
        <v>0.62867006641457646</v>
      </c>
      <c r="Y180" s="16">
        <f t="shared" si="73"/>
        <v>0.56605087053678715</v>
      </c>
      <c r="Z180" s="16">
        <f t="shared" si="69"/>
        <v>0.80702246335240835</v>
      </c>
      <c r="AA180" s="16">
        <f t="shared" si="70"/>
        <v>0.22552625417694178</v>
      </c>
      <c r="AB180" s="16">
        <f t="shared" si="51"/>
        <v>6.6746958056208856E-3</v>
      </c>
      <c r="AC180" s="14">
        <f t="shared" si="74"/>
        <v>77.712228870725212</v>
      </c>
      <c r="AD180" s="16">
        <f t="shared" si="52"/>
        <v>0.13607423007609659</v>
      </c>
      <c r="AE180" s="16">
        <f t="shared" si="53"/>
        <v>2.5109285250775989E-2</v>
      </c>
      <c r="AF180" s="23" t="str">
        <f t="shared" si="71"/>
        <v/>
      </c>
      <c r="AG180" s="23" t="str">
        <f t="shared" si="75"/>
        <v/>
      </c>
      <c r="AH180" s="23" t="str">
        <f t="shared" si="55"/>
        <v/>
      </c>
      <c r="AI180" s="23" t="str">
        <f t="shared" si="72"/>
        <v/>
      </c>
      <c r="AJ180" s="23" t="str">
        <f t="shared" si="56"/>
        <v/>
      </c>
      <c r="AK180" s="23" t="str">
        <f t="shared" si="57"/>
        <v/>
      </c>
      <c r="AL180" s="23" t="str">
        <f t="shared" si="58"/>
        <v/>
      </c>
      <c r="AM180" s="23" t="str">
        <f t="shared" si="59"/>
        <v/>
      </c>
      <c r="AN180" s="19">
        <f t="shared" si="60"/>
        <v>0</v>
      </c>
      <c r="AO180" s="26">
        <f t="shared" si="61"/>
        <v>846.547213971367</v>
      </c>
    </row>
    <row r="181" spans="1:41" x14ac:dyDescent="0.2">
      <c r="A181" s="12">
        <v>44735</v>
      </c>
      <c r="B181" s="6">
        <v>23</v>
      </c>
      <c r="C181" s="6">
        <v>174</v>
      </c>
      <c r="D181" s="6">
        <v>5</v>
      </c>
      <c r="E181" s="6" t="s">
        <v>16</v>
      </c>
      <c r="F181" s="6">
        <v>25</v>
      </c>
      <c r="G181" s="6">
        <v>6</v>
      </c>
      <c r="H181" s="6" t="s">
        <v>22</v>
      </c>
      <c r="I181" s="6">
        <v>2</v>
      </c>
      <c r="J181" s="14">
        <v>19.465939508258508</v>
      </c>
      <c r="K181" s="14">
        <f t="shared" si="62"/>
        <v>19.465939508258508</v>
      </c>
      <c r="L181" s="14">
        <v>38.420438911901833</v>
      </c>
      <c r="M181" s="14">
        <f t="shared" si="63"/>
        <v>747.88993973982235</v>
      </c>
      <c r="N181" s="16">
        <v>0.42848510992041206</v>
      </c>
      <c r="O181" s="14">
        <f t="shared" si="64"/>
        <v>320.45970303778813</v>
      </c>
      <c r="P181" s="14">
        <f t="shared" si="65"/>
        <v>427.43023670203422</v>
      </c>
      <c r="Q181" s="14">
        <v>41.625724735521636</v>
      </c>
      <c r="R181" s="14">
        <v>11.538134717578243</v>
      </c>
      <c r="S181" s="14">
        <f t="shared" si="50"/>
        <v>12.987012987012987</v>
      </c>
      <c r="T181" s="14">
        <v>34.052105576715142</v>
      </c>
      <c r="U181" s="14">
        <f t="shared" si="66"/>
        <v>523.52295781787564</v>
      </c>
      <c r="V181" s="14">
        <f t="shared" si="67"/>
        <v>26.89430723833128</v>
      </c>
      <c r="W181" s="14">
        <v>37.314023627287753</v>
      </c>
      <c r="X181" s="16">
        <f t="shared" si="68"/>
        <v>1.5477522572581572</v>
      </c>
      <c r="Y181" s="16">
        <f t="shared" si="73"/>
        <v>0.52167891896876706</v>
      </c>
      <c r="Z181" s="16">
        <f t="shared" si="69"/>
        <v>0.61212158560058871</v>
      </c>
      <c r="AA181" s="16">
        <f t="shared" si="70"/>
        <v>0.72379404815137072</v>
      </c>
      <c r="AB181" s="16">
        <f t="shared" si="51"/>
        <v>1.7364871884131692E-2</v>
      </c>
      <c r="AC181" s="14">
        <f t="shared" si="74"/>
        <v>26.89430723833128</v>
      </c>
      <c r="AD181" s="16">
        <f t="shared" si="52"/>
        <v>0.30031241298505768</v>
      </c>
      <c r="AE181" s="16">
        <f t="shared" si="53"/>
        <v>5.5657554037967787E-2</v>
      </c>
      <c r="AF181" s="23" t="str">
        <f t="shared" si="71"/>
        <v/>
      </c>
      <c r="AG181" s="23" t="str">
        <f t="shared" si="75"/>
        <v/>
      </c>
      <c r="AH181" s="23" t="str">
        <f t="shared" si="55"/>
        <v/>
      </c>
      <c r="AI181" s="23" t="str">
        <f t="shared" si="72"/>
        <v/>
      </c>
      <c r="AJ181" s="23" t="str">
        <f t="shared" si="56"/>
        <v/>
      </c>
      <c r="AK181" s="23" t="str">
        <f t="shared" si="57"/>
        <v/>
      </c>
      <c r="AL181" s="23" t="str">
        <f t="shared" si="58"/>
        <v/>
      </c>
      <c r="AM181" s="23" t="str">
        <f t="shared" si="59"/>
        <v/>
      </c>
      <c r="AN181" s="19">
        <f t="shared" si="60"/>
        <v>0</v>
      </c>
      <c r="AO181" s="26">
        <f t="shared" si="61"/>
        <v>427.43023670203422</v>
      </c>
    </row>
    <row r="182" spans="1:41" x14ac:dyDescent="0.2">
      <c r="A182" s="12">
        <v>44736</v>
      </c>
      <c r="B182" s="6">
        <v>24</v>
      </c>
      <c r="C182" s="6">
        <v>175</v>
      </c>
      <c r="D182" s="6">
        <v>6</v>
      </c>
      <c r="E182" s="6" t="s">
        <v>17</v>
      </c>
      <c r="F182" s="6">
        <v>25</v>
      </c>
      <c r="G182" s="6">
        <v>6</v>
      </c>
      <c r="H182" s="6" t="s">
        <v>22</v>
      </c>
      <c r="I182" s="6">
        <v>2</v>
      </c>
      <c r="J182" s="14">
        <v>14.245556735432912</v>
      </c>
      <c r="K182" s="14">
        <f t="shared" si="62"/>
        <v>14.245556735432912</v>
      </c>
      <c r="L182" s="14">
        <v>77.684162473553272</v>
      </c>
      <c r="M182" s="14">
        <f t="shared" si="63"/>
        <v>1106.6541439615914</v>
      </c>
      <c r="N182" s="16">
        <v>0.41020446480104567</v>
      </c>
      <c r="O182" s="14">
        <f t="shared" si="64"/>
        <v>453.95447084362394</v>
      </c>
      <c r="P182" s="14">
        <f t="shared" si="65"/>
        <v>652.69967311796745</v>
      </c>
      <c r="Q182" s="14">
        <v>44.787928394912967</v>
      </c>
      <c r="R182" s="14">
        <v>19.081880584251369</v>
      </c>
      <c r="S182" s="14">
        <f t="shared" si="50"/>
        <v>12.987012987012987</v>
      </c>
      <c r="T182" s="14">
        <v>36.982792409888987</v>
      </c>
      <c r="U182" s="14">
        <f t="shared" si="66"/>
        <v>774.65790077311397</v>
      </c>
      <c r="V182" s="14">
        <f t="shared" si="67"/>
        <v>54.378913731487287</v>
      </c>
      <c r="W182" s="14">
        <v>33.789238969550595</v>
      </c>
      <c r="X182" s="16">
        <f t="shared" si="68"/>
        <v>0.82362675753449621</v>
      </c>
      <c r="Y182" s="16">
        <f t="shared" si="73"/>
        <v>0.42160040207683852</v>
      </c>
      <c r="Z182" s="16">
        <f t="shared" si="69"/>
        <v>0.58600637828720814</v>
      </c>
      <c r="AA182" s="16">
        <f t="shared" si="70"/>
        <v>0.26196839469384686</v>
      </c>
      <c r="AB182" s="16">
        <f t="shared" si="51"/>
        <v>1.1735385493178731E-2</v>
      </c>
      <c r="AC182" s="14">
        <f t="shared" si="74"/>
        <v>54.378913731487287</v>
      </c>
      <c r="AD182" s="16">
        <f t="shared" si="52"/>
        <v>0.24563411610117555</v>
      </c>
      <c r="AE182" s="16">
        <f t="shared" si="53"/>
        <v>4.0471477596949586E-2</v>
      </c>
      <c r="AF182" s="23" t="str">
        <f t="shared" si="71"/>
        <v/>
      </c>
      <c r="AG182" s="23" t="str">
        <f t="shared" si="75"/>
        <v/>
      </c>
      <c r="AH182" s="23" t="str">
        <f t="shared" si="55"/>
        <v/>
      </c>
      <c r="AI182" s="23" t="str">
        <f t="shared" si="72"/>
        <v/>
      </c>
      <c r="AJ182" s="23" t="str">
        <f t="shared" si="56"/>
        <v/>
      </c>
      <c r="AK182" s="23" t="str">
        <f t="shared" si="57"/>
        <v/>
      </c>
      <c r="AL182" s="23" t="str">
        <f t="shared" si="58"/>
        <v/>
      </c>
      <c r="AM182" s="23" t="str">
        <f t="shared" si="59"/>
        <v/>
      </c>
      <c r="AN182" s="19">
        <f t="shared" si="60"/>
        <v>0</v>
      </c>
      <c r="AO182" s="26">
        <f t="shared" si="61"/>
        <v>652.69967311796745</v>
      </c>
    </row>
    <row r="183" spans="1:41" x14ac:dyDescent="0.2">
      <c r="A183" s="12">
        <v>44737</v>
      </c>
      <c r="B183" s="6">
        <v>25</v>
      </c>
      <c r="C183" s="6">
        <v>176</v>
      </c>
      <c r="D183" s="6">
        <v>7</v>
      </c>
      <c r="E183" s="6" t="s">
        <v>10</v>
      </c>
      <c r="F183" s="6">
        <v>25</v>
      </c>
      <c r="G183" s="6">
        <v>6</v>
      </c>
      <c r="H183" s="6" t="s">
        <v>22</v>
      </c>
      <c r="I183" s="6">
        <v>2</v>
      </c>
      <c r="J183" s="14">
        <v>13.833194263849686</v>
      </c>
      <c r="K183" s="14">
        <f t="shared" si="62"/>
        <v>13.833194263849686</v>
      </c>
      <c r="L183" s="14">
        <v>103.47046909750536</v>
      </c>
      <c r="M183" s="14">
        <f t="shared" si="63"/>
        <v>1431.3270995974474</v>
      </c>
      <c r="N183" s="16">
        <v>0.58864258613806009</v>
      </c>
      <c r="O183" s="14">
        <f t="shared" si="64"/>
        <v>842.5400855165301</v>
      </c>
      <c r="P183" s="14">
        <f t="shared" si="65"/>
        <v>588.78701408091729</v>
      </c>
      <c r="Q183" s="14">
        <v>37.424525544511987</v>
      </c>
      <c r="R183" s="14">
        <v>11.308784762538766</v>
      </c>
      <c r="S183" s="14">
        <f t="shared" si="50"/>
        <v>12.987012987012987</v>
      </c>
      <c r="T183" s="14">
        <v>26.239096945339298</v>
      </c>
      <c r="U183" s="14">
        <f t="shared" si="66"/>
        <v>1001.9289697182131</v>
      </c>
      <c r="V183" s="14">
        <f t="shared" si="67"/>
        <v>72.429328368253749</v>
      </c>
      <c r="W183" s="14">
        <v>34.369401062340636</v>
      </c>
      <c r="X183" s="16">
        <f t="shared" si="68"/>
        <v>0.51670402567084139</v>
      </c>
      <c r="Y183" s="16">
        <f t="shared" si="73"/>
        <v>0.40248575291604494</v>
      </c>
      <c r="Z183" s="16">
        <f t="shared" si="69"/>
        <v>0.84091798019722874</v>
      </c>
      <c r="AA183" s="16">
        <f t="shared" si="70"/>
        <v>0.19098885182970807</v>
      </c>
      <c r="AB183" s="16">
        <f t="shared" si="51"/>
        <v>9.0734067640202646E-3</v>
      </c>
      <c r="AC183" s="14">
        <f t="shared" si="74"/>
        <v>72.429328368253749</v>
      </c>
      <c r="AD183" s="16">
        <f t="shared" si="52"/>
        <v>0.10929480518622117</v>
      </c>
      <c r="AE183" s="16">
        <f t="shared" si="53"/>
        <v>2.6146731627618467E-2</v>
      </c>
      <c r="AF183" s="23" t="str">
        <f t="shared" si="71"/>
        <v/>
      </c>
      <c r="AG183" s="23" t="str">
        <f t="shared" si="75"/>
        <v/>
      </c>
      <c r="AH183" s="23" t="str">
        <f t="shared" si="55"/>
        <v/>
      </c>
      <c r="AI183" s="23" t="str">
        <f t="shared" si="72"/>
        <v/>
      </c>
      <c r="AJ183" s="23" t="str">
        <f t="shared" si="56"/>
        <v/>
      </c>
      <c r="AK183" s="23" t="str">
        <f t="shared" si="57"/>
        <v/>
      </c>
      <c r="AL183" s="23">
        <f t="shared" si="58"/>
        <v>83</v>
      </c>
      <c r="AM183" s="23" t="str">
        <f t="shared" si="59"/>
        <v/>
      </c>
      <c r="AN183" s="19">
        <f t="shared" si="60"/>
        <v>83</v>
      </c>
      <c r="AO183" s="26">
        <f t="shared" si="61"/>
        <v>505.78701408091729</v>
      </c>
    </row>
    <row r="184" spans="1:41" x14ac:dyDescent="0.2">
      <c r="A184" s="12">
        <v>44738</v>
      </c>
      <c r="B184" s="6">
        <v>26</v>
      </c>
      <c r="C184" s="6">
        <v>177</v>
      </c>
      <c r="D184" s="6">
        <v>1</v>
      </c>
      <c r="E184" s="6" t="s">
        <v>12</v>
      </c>
      <c r="F184" s="6">
        <v>26</v>
      </c>
      <c r="G184" s="6">
        <v>6</v>
      </c>
      <c r="H184" s="6" t="s">
        <v>22</v>
      </c>
      <c r="I184" s="6">
        <v>2</v>
      </c>
      <c r="J184" s="14">
        <v>8.7022191867869907</v>
      </c>
      <c r="K184" s="14">
        <f t="shared" si="62"/>
        <v>8.7022191867869907</v>
      </c>
      <c r="L184" s="14">
        <v>7.3566813264083262</v>
      </c>
      <c r="M184" s="14">
        <f t="shared" si="63"/>
        <v>64.019453389748108</v>
      </c>
      <c r="N184" s="16">
        <v>0.19056427131892859</v>
      </c>
      <c r="O184" s="14">
        <f t="shared" si="64"/>
        <v>12.199820485453461</v>
      </c>
      <c r="P184" s="14">
        <f t="shared" si="65"/>
        <v>51.81963290429465</v>
      </c>
      <c r="Q184" s="14">
        <v>11.165465088771979</v>
      </c>
      <c r="R184" s="14">
        <v>6.4998853166615076</v>
      </c>
      <c r="S184" s="14">
        <f t="shared" si="50"/>
        <v>28.571428571428573</v>
      </c>
      <c r="T184" s="14">
        <v>16.546771855810047</v>
      </c>
      <c r="U184" s="14">
        <f t="shared" si="66"/>
        <v>44.813617372823671</v>
      </c>
      <c r="V184" s="14">
        <f t="shared" si="67"/>
        <v>5.1496769284858281</v>
      </c>
      <c r="W184" s="14">
        <v>14.224957272741651</v>
      </c>
      <c r="X184" s="16">
        <f t="shared" si="68"/>
        <v>2.1681874890071962</v>
      </c>
      <c r="Y184" s="16">
        <f t="shared" si="73"/>
        <v>0.61175714063215358</v>
      </c>
      <c r="Z184" s="16">
        <f t="shared" si="69"/>
        <v>0.27223467331275514</v>
      </c>
      <c r="AA184" s="16">
        <f t="shared" si="70"/>
        <v>1.6898573070962968</v>
      </c>
      <c r="AB184" s="16">
        <f t="shared" si="51"/>
        <v>0.44629291658406944</v>
      </c>
      <c r="AC184" s="14">
        <f t="shared" si="74"/>
        <v>5.1496769284858281</v>
      </c>
      <c r="AD184" s="16">
        <f t="shared" si="52"/>
        <v>0.88353498381516504</v>
      </c>
      <c r="AE184" s="16">
        <f t="shared" si="53"/>
        <v>0.17440737928199782</v>
      </c>
      <c r="AF184" s="23" t="str">
        <f t="shared" si="71"/>
        <v/>
      </c>
      <c r="AG184" s="23">
        <f t="shared" si="75"/>
        <v>1000</v>
      </c>
      <c r="AH184" s="23" t="str">
        <f t="shared" si="55"/>
        <v/>
      </c>
      <c r="AI184" s="23" t="str">
        <f t="shared" si="72"/>
        <v/>
      </c>
      <c r="AJ184" s="23" t="str">
        <f t="shared" si="56"/>
        <v/>
      </c>
      <c r="AK184" s="23" t="str">
        <f t="shared" si="57"/>
        <v/>
      </c>
      <c r="AL184" s="23" t="str">
        <f t="shared" si="58"/>
        <v/>
      </c>
      <c r="AM184" s="23" t="str">
        <f t="shared" si="59"/>
        <v/>
      </c>
      <c r="AN184" s="19">
        <f t="shared" si="60"/>
        <v>1000</v>
      </c>
      <c r="AO184" s="26">
        <f t="shared" si="61"/>
        <v>-948.18036709570538</v>
      </c>
    </row>
    <row r="185" spans="1:41" x14ac:dyDescent="0.2">
      <c r="A185" s="12">
        <v>44739</v>
      </c>
      <c r="B185" s="6">
        <v>27</v>
      </c>
      <c r="C185" s="6">
        <v>178</v>
      </c>
      <c r="D185" s="6">
        <v>2</v>
      </c>
      <c r="E185" s="6" t="s">
        <v>13</v>
      </c>
      <c r="F185" s="6">
        <v>26</v>
      </c>
      <c r="G185" s="6">
        <v>6</v>
      </c>
      <c r="H185" s="6" t="s">
        <v>22</v>
      </c>
      <c r="I185" s="6">
        <v>2</v>
      </c>
      <c r="J185" s="14">
        <v>18.578432862008864</v>
      </c>
      <c r="K185" s="14">
        <f t="shared" si="62"/>
        <v>18.578432862008864</v>
      </c>
      <c r="L185" s="14">
        <v>82.301370328417676</v>
      </c>
      <c r="M185" s="14">
        <f t="shared" si="63"/>
        <v>1529.0304830978362</v>
      </c>
      <c r="N185" s="16">
        <v>0.43466332020076681</v>
      </c>
      <c r="O185" s="14">
        <f t="shared" si="64"/>
        <v>664.61346647148798</v>
      </c>
      <c r="P185" s="14">
        <f t="shared" si="65"/>
        <v>864.41701662634819</v>
      </c>
      <c r="Q185" s="14">
        <v>44.791321728652832</v>
      </c>
      <c r="R185" s="14">
        <v>8.4927090609408236</v>
      </c>
      <c r="S185" s="14">
        <f t="shared" si="50"/>
        <v>12.987012987012987</v>
      </c>
      <c r="T185" s="14">
        <v>38.172825307099899</v>
      </c>
      <c r="U185" s="14">
        <f t="shared" si="66"/>
        <v>1070.3213381684852</v>
      </c>
      <c r="V185" s="14">
        <f t="shared" si="67"/>
        <v>57.610959229892366</v>
      </c>
      <c r="W185" s="14">
        <v>29.877989516766629</v>
      </c>
      <c r="X185" s="16">
        <f t="shared" si="68"/>
        <v>0.77747918672758598</v>
      </c>
      <c r="Y185" s="16">
        <f t="shared" si="73"/>
        <v>0.62181000671357778</v>
      </c>
      <c r="Z185" s="16">
        <f t="shared" si="69"/>
        <v>0.62094760028680984</v>
      </c>
      <c r="AA185" s="16">
        <f t="shared" si="70"/>
        <v>0.3224808805538712</v>
      </c>
      <c r="AB185" s="16">
        <f t="shared" si="51"/>
        <v>8.4936259483206159E-3</v>
      </c>
      <c r="AC185" s="14">
        <f t="shared" si="74"/>
        <v>57.610959229892366</v>
      </c>
      <c r="AD185" s="16">
        <f t="shared" si="52"/>
        <v>0.10319037249381488</v>
      </c>
      <c r="AE185" s="16">
        <f t="shared" si="53"/>
        <v>2.9293936402042826E-2</v>
      </c>
      <c r="AF185" s="23" t="str">
        <f t="shared" si="71"/>
        <v/>
      </c>
      <c r="AG185" s="23" t="str">
        <f t="shared" si="75"/>
        <v/>
      </c>
      <c r="AH185" s="23" t="str">
        <f t="shared" si="55"/>
        <v/>
      </c>
      <c r="AI185" s="23" t="str">
        <f t="shared" si="72"/>
        <v/>
      </c>
      <c r="AJ185" s="23" t="str">
        <f t="shared" si="56"/>
        <v/>
      </c>
      <c r="AK185" s="23" t="str">
        <f t="shared" si="57"/>
        <v/>
      </c>
      <c r="AL185" s="23" t="str">
        <f t="shared" si="58"/>
        <v/>
      </c>
      <c r="AM185" s="23" t="str">
        <f t="shared" si="59"/>
        <v/>
      </c>
      <c r="AN185" s="19">
        <f t="shared" si="60"/>
        <v>0</v>
      </c>
      <c r="AO185" s="26">
        <f t="shared" si="61"/>
        <v>864.41701662634819</v>
      </c>
    </row>
    <row r="186" spans="1:41" x14ac:dyDescent="0.2">
      <c r="A186" s="12">
        <v>44740</v>
      </c>
      <c r="B186" s="6">
        <v>28</v>
      </c>
      <c r="C186" s="6">
        <v>179</v>
      </c>
      <c r="D186" s="6">
        <v>3</v>
      </c>
      <c r="E186" s="6" t="s">
        <v>14</v>
      </c>
      <c r="F186" s="6">
        <v>26</v>
      </c>
      <c r="G186" s="6">
        <v>6</v>
      </c>
      <c r="H186" s="6" t="s">
        <v>22</v>
      </c>
      <c r="I186" s="6">
        <v>2</v>
      </c>
      <c r="J186" s="14">
        <v>18.135780828463499</v>
      </c>
      <c r="K186" s="14">
        <f t="shared" si="62"/>
        <v>18.135780828463499</v>
      </c>
      <c r="L186" s="14">
        <v>71.577430614376425</v>
      </c>
      <c r="M186" s="14">
        <f t="shared" si="63"/>
        <v>1298.1125938868843</v>
      </c>
      <c r="N186" s="16">
        <v>0.97881571081561247</v>
      </c>
      <c r="O186" s="14">
        <f t="shared" si="64"/>
        <v>1270.613001304089</v>
      </c>
      <c r="P186" s="14">
        <f t="shared" si="65"/>
        <v>27.499592582795231</v>
      </c>
      <c r="Q186" s="14">
        <v>34.572428945022594</v>
      </c>
      <c r="R186" s="14">
        <v>6.3544854398821684</v>
      </c>
      <c r="S186" s="14">
        <f t="shared" si="50"/>
        <v>12.987012987012987</v>
      </c>
      <c r="T186" s="14">
        <v>25.522696148587698</v>
      </c>
      <c r="U186" s="14">
        <f t="shared" si="66"/>
        <v>908.67881572081887</v>
      </c>
      <c r="V186" s="14">
        <f t="shared" si="67"/>
        <v>50.10420143006349</v>
      </c>
      <c r="W186" s="14">
        <v>33.391240609769255</v>
      </c>
      <c r="X186" s="16">
        <f t="shared" si="68"/>
        <v>0.69001057712254976</v>
      </c>
      <c r="Y186" s="16">
        <f t="shared" si="73"/>
        <v>0.54312988967404596</v>
      </c>
      <c r="Z186" s="16">
        <f t="shared" si="69"/>
        <v>1.3983081583080179</v>
      </c>
      <c r="AA186" s="16">
        <f t="shared" si="70"/>
        <v>0.36196127891146629</v>
      </c>
      <c r="AB186" s="16">
        <f t="shared" si="51"/>
        <v>1.0004535082836318E-2</v>
      </c>
      <c r="AC186" s="14">
        <f t="shared" si="74"/>
        <v>50.10420143006349</v>
      </c>
      <c r="AD186" s="16">
        <f t="shared" si="52"/>
        <v>8.8777780724163924E-2</v>
      </c>
      <c r="AE186" s="16">
        <f t="shared" si="53"/>
        <v>2.6632843027509512E-2</v>
      </c>
      <c r="AF186" s="23" t="str">
        <f t="shared" si="71"/>
        <v/>
      </c>
      <c r="AG186" s="23" t="str">
        <f t="shared" si="75"/>
        <v/>
      </c>
      <c r="AH186" s="23" t="str">
        <f t="shared" si="55"/>
        <v/>
      </c>
      <c r="AI186" s="23" t="str">
        <f t="shared" si="72"/>
        <v/>
      </c>
      <c r="AJ186" s="23" t="str">
        <f t="shared" si="56"/>
        <v/>
      </c>
      <c r="AK186" s="23" t="str">
        <f t="shared" si="57"/>
        <v/>
      </c>
      <c r="AL186" s="23" t="str">
        <f t="shared" si="58"/>
        <v/>
      </c>
      <c r="AM186" s="23" t="str">
        <f t="shared" si="59"/>
        <v/>
      </c>
      <c r="AN186" s="19">
        <f t="shared" si="60"/>
        <v>0</v>
      </c>
      <c r="AO186" s="26">
        <f t="shared" si="61"/>
        <v>27.499592582795231</v>
      </c>
    </row>
    <row r="187" spans="1:41" x14ac:dyDescent="0.2">
      <c r="A187" s="12">
        <v>44741</v>
      </c>
      <c r="B187" s="6">
        <v>29</v>
      </c>
      <c r="C187" s="6">
        <v>180</v>
      </c>
      <c r="D187" s="6">
        <v>4</v>
      </c>
      <c r="E187" s="6" t="s">
        <v>15</v>
      </c>
      <c r="F187" s="6">
        <v>26</v>
      </c>
      <c r="G187" s="6">
        <v>6</v>
      </c>
      <c r="H187" s="6" t="s">
        <v>22</v>
      </c>
      <c r="I187" s="6">
        <v>2</v>
      </c>
      <c r="J187" s="14">
        <v>13.855644398832354</v>
      </c>
      <c r="K187" s="14">
        <f t="shared" si="62"/>
        <v>13.855644398832354</v>
      </c>
      <c r="L187" s="14">
        <v>51.951912134696158</v>
      </c>
      <c r="M187" s="14">
        <f t="shared" si="63"/>
        <v>719.8272203777334</v>
      </c>
      <c r="N187" s="16">
        <v>0.86059844330640023</v>
      </c>
      <c r="O187" s="14">
        <f t="shared" si="64"/>
        <v>619.48218530665042</v>
      </c>
      <c r="P187" s="14">
        <f t="shared" si="65"/>
        <v>100.34503507108298</v>
      </c>
      <c r="Q187" s="14">
        <v>33.721530217220582</v>
      </c>
      <c r="R187" s="14">
        <v>5.7377588382096798</v>
      </c>
      <c r="S187" s="14">
        <f t="shared" si="50"/>
        <v>12.987012987012987</v>
      </c>
      <c r="T187" s="14">
        <v>28.342560643535293</v>
      </c>
      <c r="U187" s="14">
        <f t="shared" si="66"/>
        <v>503.87905426441336</v>
      </c>
      <c r="V187" s="14">
        <f t="shared" si="67"/>
        <v>36.366338494287305</v>
      </c>
      <c r="W187" s="14">
        <v>34.408071899023035</v>
      </c>
      <c r="X187" s="16">
        <f t="shared" si="68"/>
        <v>0.92727317660857744</v>
      </c>
      <c r="Y187" s="16">
        <f t="shared" si="73"/>
        <v>0.40268587090536057</v>
      </c>
      <c r="Z187" s="16">
        <f t="shared" si="69"/>
        <v>1.2294263475805718</v>
      </c>
      <c r="AA187" s="16">
        <f t="shared" si="70"/>
        <v>0.38100190925212063</v>
      </c>
      <c r="AB187" s="16">
        <f t="shared" si="51"/>
        <v>1.804184757030719E-2</v>
      </c>
      <c r="AC187" s="14">
        <f t="shared" si="74"/>
        <v>36.366338494287305</v>
      </c>
      <c r="AD187" s="16">
        <f t="shared" si="52"/>
        <v>0.11044365072325624</v>
      </c>
      <c r="AE187" s="16">
        <f t="shared" si="53"/>
        <v>4.6846700517278322E-2</v>
      </c>
      <c r="AF187" s="23" t="str">
        <f t="shared" si="71"/>
        <v/>
      </c>
      <c r="AG187" s="23" t="str">
        <f t="shared" si="75"/>
        <v/>
      </c>
      <c r="AH187" s="23" t="str">
        <f t="shared" si="55"/>
        <v/>
      </c>
      <c r="AI187" s="23" t="str">
        <f t="shared" si="72"/>
        <v/>
      </c>
      <c r="AJ187" s="23" t="str">
        <f t="shared" si="56"/>
        <v/>
      </c>
      <c r="AK187" s="23" t="str">
        <f t="shared" si="57"/>
        <v/>
      </c>
      <c r="AL187" s="23" t="str">
        <f t="shared" si="58"/>
        <v/>
      </c>
      <c r="AM187" s="23" t="str">
        <f t="shared" si="59"/>
        <v/>
      </c>
      <c r="AN187" s="19">
        <f t="shared" si="60"/>
        <v>0</v>
      </c>
      <c r="AO187" s="26">
        <f t="shared" si="61"/>
        <v>100.34503507108298</v>
      </c>
    </row>
    <row r="188" spans="1:41" x14ac:dyDescent="0.2">
      <c r="A188" s="12">
        <v>44742</v>
      </c>
      <c r="B188" s="6">
        <v>30</v>
      </c>
      <c r="C188" s="6">
        <v>181</v>
      </c>
      <c r="D188" s="6">
        <v>5</v>
      </c>
      <c r="E188" s="6" t="s">
        <v>16</v>
      </c>
      <c r="F188" s="6">
        <v>26</v>
      </c>
      <c r="G188" s="6">
        <v>6</v>
      </c>
      <c r="H188" s="6" t="s">
        <v>22</v>
      </c>
      <c r="I188" s="6">
        <v>2</v>
      </c>
      <c r="J188" s="14">
        <v>4.4856799279615597E-2</v>
      </c>
      <c r="K188" s="14">
        <f t="shared" si="62"/>
        <v>4.4856799279615597E-2</v>
      </c>
      <c r="L188" s="14">
        <v>65.504019691087123</v>
      </c>
      <c r="M188" s="14">
        <f t="shared" si="63"/>
        <v>2.9383006632910829</v>
      </c>
      <c r="N188" s="16">
        <v>0.60744286188504681</v>
      </c>
      <c r="O188" s="14">
        <f t="shared" si="64"/>
        <v>1.7848497639882668</v>
      </c>
      <c r="P188" s="14">
        <f t="shared" si="65"/>
        <v>1.1534508993028161</v>
      </c>
      <c r="Q188" s="14">
        <v>48.214220213105143</v>
      </c>
      <c r="R188" s="14">
        <v>11.39453408175493</v>
      </c>
      <c r="S188" s="14">
        <f t="shared" si="50"/>
        <v>12.987012987012987</v>
      </c>
      <c r="T188" s="14">
        <v>30.836836306852277</v>
      </c>
      <c r="U188" s="14">
        <f t="shared" si="66"/>
        <v>2.0568104643037577</v>
      </c>
      <c r="V188" s="14">
        <f t="shared" si="67"/>
        <v>45.852813783760979</v>
      </c>
      <c r="W188" s="14">
        <v>31.055897697196993</v>
      </c>
      <c r="X188" s="16">
        <f t="shared" si="68"/>
        <v>1.0514997060045304</v>
      </c>
      <c r="Y188" s="16">
        <f t="shared" si="73"/>
        <v>1.4443890727932243E-3</v>
      </c>
      <c r="Z188" s="16">
        <f t="shared" si="69"/>
        <v>0.86777551697863853</v>
      </c>
      <c r="AA188" s="16">
        <f t="shared" si="70"/>
        <v>9.7827800691049145E-4</v>
      </c>
      <c r="AB188" s="16">
        <f t="shared" si="51"/>
        <v>4.419906086964807</v>
      </c>
      <c r="AC188" s="14">
        <f t="shared" si="74"/>
        <v>45.852813783760979</v>
      </c>
      <c r="AD188" s="16">
        <f t="shared" si="52"/>
        <v>0.17395167709540335</v>
      </c>
      <c r="AE188" s="16">
        <f t="shared" si="53"/>
        <v>16.408879055658709</v>
      </c>
      <c r="AF188" s="23" t="str">
        <f t="shared" si="71"/>
        <v/>
      </c>
      <c r="AG188" s="23" t="str">
        <f t="shared" si="75"/>
        <v/>
      </c>
      <c r="AH188" s="23" t="str">
        <f t="shared" si="55"/>
        <v/>
      </c>
      <c r="AI188" s="23" t="str">
        <f t="shared" si="72"/>
        <v/>
      </c>
      <c r="AJ188" s="23" t="str">
        <f t="shared" si="56"/>
        <v/>
      </c>
      <c r="AK188" s="23" t="str">
        <f t="shared" si="57"/>
        <v/>
      </c>
      <c r="AL188" s="23" t="str">
        <f t="shared" si="58"/>
        <v/>
      </c>
      <c r="AM188" s="23" t="str">
        <f t="shared" si="59"/>
        <v/>
      </c>
      <c r="AN188" s="19">
        <f t="shared" si="60"/>
        <v>0</v>
      </c>
      <c r="AO188" s="26">
        <f t="shared" si="61"/>
        <v>1.1534508993028161</v>
      </c>
    </row>
    <row r="189" spans="1:41" x14ac:dyDescent="0.2">
      <c r="A189" s="12">
        <v>44743</v>
      </c>
      <c r="B189" s="6">
        <v>1</v>
      </c>
      <c r="C189" s="6">
        <v>182</v>
      </c>
      <c r="D189" s="6">
        <v>6</v>
      </c>
      <c r="E189" s="6" t="s">
        <v>17</v>
      </c>
      <c r="F189" s="6">
        <v>26</v>
      </c>
      <c r="G189" s="6">
        <v>7</v>
      </c>
      <c r="H189" s="6" t="s">
        <v>23</v>
      </c>
      <c r="I189" s="6">
        <v>3</v>
      </c>
      <c r="J189" s="14">
        <v>4.0545139155673002</v>
      </c>
      <c r="K189" s="14">
        <f>J189-(J189*0.4)</f>
        <v>2.43270834934038</v>
      </c>
      <c r="L189" s="14">
        <v>105.67500650219517</v>
      </c>
      <c r="M189" s="14">
        <f t="shared" si="63"/>
        <v>257.07647063448917</v>
      </c>
      <c r="N189" s="16">
        <v>0.80253746750430355</v>
      </c>
      <c r="O189" s="14">
        <f t="shared" si="64"/>
        <v>206.31349969794741</v>
      </c>
      <c r="P189" s="14">
        <f t="shared" si="65"/>
        <v>50.762970936541763</v>
      </c>
      <c r="Q189" s="14">
        <v>40.641381436230013</v>
      </c>
      <c r="R189" s="14">
        <v>9.2642993969624534</v>
      </c>
      <c r="S189" s="14">
        <f t="shared" si="50"/>
        <v>12.987012987012987</v>
      </c>
      <c r="T189" s="14">
        <v>34.414125259008109</v>
      </c>
      <c r="U189" s="14">
        <f t="shared" si="66"/>
        <v>179.95352944414242</v>
      </c>
      <c r="V189" s="14">
        <f t="shared" si="67"/>
        <v>73.97250455153663</v>
      </c>
      <c r="W189" s="14">
        <v>33.975664133961423</v>
      </c>
      <c r="X189" s="16">
        <f t="shared" si="68"/>
        <v>0.54941199683073016</v>
      </c>
      <c r="Y189" s="16">
        <f t="shared" si="73"/>
        <v>7.1601495109809829E-2</v>
      </c>
      <c r="Z189" s="16">
        <f t="shared" si="69"/>
        <v>1.1464820964347193</v>
      </c>
      <c r="AA189" s="16">
        <f t="shared" si="70"/>
        <v>3.2886656523107349E-2</v>
      </c>
      <c r="AB189" s="16">
        <f t="shared" si="51"/>
        <v>5.0518092748666588E-2</v>
      </c>
      <c r="AC189" s="14">
        <f t="shared" si="74"/>
        <v>73.97250455153663</v>
      </c>
      <c r="AD189" s="16">
        <f t="shared" si="52"/>
        <v>8.7667838437937615E-2</v>
      </c>
      <c r="AE189" s="16">
        <f t="shared" si="53"/>
        <v>0.15809063091586414</v>
      </c>
      <c r="AF189" s="23">
        <f t="shared" si="71"/>
        <v>3000</v>
      </c>
      <c r="AG189" s="23" t="str">
        <f>IF(E189=$AG$6,$AG$4,"")</f>
        <v/>
      </c>
      <c r="AH189" s="23" t="str">
        <f t="shared" si="55"/>
        <v/>
      </c>
      <c r="AI189" s="23" t="str">
        <f t="shared" si="72"/>
        <v/>
      </c>
      <c r="AJ189" s="23" t="str">
        <f t="shared" si="56"/>
        <v/>
      </c>
      <c r="AK189" s="23" t="str">
        <f t="shared" si="57"/>
        <v/>
      </c>
      <c r="AL189" s="23" t="str">
        <f t="shared" si="58"/>
        <v/>
      </c>
      <c r="AM189" s="23" t="str">
        <f t="shared" si="59"/>
        <v/>
      </c>
      <c r="AN189" s="19">
        <f t="shared" si="60"/>
        <v>3000</v>
      </c>
      <c r="AO189" s="26">
        <f t="shared" si="61"/>
        <v>-2949.2370290634581</v>
      </c>
    </row>
    <row r="190" spans="1:41" x14ac:dyDescent="0.2">
      <c r="A190" s="12">
        <v>44744</v>
      </c>
      <c r="B190" s="6">
        <v>2</v>
      </c>
      <c r="C190" s="6">
        <v>183</v>
      </c>
      <c r="D190" s="6">
        <v>7</v>
      </c>
      <c r="E190" s="6" t="s">
        <v>10</v>
      </c>
      <c r="F190" s="6">
        <v>26</v>
      </c>
      <c r="G190" s="6">
        <v>7</v>
      </c>
      <c r="H190" s="6" t="s">
        <v>23</v>
      </c>
      <c r="I190" s="6">
        <v>3</v>
      </c>
      <c r="J190" s="14">
        <v>18.97667155235046</v>
      </c>
      <c r="K190" s="14">
        <f t="shared" ref="K190:K253" si="76">J190-(J190*0.4)</f>
        <v>11.386002931410275</v>
      </c>
      <c r="L190" s="14">
        <v>35.421114039856235</v>
      </c>
      <c r="M190" s="14">
        <f t="shared" si="63"/>
        <v>403.30490829162073</v>
      </c>
      <c r="N190" s="16">
        <v>0.76216216914534662</v>
      </c>
      <c r="O190" s="14">
        <f t="shared" si="64"/>
        <v>307.38374373050675</v>
      </c>
      <c r="P190" s="14">
        <f t="shared" si="65"/>
        <v>95.921164561113983</v>
      </c>
      <c r="Q190" s="14">
        <v>25.683564847590038</v>
      </c>
      <c r="R190" s="14">
        <v>16.448876950922564</v>
      </c>
      <c r="S190" s="14">
        <f t="shared" si="50"/>
        <v>12.987012987012987</v>
      </c>
      <c r="T190" s="14">
        <v>27.934224431955784</v>
      </c>
      <c r="U190" s="14">
        <f t="shared" si="66"/>
        <v>282.31343580413449</v>
      </c>
      <c r="V190" s="14">
        <f t="shared" si="67"/>
        <v>24.794779827899362</v>
      </c>
      <c r="W190" s="14">
        <v>34.638368831056475</v>
      </c>
      <c r="X190" s="16">
        <f t="shared" si="68"/>
        <v>1.0358456508127813</v>
      </c>
      <c r="Y190" s="16">
        <f t="shared" si="73"/>
        <v>0.32871071345604702</v>
      </c>
      <c r="Z190" s="16">
        <f t="shared" si="69"/>
        <v>1.0888030987790667</v>
      </c>
      <c r="AA190" s="16">
        <f t="shared" si="70"/>
        <v>0.45920968084574876</v>
      </c>
      <c r="AB190" s="16">
        <f t="shared" si="51"/>
        <v>3.2201475161870254E-2</v>
      </c>
      <c r="AC190" s="14">
        <f t="shared" si="74"/>
        <v>24.794779827899362</v>
      </c>
      <c r="AD190" s="16">
        <f t="shared" si="52"/>
        <v>0.46438056500464958</v>
      </c>
      <c r="AE190" s="16">
        <f t="shared" si="53"/>
        <v>6.3682748014112514E-2</v>
      </c>
      <c r="AF190" s="23" t="str">
        <f t="shared" si="71"/>
        <v/>
      </c>
      <c r="AG190" s="23" t="str">
        <f t="shared" ref="AG190:AG253" si="77">IF(E190=$AG$6,$AG$4,"")</f>
        <v/>
      </c>
      <c r="AH190" s="23" t="str">
        <f t="shared" si="55"/>
        <v/>
      </c>
      <c r="AI190" s="23" t="str">
        <f t="shared" si="72"/>
        <v/>
      </c>
      <c r="AJ190" s="23" t="str">
        <f t="shared" si="56"/>
        <v/>
      </c>
      <c r="AK190" s="23" t="str">
        <f t="shared" si="57"/>
        <v/>
      </c>
      <c r="AL190" s="23" t="str">
        <f t="shared" si="58"/>
        <v/>
      </c>
      <c r="AM190" s="23" t="str">
        <f t="shared" si="59"/>
        <v/>
      </c>
      <c r="AN190" s="19">
        <f t="shared" si="60"/>
        <v>0</v>
      </c>
      <c r="AO190" s="26">
        <f t="shared" si="61"/>
        <v>95.921164561113983</v>
      </c>
    </row>
    <row r="191" spans="1:41" x14ac:dyDescent="0.2">
      <c r="A191" s="12">
        <v>44745</v>
      </c>
      <c r="B191" s="6">
        <v>3</v>
      </c>
      <c r="C191" s="6">
        <v>184</v>
      </c>
      <c r="D191" s="6">
        <v>1</v>
      </c>
      <c r="E191" s="6" t="s">
        <v>12</v>
      </c>
      <c r="F191" s="6">
        <v>27</v>
      </c>
      <c r="G191" s="6">
        <v>7</v>
      </c>
      <c r="H191" s="6" t="s">
        <v>23</v>
      </c>
      <c r="I191" s="6">
        <v>3</v>
      </c>
      <c r="J191" s="14">
        <v>9.9977478780839633</v>
      </c>
      <c r="K191" s="14">
        <f t="shared" si="76"/>
        <v>5.9986487268503783</v>
      </c>
      <c r="L191" s="14">
        <v>17.138470201459</v>
      </c>
      <c r="M191" s="14">
        <f t="shared" si="63"/>
        <v>102.80766245414517</v>
      </c>
      <c r="N191" s="16">
        <v>0.23340149291933385</v>
      </c>
      <c r="O191" s="14">
        <f t="shared" si="64"/>
        <v>23.995461900344431</v>
      </c>
      <c r="P191" s="14">
        <f t="shared" si="65"/>
        <v>78.81220055380075</v>
      </c>
      <c r="Q191" s="14">
        <v>20.541507791956533</v>
      </c>
      <c r="R191" s="14">
        <v>4.7142394955802516</v>
      </c>
      <c r="S191" s="14">
        <f t="shared" si="50"/>
        <v>28.571428571428573</v>
      </c>
      <c r="T191" s="14">
        <v>15.429690406823909</v>
      </c>
      <c r="U191" s="14">
        <f t="shared" si="66"/>
        <v>71.96536371790161</v>
      </c>
      <c r="V191" s="14">
        <f t="shared" si="67"/>
        <v>11.996929141021297</v>
      </c>
      <c r="W191" s="14">
        <v>14.81083913092222</v>
      </c>
      <c r="X191" s="16">
        <f t="shared" si="68"/>
        <v>1.7122304841927103</v>
      </c>
      <c r="Y191" s="16">
        <f t="shared" si="73"/>
        <v>0.40501747901145846</v>
      </c>
      <c r="Z191" s="16">
        <f t="shared" si="69"/>
        <v>0.33343070417047699</v>
      </c>
      <c r="AA191" s="16">
        <f t="shared" si="70"/>
        <v>0.50001535028985877</v>
      </c>
      <c r="AB191" s="16">
        <f t="shared" si="51"/>
        <v>0.27791146972310704</v>
      </c>
      <c r="AC191" s="14">
        <f t="shared" si="74"/>
        <v>11.996929141021297</v>
      </c>
      <c r="AD191" s="16">
        <f t="shared" si="52"/>
        <v>0.27506769508394791</v>
      </c>
      <c r="AE191" s="16">
        <f t="shared" si="53"/>
        <v>0.19980522172769533</v>
      </c>
      <c r="AF191" s="23" t="str">
        <f t="shared" si="71"/>
        <v/>
      </c>
      <c r="AG191" s="23">
        <f t="shared" si="77"/>
        <v>1200</v>
      </c>
      <c r="AH191" s="23" t="str">
        <f t="shared" si="55"/>
        <v/>
      </c>
      <c r="AI191" s="23" t="str">
        <f t="shared" si="72"/>
        <v/>
      </c>
      <c r="AJ191" s="23" t="str">
        <f t="shared" si="56"/>
        <v/>
      </c>
      <c r="AK191" s="23" t="str">
        <f t="shared" si="57"/>
        <v/>
      </c>
      <c r="AL191" s="23" t="str">
        <f t="shared" si="58"/>
        <v/>
      </c>
      <c r="AM191" s="23" t="str">
        <f t="shared" si="59"/>
        <v/>
      </c>
      <c r="AN191" s="19">
        <f t="shared" si="60"/>
        <v>1200</v>
      </c>
      <c r="AO191" s="26">
        <f t="shared" si="61"/>
        <v>-1121.1877994461993</v>
      </c>
    </row>
    <row r="192" spans="1:41" x14ac:dyDescent="0.2">
      <c r="A192" s="12">
        <v>44746</v>
      </c>
      <c r="B192" s="6">
        <v>4</v>
      </c>
      <c r="C192" s="6">
        <v>185</v>
      </c>
      <c r="D192" s="6">
        <v>2</v>
      </c>
      <c r="E192" s="6" t="s">
        <v>13</v>
      </c>
      <c r="F192" s="6">
        <v>27</v>
      </c>
      <c r="G192" s="6">
        <v>7</v>
      </c>
      <c r="H192" s="6" t="s">
        <v>23</v>
      </c>
      <c r="I192" s="6">
        <v>3</v>
      </c>
      <c r="J192" s="14">
        <v>19.944188864391343</v>
      </c>
      <c r="K192" s="14">
        <f t="shared" si="76"/>
        <v>11.966513318634806</v>
      </c>
      <c r="L192" s="14">
        <v>21.852918555526418</v>
      </c>
      <c r="M192" s="14">
        <f t="shared" si="63"/>
        <v>261.50324094574859</v>
      </c>
      <c r="N192" s="16">
        <v>0.48034182462123154</v>
      </c>
      <c r="O192" s="14">
        <f t="shared" si="64"/>
        <v>125.61094390024643</v>
      </c>
      <c r="P192" s="14">
        <f t="shared" si="65"/>
        <v>135.89229704550218</v>
      </c>
      <c r="Q192" s="14">
        <v>32.155195448047991</v>
      </c>
      <c r="R192" s="14">
        <v>17.240357829814155</v>
      </c>
      <c r="S192" s="14">
        <f t="shared" si="50"/>
        <v>12.987012987012987</v>
      </c>
      <c r="T192" s="14">
        <v>37.164164053517979</v>
      </c>
      <c r="U192" s="14">
        <f t="shared" si="66"/>
        <v>183.05226866202401</v>
      </c>
      <c r="V192" s="14">
        <f t="shared" si="67"/>
        <v>15.297042988868492</v>
      </c>
      <c r="W192" s="14">
        <v>30.627340546706513</v>
      </c>
      <c r="X192" s="16">
        <f t="shared" si="68"/>
        <v>2.1020530223682452</v>
      </c>
      <c r="Y192" s="16">
        <f t="shared" si="73"/>
        <v>0.39071343136652509</v>
      </c>
      <c r="Z192" s="16">
        <f t="shared" si="69"/>
        <v>0.68620260660175936</v>
      </c>
      <c r="AA192" s="16">
        <f t="shared" si="70"/>
        <v>0.78227624301917176</v>
      </c>
      <c r="AB192" s="16">
        <f t="shared" si="51"/>
        <v>4.96629140810812E-2</v>
      </c>
      <c r="AC192" s="14">
        <f t="shared" si="74"/>
        <v>15.297042988868492</v>
      </c>
      <c r="AD192" s="16">
        <f t="shared" si="52"/>
        <v>0.78892701613323923</v>
      </c>
      <c r="AE192" s="16">
        <f t="shared" si="53"/>
        <v>0.12296289457735211</v>
      </c>
      <c r="AF192" s="23" t="str">
        <f t="shared" si="71"/>
        <v/>
      </c>
      <c r="AG192" s="23" t="str">
        <f t="shared" si="77"/>
        <v/>
      </c>
      <c r="AH192" s="23" t="str">
        <f t="shared" si="55"/>
        <v/>
      </c>
      <c r="AI192" s="23" t="str">
        <f t="shared" si="72"/>
        <v/>
      </c>
      <c r="AJ192" s="23" t="str">
        <f t="shared" si="56"/>
        <v/>
      </c>
      <c r="AK192" s="23" t="str">
        <f t="shared" si="57"/>
        <v/>
      </c>
      <c r="AL192" s="23" t="str">
        <f t="shared" si="58"/>
        <v/>
      </c>
      <c r="AM192" s="23" t="str">
        <f t="shared" si="59"/>
        <v/>
      </c>
      <c r="AN192" s="19">
        <f t="shared" si="60"/>
        <v>0</v>
      </c>
      <c r="AO192" s="26">
        <f t="shared" si="61"/>
        <v>135.89229704550218</v>
      </c>
    </row>
    <row r="193" spans="1:41" x14ac:dyDescent="0.2">
      <c r="A193" s="12">
        <v>44747</v>
      </c>
      <c r="B193" s="6">
        <v>5</v>
      </c>
      <c r="C193" s="6">
        <v>186</v>
      </c>
      <c r="D193" s="6">
        <v>3</v>
      </c>
      <c r="E193" s="6" t="s">
        <v>14</v>
      </c>
      <c r="F193" s="6">
        <v>27</v>
      </c>
      <c r="G193" s="6">
        <v>7</v>
      </c>
      <c r="H193" s="6" t="s">
        <v>23</v>
      </c>
      <c r="I193" s="6">
        <v>3</v>
      </c>
      <c r="J193" s="14">
        <v>16.828050856275002</v>
      </c>
      <c r="K193" s="14">
        <f t="shared" si="76"/>
        <v>10.096830513765001</v>
      </c>
      <c r="L193" s="14">
        <v>20.648431306317036</v>
      </c>
      <c r="M193" s="14">
        <f t="shared" si="63"/>
        <v>208.48371127500238</v>
      </c>
      <c r="N193" s="16">
        <v>0.58906920687824071</v>
      </c>
      <c r="O193" s="14">
        <f t="shared" si="64"/>
        <v>122.81133444779778</v>
      </c>
      <c r="P193" s="14">
        <f t="shared" si="65"/>
        <v>85.672376827204602</v>
      </c>
      <c r="Q193" s="14">
        <v>37.107004183335711</v>
      </c>
      <c r="R193" s="14">
        <v>9.9962125227848002</v>
      </c>
      <c r="S193" s="14">
        <f t="shared" si="50"/>
        <v>12.987012987012987</v>
      </c>
      <c r="T193" s="14">
        <v>33.724672919430553</v>
      </c>
      <c r="U193" s="14">
        <f t="shared" si="66"/>
        <v>145.93859789250166</v>
      </c>
      <c r="V193" s="14">
        <f t="shared" si="67"/>
        <v>14.453901914421925</v>
      </c>
      <c r="W193" s="14">
        <v>31.465114973545063</v>
      </c>
      <c r="X193" s="16">
        <f t="shared" si="68"/>
        <v>2.5672655316908441</v>
      </c>
      <c r="Y193" s="16">
        <f t="shared" si="73"/>
        <v>0.32088967487498826</v>
      </c>
      <c r="Z193" s="16">
        <f t="shared" si="69"/>
        <v>0.84152743839748667</v>
      </c>
      <c r="AA193" s="16">
        <f t="shared" si="70"/>
        <v>0.69855396650301804</v>
      </c>
      <c r="AB193" s="16">
        <f t="shared" si="51"/>
        <v>6.2292698588247722E-2</v>
      </c>
      <c r="AC193" s="14">
        <f t="shared" si="74"/>
        <v>14.453901914421925</v>
      </c>
      <c r="AD193" s="16">
        <f t="shared" si="52"/>
        <v>0.48411486444137908</v>
      </c>
      <c r="AE193" s="16">
        <f t="shared" si="53"/>
        <v>0.17798514788711417</v>
      </c>
      <c r="AF193" s="23" t="str">
        <f t="shared" si="71"/>
        <v/>
      </c>
      <c r="AG193" s="23" t="str">
        <f t="shared" si="77"/>
        <v/>
      </c>
      <c r="AH193" s="23" t="str">
        <f t="shared" si="55"/>
        <v/>
      </c>
      <c r="AI193" s="23" t="str">
        <f t="shared" si="72"/>
        <v/>
      </c>
      <c r="AJ193" s="23" t="str">
        <f t="shared" si="56"/>
        <v/>
      </c>
      <c r="AK193" s="23" t="str">
        <f t="shared" si="57"/>
        <v/>
      </c>
      <c r="AL193" s="23" t="str">
        <f t="shared" si="58"/>
        <v/>
      </c>
      <c r="AM193" s="23">
        <f t="shared" si="59"/>
        <v>1000</v>
      </c>
      <c r="AN193" s="19">
        <f t="shared" si="60"/>
        <v>1000</v>
      </c>
      <c r="AO193" s="26">
        <f t="shared" si="61"/>
        <v>-914.32762317279537</v>
      </c>
    </row>
    <row r="194" spans="1:41" x14ac:dyDescent="0.2">
      <c r="A194" s="12">
        <v>44748</v>
      </c>
      <c r="B194" s="6">
        <v>6</v>
      </c>
      <c r="C194" s="6">
        <v>187</v>
      </c>
      <c r="D194" s="6">
        <v>4</v>
      </c>
      <c r="E194" s="6" t="s">
        <v>15</v>
      </c>
      <c r="F194" s="6">
        <v>27</v>
      </c>
      <c r="G194" s="6">
        <v>7</v>
      </c>
      <c r="H194" s="6" t="s">
        <v>23</v>
      </c>
      <c r="I194" s="6">
        <v>3</v>
      </c>
      <c r="J194" s="14">
        <v>19.0529895326695</v>
      </c>
      <c r="K194" s="14">
        <f t="shared" si="76"/>
        <v>11.4317937196017</v>
      </c>
      <c r="L194" s="14">
        <v>44.407097267709659</v>
      </c>
      <c r="M194" s="14">
        <f t="shared" si="63"/>
        <v>507.65277565074507</v>
      </c>
      <c r="N194" s="16">
        <v>0.42174276430051272</v>
      </c>
      <c r="O194" s="14">
        <f t="shared" si="64"/>
        <v>214.09888490777325</v>
      </c>
      <c r="P194" s="14">
        <f t="shared" si="65"/>
        <v>293.55389074297182</v>
      </c>
      <c r="Q194" s="14">
        <v>25.783514738543175</v>
      </c>
      <c r="R194" s="14">
        <v>16.629987515640739</v>
      </c>
      <c r="S194" s="14">
        <f t="shared" si="50"/>
        <v>12.987012987012987</v>
      </c>
      <c r="T194" s="14">
        <v>34.088937243504731</v>
      </c>
      <c r="U194" s="14">
        <f t="shared" si="66"/>
        <v>355.3569429555215</v>
      </c>
      <c r="V194" s="14">
        <f t="shared" si="67"/>
        <v>31.084968087396756</v>
      </c>
      <c r="W194" s="14">
        <v>32.140353479783712</v>
      </c>
      <c r="X194" s="16">
        <f t="shared" si="68"/>
        <v>0.82945282961371192</v>
      </c>
      <c r="Y194" s="16">
        <f t="shared" si="73"/>
        <v>0.35568350941729066</v>
      </c>
      <c r="Z194" s="16">
        <f t="shared" si="69"/>
        <v>0.60248966328644682</v>
      </c>
      <c r="AA194" s="16">
        <f t="shared" si="70"/>
        <v>0.36775954498202179</v>
      </c>
      <c r="AB194" s="16">
        <f t="shared" si="51"/>
        <v>2.5582472134354665E-2</v>
      </c>
      <c r="AC194" s="14">
        <f t="shared" si="74"/>
        <v>31.084968087396756</v>
      </c>
      <c r="AD194" s="16">
        <f t="shared" si="52"/>
        <v>0.37448940684833121</v>
      </c>
      <c r="AE194" s="16">
        <f t="shared" si="53"/>
        <v>5.0789665643986778E-2</v>
      </c>
      <c r="AF194" s="23" t="str">
        <f t="shared" si="71"/>
        <v/>
      </c>
      <c r="AG194" s="23" t="str">
        <f t="shared" si="77"/>
        <v/>
      </c>
      <c r="AH194" s="23" t="str">
        <f t="shared" si="55"/>
        <v/>
      </c>
      <c r="AI194" s="23" t="str">
        <f t="shared" si="72"/>
        <v/>
      </c>
      <c r="AJ194" s="23" t="str">
        <f t="shared" si="56"/>
        <v/>
      </c>
      <c r="AK194" s="23" t="str">
        <f t="shared" si="57"/>
        <v/>
      </c>
      <c r="AL194" s="23" t="str">
        <f t="shared" si="58"/>
        <v/>
      </c>
      <c r="AM194" s="23" t="str">
        <f t="shared" si="59"/>
        <v/>
      </c>
      <c r="AN194" s="19">
        <f t="shared" si="60"/>
        <v>0</v>
      </c>
      <c r="AO194" s="26">
        <f t="shared" si="61"/>
        <v>293.55389074297182</v>
      </c>
    </row>
    <row r="195" spans="1:41" x14ac:dyDescent="0.2">
      <c r="A195" s="12">
        <v>44749</v>
      </c>
      <c r="B195" s="6">
        <v>7</v>
      </c>
      <c r="C195" s="6">
        <v>188</v>
      </c>
      <c r="D195" s="6">
        <v>5</v>
      </c>
      <c r="E195" s="6" t="s">
        <v>16</v>
      </c>
      <c r="F195" s="6">
        <v>27</v>
      </c>
      <c r="G195" s="6">
        <v>7</v>
      </c>
      <c r="H195" s="6" t="s">
        <v>23</v>
      </c>
      <c r="I195" s="6">
        <v>3</v>
      </c>
      <c r="J195" s="14">
        <v>12.477832733585215</v>
      </c>
      <c r="K195" s="14">
        <f t="shared" si="76"/>
        <v>7.4866996401511283</v>
      </c>
      <c r="L195" s="14">
        <v>93.007825461389885</v>
      </c>
      <c r="M195" s="14">
        <f t="shared" si="63"/>
        <v>696.32165341302664</v>
      </c>
      <c r="N195" s="16">
        <v>0.42049523808734524</v>
      </c>
      <c r="O195" s="14">
        <f t="shared" si="64"/>
        <v>292.79993943728454</v>
      </c>
      <c r="P195" s="14">
        <f t="shared" si="65"/>
        <v>403.5217139757421</v>
      </c>
      <c r="Q195" s="14">
        <v>21.694575478203706</v>
      </c>
      <c r="R195" s="14">
        <v>9.4975663853676622</v>
      </c>
      <c r="S195" s="14">
        <f t="shared" si="50"/>
        <v>12.987012987012987</v>
      </c>
      <c r="T195" s="14">
        <v>30.181284660010025</v>
      </c>
      <c r="U195" s="14">
        <f t="shared" si="66"/>
        <v>487.42515738911862</v>
      </c>
      <c r="V195" s="14">
        <f t="shared" si="67"/>
        <v>65.105477822972915</v>
      </c>
      <c r="W195" s="14">
        <v>30.620180025437911</v>
      </c>
      <c r="X195" s="16">
        <f t="shared" si="68"/>
        <v>0.33322196846773816</v>
      </c>
      <c r="Y195" s="16">
        <f t="shared" si="73"/>
        <v>0.24450214315956029</v>
      </c>
      <c r="Z195" s="16">
        <f t="shared" si="69"/>
        <v>0.60070748298192178</v>
      </c>
      <c r="AA195" s="16">
        <f t="shared" si="70"/>
        <v>0.11499339057933149</v>
      </c>
      <c r="AB195" s="16">
        <f t="shared" si="51"/>
        <v>1.8650881993051673E-2</v>
      </c>
      <c r="AC195" s="14">
        <f t="shared" si="74"/>
        <v>65.105477822972915</v>
      </c>
      <c r="AD195" s="16">
        <f t="shared" si="52"/>
        <v>0.10211577722898557</v>
      </c>
      <c r="AE195" s="16">
        <f t="shared" si="53"/>
        <v>3.1155968469266403E-2</v>
      </c>
      <c r="AF195" s="23" t="str">
        <f t="shared" si="71"/>
        <v/>
      </c>
      <c r="AG195" s="23" t="str">
        <f t="shared" si="77"/>
        <v/>
      </c>
      <c r="AH195" s="23" t="str">
        <f t="shared" si="55"/>
        <v/>
      </c>
      <c r="AI195" s="23" t="str">
        <f t="shared" si="72"/>
        <v/>
      </c>
      <c r="AJ195" s="23" t="str">
        <f t="shared" si="56"/>
        <v/>
      </c>
      <c r="AK195" s="23" t="str">
        <f t="shared" si="57"/>
        <v/>
      </c>
      <c r="AL195" s="23" t="str">
        <f t="shared" si="58"/>
        <v/>
      </c>
      <c r="AM195" s="23" t="str">
        <f t="shared" si="59"/>
        <v/>
      </c>
      <c r="AN195" s="19">
        <f t="shared" si="60"/>
        <v>0</v>
      </c>
      <c r="AO195" s="26">
        <f t="shared" si="61"/>
        <v>403.5217139757421</v>
      </c>
    </row>
    <row r="196" spans="1:41" x14ac:dyDescent="0.2">
      <c r="A196" s="12">
        <v>44750</v>
      </c>
      <c r="B196" s="6">
        <v>8</v>
      </c>
      <c r="C196" s="6">
        <v>189</v>
      </c>
      <c r="D196" s="6">
        <v>6</v>
      </c>
      <c r="E196" s="6" t="s">
        <v>17</v>
      </c>
      <c r="F196" s="6">
        <v>27</v>
      </c>
      <c r="G196" s="6">
        <v>7</v>
      </c>
      <c r="H196" s="6" t="s">
        <v>23</v>
      </c>
      <c r="I196" s="6">
        <v>3</v>
      </c>
      <c r="J196" s="14">
        <v>16.551071933764355</v>
      </c>
      <c r="K196" s="14">
        <f t="shared" si="76"/>
        <v>9.9306431602586116</v>
      </c>
      <c r="L196" s="14">
        <v>41.393720112761635</v>
      </c>
      <c r="M196" s="14">
        <f t="shared" si="63"/>
        <v>411.06626351545566</v>
      </c>
      <c r="N196" s="16">
        <v>0.47791669102167883</v>
      </c>
      <c r="O196" s="14">
        <f t="shared" si="64"/>
        <v>196.45542844995202</v>
      </c>
      <c r="P196" s="14">
        <f t="shared" si="65"/>
        <v>214.61083506550364</v>
      </c>
      <c r="Q196" s="14">
        <v>38.12529339980852</v>
      </c>
      <c r="R196" s="14">
        <v>7.8890088690061253</v>
      </c>
      <c r="S196" s="14">
        <f t="shared" si="50"/>
        <v>12.987012987012987</v>
      </c>
      <c r="T196" s="14">
        <v>31.344058773970598</v>
      </c>
      <c r="U196" s="14">
        <f t="shared" si="66"/>
        <v>287.74638446081894</v>
      </c>
      <c r="V196" s="14">
        <f t="shared" si="67"/>
        <v>28.975604078933141</v>
      </c>
      <c r="W196" s="14">
        <v>31.472026044810452</v>
      </c>
      <c r="X196" s="16">
        <f t="shared" si="68"/>
        <v>1.3157721680607759</v>
      </c>
      <c r="Y196" s="16">
        <f t="shared" si="73"/>
        <v>0.31553873100254742</v>
      </c>
      <c r="Z196" s="16">
        <f t="shared" si="69"/>
        <v>0.68273813003096973</v>
      </c>
      <c r="AA196" s="16">
        <f t="shared" si="70"/>
        <v>0.34272428395992394</v>
      </c>
      <c r="AB196" s="16">
        <f t="shared" si="51"/>
        <v>3.1593478082943403E-2</v>
      </c>
      <c r="AC196" s="14">
        <f t="shared" si="74"/>
        <v>28.975604078933141</v>
      </c>
      <c r="AD196" s="16">
        <f t="shared" si="52"/>
        <v>0.19058467921016728</v>
      </c>
      <c r="AE196" s="16">
        <f t="shared" si="53"/>
        <v>9.274731785031308E-2</v>
      </c>
      <c r="AF196" s="23" t="str">
        <f t="shared" si="71"/>
        <v/>
      </c>
      <c r="AG196" s="23" t="str">
        <f t="shared" si="77"/>
        <v/>
      </c>
      <c r="AH196" s="23" t="str">
        <f t="shared" si="55"/>
        <v/>
      </c>
      <c r="AI196" s="23" t="str">
        <f t="shared" si="72"/>
        <v/>
      </c>
      <c r="AJ196" s="23" t="str">
        <f t="shared" si="56"/>
        <v/>
      </c>
      <c r="AK196" s="23" t="str">
        <f t="shared" si="57"/>
        <v/>
      </c>
      <c r="AL196" s="23" t="str">
        <f t="shared" si="58"/>
        <v/>
      </c>
      <c r="AM196" s="23" t="str">
        <f t="shared" si="59"/>
        <v/>
      </c>
      <c r="AN196" s="19">
        <f t="shared" si="60"/>
        <v>0</v>
      </c>
      <c r="AO196" s="26">
        <f t="shared" si="61"/>
        <v>214.61083506550364</v>
      </c>
    </row>
    <row r="197" spans="1:41" x14ac:dyDescent="0.2">
      <c r="A197" s="12">
        <v>44751</v>
      </c>
      <c r="B197" s="6">
        <v>9</v>
      </c>
      <c r="C197" s="6">
        <v>190</v>
      </c>
      <c r="D197" s="6">
        <v>7</v>
      </c>
      <c r="E197" s="6" t="s">
        <v>10</v>
      </c>
      <c r="F197" s="6">
        <v>27</v>
      </c>
      <c r="G197" s="6">
        <v>7</v>
      </c>
      <c r="H197" s="6" t="s">
        <v>23</v>
      </c>
      <c r="I197" s="6">
        <v>3</v>
      </c>
      <c r="J197" s="14">
        <v>21.793727475681742</v>
      </c>
      <c r="K197" s="14">
        <f t="shared" si="76"/>
        <v>13.076236485409044</v>
      </c>
      <c r="L197" s="14">
        <v>71.879688182277377</v>
      </c>
      <c r="M197" s="14">
        <f t="shared" si="63"/>
        <v>939.91580116892078</v>
      </c>
      <c r="N197" s="16">
        <v>0.46445394380174432</v>
      </c>
      <c r="O197" s="14">
        <f t="shared" si="64"/>
        <v>436.54760069448145</v>
      </c>
      <c r="P197" s="14">
        <f t="shared" si="65"/>
        <v>503.36820047443933</v>
      </c>
      <c r="Q197" s="14">
        <v>34.234204135143905</v>
      </c>
      <c r="R197" s="14">
        <v>13.5739789559311</v>
      </c>
      <c r="S197" s="14">
        <f t="shared" si="50"/>
        <v>12.987012987012987</v>
      </c>
      <c r="T197" s="14">
        <v>39.096523112039272</v>
      </c>
      <c r="U197" s="14">
        <f t="shared" si="66"/>
        <v>657.94106081824452</v>
      </c>
      <c r="V197" s="14">
        <f t="shared" si="67"/>
        <v>50.315781727594164</v>
      </c>
      <c r="W197" s="14">
        <v>35.465705568174499</v>
      </c>
      <c r="X197" s="16">
        <f t="shared" si="68"/>
        <v>0.68038700701273602</v>
      </c>
      <c r="Y197" s="16">
        <f t="shared" si="73"/>
        <v>0.36870086964075893</v>
      </c>
      <c r="Z197" s="16">
        <f t="shared" si="69"/>
        <v>0.66350563400249196</v>
      </c>
      <c r="AA197" s="16">
        <f t="shared" si="70"/>
        <v>0.25988340112060265</v>
      </c>
      <c r="AB197" s="16">
        <f t="shared" si="51"/>
        <v>1.3817208914736579E-2</v>
      </c>
      <c r="AC197" s="14">
        <f t="shared" si="74"/>
        <v>50.315781727594164</v>
      </c>
      <c r="AD197" s="16">
        <f t="shared" si="52"/>
        <v>0.18884304174371605</v>
      </c>
      <c r="AE197" s="16">
        <f t="shared" si="53"/>
        <v>3.6422628593506715E-2</v>
      </c>
      <c r="AF197" s="23" t="str">
        <f t="shared" si="71"/>
        <v/>
      </c>
      <c r="AG197" s="23" t="str">
        <f t="shared" si="77"/>
        <v/>
      </c>
      <c r="AH197" s="23" t="str">
        <f t="shared" si="55"/>
        <v/>
      </c>
      <c r="AI197" s="23" t="str">
        <f t="shared" si="72"/>
        <v/>
      </c>
      <c r="AJ197" s="23" t="str">
        <f t="shared" si="56"/>
        <v/>
      </c>
      <c r="AK197" s="23" t="str">
        <f t="shared" si="57"/>
        <v/>
      </c>
      <c r="AL197" s="23" t="str">
        <f t="shared" si="58"/>
        <v/>
      </c>
      <c r="AM197" s="23" t="str">
        <f t="shared" si="59"/>
        <v/>
      </c>
      <c r="AN197" s="19">
        <f t="shared" si="60"/>
        <v>0</v>
      </c>
      <c r="AO197" s="26">
        <f t="shared" si="61"/>
        <v>503.36820047443933</v>
      </c>
    </row>
    <row r="198" spans="1:41" x14ac:dyDescent="0.2">
      <c r="A198" s="12">
        <v>44752</v>
      </c>
      <c r="B198" s="6">
        <v>10</v>
      </c>
      <c r="C198" s="6">
        <v>191</v>
      </c>
      <c r="D198" s="6">
        <v>1</v>
      </c>
      <c r="E198" s="6" t="s">
        <v>12</v>
      </c>
      <c r="F198" s="6">
        <v>28</v>
      </c>
      <c r="G198" s="6">
        <v>7</v>
      </c>
      <c r="H198" s="6" t="s">
        <v>23</v>
      </c>
      <c r="I198" s="6">
        <v>3</v>
      </c>
      <c r="J198" s="14">
        <v>5.1235333927373752</v>
      </c>
      <c r="K198" s="14">
        <f t="shared" si="76"/>
        <v>3.0741200356424252</v>
      </c>
      <c r="L198" s="14">
        <v>32.947512671109109</v>
      </c>
      <c r="M198" s="14">
        <f t="shared" si="63"/>
        <v>101.28460882683919</v>
      </c>
      <c r="N198" s="16">
        <v>0.20584912629333377</v>
      </c>
      <c r="O198" s="14">
        <f t="shared" si="64"/>
        <v>20.849348233966928</v>
      </c>
      <c r="P198" s="14">
        <f t="shared" si="65"/>
        <v>80.435260592872254</v>
      </c>
      <c r="Q198" s="14">
        <v>11.11679085568654</v>
      </c>
      <c r="R198" s="14">
        <v>7.0516950700720162</v>
      </c>
      <c r="S198" s="14">
        <f t="shared" si="50"/>
        <v>28.571428571428573</v>
      </c>
      <c r="T198" s="14">
        <v>17.950794156524804</v>
      </c>
      <c r="U198" s="14">
        <f t="shared" si="66"/>
        <v>70.89922617878743</v>
      </c>
      <c r="V198" s="14">
        <f t="shared" si="67"/>
        <v>23.063258869776377</v>
      </c>
      <c r="W198" s="14">
        <v>14.501498661462318</v>
      </c>
      <c r="X198" s="16">
        <f t="shared" si="68"/>
        <v>0.48201301119048356</v>
      </c>
      <c r="Y198" s="16">
        <f t="shared" si="73"/>
        <v>0.21198636826494965</v>
      </c>
      <c r="Z198" s="16">
        <f t="shared" si="69"/>
        <v>0.29407018041904825</v>
      </c>
      <c r="AA198" s="16">
        <f t="shared" si="70"/>
        <v>0.13329079177405218</v>
      </c>
      <c r="AB198" s="16">
        <f t="shared" si="51"/>
        <v>0.28209052591865758</v>
      </c>
      <c r="AC198" s="14">
        <f t="shared" si="74"/>
        <v>23.063258869776377</v>
      </c>
      <c r="AD198" s="16">
        <f t="shared" si="52"/>
        <v>0.21402814653913102</v>
      </c>
      <c r="AE198" s="16">
        <f t="shared" si="53"/>
        <v>0.10975794826529187</v>
      </c>
      <c r="AF198" s="23" t="str">
        <f t="shared" si="71"/>
        <v/>
      </c>
      <c r="AG198" s="23">
        <f t="shared" si="77"/>
        <v>1200</v>
      </c>
      <c r="AH198" s="23" t="str">
        <f t="shared" si="55"/>
        <v/>
      </c>
      <c r="AI198" s="23">
        <f t="shared" si="72"/>
        <v>300</v>
      </c>
      <c r="AJ198" s="23" t="str">
        <f t="shared" si="56"/>
        <v/>
      </c>
      <c r="AK198" s="23" t="str">
        <f t="shared" si="57"/>
        <v/>
      </c>
      <c r="AL198" s="23" t="str">
        <f t="shared" si="58"/>
        <v/>
      </c>
      <c r="AM198" s="23" t="str">
        <f t="shared" si="59"/>
        <v/>
      </c>
      <c r="AN198" s="19">
        <f t="shared" si="60"/>
        <v>1500</v>
      </c>
      <c r="AO198" s="26">
        <f t="shared" si="61"/>
        <v>-1419.5647394071277</v>
      </c>
    </row>
    <row r="199" spans="1:41" x14ac:dyDescent="0.2">
      <c r="A199" s="12">
        <v>44753</v>
      </c>
      <c r="B199" s="6">
        <v>11</v>
      </c>
      <c r="C199" s="6">
        <v>192</v>
      </c>
      <c r="D199" s="6">
        <v>2</v>
      </c>
      <c r="E199" s="6" t="s">
        <v>13</v>
      </c>
      <c r="F199" s="6">
        <v>28</v>
      </c>
      <c r="G199" s="6">
        <v>7</v>
      </c>
      <c r="H199" s="6" t="s">
        <v>23</v>
      </c>
      <c r="I199" s="6">
        <v>3</v>
      </c>
      <c r="J199" s="14">
        <v>8.7242608122621359</v>
      </c>
      <c r="K199" s="14">
        <f t="shared" si="76"/>
        <v>5.2345564873572812</v>
      </c>
      <c r="L199" s="14">
        <v>55.67901177637961</v>
      </c>
      <c r="M199" s="14">
        <f t="shared" si="63"/>
        <v>291.45493230369033</v>
      </c>
      <c r="N199" s="16">
        <v>0.32551441606638559</v>
      </c>
      <c r="O199" s="14">
        <f t="shared" si="64"/>
        <v>94.872782098503706</v>
      </c>
      <c r="P199" s="14">
        <f t="shared" si="65"/>
        <v>196.58215020518662</v>
      </c>
      <c r="Q199" s="14">
        <v>27.145631821825834</v>
      </c>
      <c r="R199" s="14">
        <v>9.9499067362362403</v>
      </c>
      <c r="S199" s="14">
        <f t="shared" si="50"/>
        <v>12.987012987012987</v>
      </c>
      <c r="T199" s="14">
        <v>37.995392544739339</v>
      </c>
      <c r="U199" s="14">
        <f t="shared" si="66"/>
        <v>204.01845261258322</v>
      </c>
      <c r="V199" s="14">
        <f t="shared" si="67"/>
        <v>38.975308243465726</v>
      </c>
      <c r="W199" s="14">
        <v>34.012135769505939</v>
      </c>
      <c r="X199" s="16">
        <f t="shared" si="68"/>
        <v>0.69648280014249386</v>
      </c>
      <c r="Y199" s="16">
        <f t="shared" si="73"/>
        <v>0.15390261061025157</v>
      </c>
      <c r="Z199" s="16">
        <f t="shared" si="69"/>
        <v>0.46502059438055088</v>
      </c>
      <c r="AA199" s="16">
        <f t="shared" si="70"/>
        <v>0.13430442819486521</v>
      </c>
      <c r="AB199" s="16">
        <f t="shared" si="51"/>
        <v>4.4559249295808019E-2</v>
      </c>
      <c r="AC199" s="14">
        <f t="shared" si="74"/>
        <v>38.975308243465726</v>
      </c>
      <c r="AD199" s="16">
        <f t="shared" si="52"/>
        <v>0.17870120928506192</v>
      </c>
      <c r="AE199" s="16">
        <f t="shared" si="53"/>
        <v>9.3138351124353647E-2</v>
      </c>
      <c r="AF199" s="23" t="str">
        <f t="shared" si="71"/>
        <v/>
      </c>
      <c r="AG199" s="23" t="str">
        <f t="shared" si="77"/>
        <v/>
      </c>
      <c r="AH199" s="23" t="str">
        <f t="shared" si="55"/>
        <v/>
      </c>
      <c r="AI199" s="23" t="str">
        <f t="shared" si="72"/>
        <v/>
      </c>
      <c r="AJ199" s="23" t="str">
        <f t="shared" si="56"/>
        <v/>
      </c>
      <c r="AK199" s="23" t="str">
        <f t="shared" si="57"/>
        <v/>
      </c>
      <c r="AL199" s="23" t="str">
        <f t="shared" si="58"/>
        <v/>
      </c>
      <c r="AM199" s="23" t="str">
        <f t="shared" si="59"/>
        <v/>
      </c>
      <c r="AN199" s="19">
        <f t="shared" si="60"/>
        <v>0</v>
      </c>
      <c r="AO199" s="26">
        <f t="shared" si="61"/>
        <v>196.58215020518662</v>
      </c>
    </row>
    <row r="200" spans="1:41" x14ac:dyDescent="0.2">
      <c r="A200" s="12">
        <v>44754</v>
      </c>
      <c r="B200" s="6">
        <v>12</v>
      </c>
      <c r="C200" s="6">
        <v>193</v>
      </c>
      <c r="D200" s="6">
        <v>3</v>
      </c>
      <c r="E200" s="6" t="s">
        <v>14</v>
      </c>
      <c r="F200" s="6">
        <v>28</v>
      </c>
      <c r="G200" s="6">
        <v>7</v>
      </c>
      <c r="H200" s="6" t="s">
        <v>23</v>
      </c>
      <c r="I200" s="6">
        <v>3</v>
      </c>
      <c r="J200" s="14">
        <v>10.694837492052272</v>
      </c>
      <c r="K200" s="14">
        <f t="shared" si="76"/>
        <v>6.4169024952313629</v>
      </c>
      <c r="L200" s="14">
        <v>45.707998835555379</v>
      </c>
      <c r="M200" s="14">
        <f t="shared" si="63"/>
        <v>293.30377177990755</v>
      </c>
      <c r="N200" s="16">
        <v>0.29130876692593793</v>
      </c>
      <c r="O200" s="14">
        <f t="shared" si="64"/>
        <v>85.441960091931577</v>
      </c>
      <c r="P200" s="14">
        <f t="shared" si="65"/>
        <v>207.86181168797597</v>
      </c>
      <c r="Q200" s="14">
        <v>31.474616309454671</v>
      </c>
      <c r="R200" s="14">
        <v>13.235238237761738</v>
      </c>
      <c r="S200" s="14">
        <f t="shared" ref="S200:S263" si="78">IF(E200=$AG$6,$S$2/5,$S$2/11)</f>
        <v>12.987012987012987</v>
      </c>
      <c r="T200" s="14">
        <v>34.803670999648986</v>
      </c>
      <c r="U200" s="14">
        <f t="shared" si="66"/>
        <v>205.31264024593528</v>
      </c>
      <c r="V200" s="14">
        <f t="shared" si="67"/>
        <v>31.995599184888768</v>
      </c>
      <c r="W200" s="14">
        <v>31.204391019165804</v>
      </c>
      <c r="X200" s="16">
        <f t="shared" si="68"/>
        <v>0.98371704582172192</v>
      </c>
      <c r="Y200" s="16">
        <f t="shared" si="73"/>
        <v>0.20564101030813539</v>
      </c>
      <c r="Z200" s="16">
        <f t="shared" si="69"/>
        <v>0.41615538132276847</v>
      </c>
      <c r="AA200" s="16">
        <f t="shared" si="70"/>
        <v>0.20055578450495179</v>
      </c>
      <c r="AB200" s="16">
        <f t="shared" ref="AB200:AB263" si="79">S200/M200</f>
        <v>4.4278370196883528E-2</v>
      </c>
      <c r="AC200" s="14">
        <f t="shared" si="74"/>
        <v>31.995599184888768</v>
      </c>
      <c r="AD200" s="16">
        <f t="shared" ref="AD200:AD263" si="80">R200/L200</f>
        <v>0.28956065841732498</v>
      </c>
      <c r="AE200" s="16">
        <f t="shared" ref="AE200:AE263" si="81">Q200/M200</f>
        <v>0.10731064288212745</v>
      </c>
      <c r="AF200" s="23" t="str">
        <f t="shared" si="71"/>
        <v/>
      </c>
      <c r="AG200" s="23" t="str">
        <f t="shared" si="77"/>
        <v/>
      </c>
      <c r="AH200" s="23" t="str">
        <f t="shared" ref="AH200:AH263" si="82">IF(B200=$AH$6,$AH$5,"")</f>
        <v/>
      </c>
      <c r="AI200" s="23" t="str">
        <f t="shared" si="72"/>
        <v/>
      </c>
      <c r="AJ200" s="23" t="str">
        <f t="shared" ref="AJ200:AJ263" si="83">IF($B200=$AJ$6,$AJ$5,"")</f>
        <v/>
      </c>
      <c r="AK200" s="23">
        <f t="shared" ref="AK200:AK263" si="84">IF($B200=$AK$6,$AK$5,"")</f>
        <v>480</v>
      </c>
      <c r="AL200" s="23" t="str">
        <f t="shared" ref="AL200:AL263" si="85">IF($B200=$AL$6,$AL$5,"")</f>
        <v/>
      </c>
      <c r="AM200" s="23" t="str">
        <f t="shared" ref="AM200:AM263" si="86">IF($B200=$AM$6,$AM$5,"")</f>
        <v/>
      </c>
      <c r="AN200" s="19">
        <f t="shared" ref="AN200:AN263" si="87">SUM(AF200:AM200)</f>
        <v>480</v>
      </c>
      <c r="AO200" s="26">
        <f t="shared" ref="AO200:AO263" si="88">P200-AN200</f>
        <v>-272.138188312024</v>
      </c>
    </row>
    <row r="201" spans="1:41" x14ac:dyDescent="0.2">
      <c r="A201" s="12">
        <v>44755</v>
      </c>
      <c r="B201" s="6">
        <v>13</v>
      </c>
      <c r="C201" s="6">
        <v>194</v>
      </c>
      <c r="D201" s="6">
        <v>4</v>
      </c>
      <c r="E201" s="6" t="s">
        <v>15</v>
      </c>
      <c r="F201" s="6">
        <v>28</v>
      </c>
      <c r="G201" s="6">
        <v>7</v>
      </c>
      <c r="H201" s="6" t="s">
        <v>23</v>
      </c>
      <c r="I201" s="6">
        <v>3</v>
      </c>
      <c r="J201" s="14">
        <v>8.1416568395475242</v>
      </c>
      <c r="K201" s="14">
        <f t="shared" si="76"/>
        <v>4.8849941037285145</v>
      </c>
      <c r="L201" s="14">
        <v>50.363630151204561</v>
      </c>
      <c r="M201" s="14">
        <f t="shared" ref="M201:M264" si="89">K201*L201</f>
        <v>246.02603633099793</v>
      </c>
      <c r="N201" s="16">
        <v>0.56599785078934961</v>
      </c>
      <c r="O201" s="14">
        <f t="shared" ref="O201:O264" si="90">M201*N201</f>
        <v>139.25020780156726</v>
      </c>
      <c r="P201" s="14">
        <f t="shared" ref="P201:P264" si="91">M201-O201</f>
        <v>106.77582852943067</v>
      </c>
      <c r="Q201" s="14">
        <v>33.694558656872871</v>
      </c>
      <c r="R201" s="14">
        <v>15.753566290529115</v>
      </c>
      <c r="S201" s="14">
        <f t="shared" si="78"/>
        <v>12.987012987012987</v>
      </c>
      <c r="T201" s="14">
        <v>32.168721375454709</v>
      </c>
      <c r="U201" s="14">
        <f t="shared" ref="U201:U264" si="92">M201*0.7</f>
        <v>172.21822543169853</v>
      </c>
      <c r="V201" s="14">
        <f t="shared" ref="V201:V264" si="93">U201/K201</f>
        <v>35.254541105843188</v>
      </c>
      <c r="W201" s="14">
        <v>32.683466891805828</v>
      </c>
      <c r="X201" s="16">
        <f t="shared" ref="X201:X264" si="94">Q201/V201</f>
        <v>0.95575087917647694</v>
      </c>
      <c r="Y201" s="16">
        <f t="shared" si="73"/>
        <v>0.14946376771777678</v>
      </c>
      <c r="Z201" s="16">
        <f t="shared" ref="Z201:Z264" si="95">O201/U201</f>
        <v>0.80856835827049944</v>
      </c>
      <c r="AA201" s="16">
        <f t="shared" ref="AA201:AA264" si="96">K201/V201</f>
        <v>0.13856354246854349</v>
      </c>
      <c r="AB201" s="16">
        <f t="shared" si="79"/>
        <v>5.2787148794042879E-2</v>
      </c>
      <c r="AC201" s="14">
        <f t="shared" si="74"/>
        <v>35.254541105843188</v>
      </c>
      <c r="AD201" s="16">
        <f t="shared" si="80"/>
        <v>0.31279648117565911</v>
      </c>
      <c r="AE201" s="16">
        <f t="shared" si="81"/>
        <v>0.13695525546548645</v>
      </c>
      <c r="AF201" s="23" t="str">
        <f t="shared" ref="AF201:AF264" si="97">IF(B201=$AF$6,$AF$5, "")</f>
        <v/>
      </c>
      <c r="AG201" s="23" t="str">
        <f t="shared" si="77"/>
        <v/>
      </c>
      <c r="AH201" s="23" t="str">
        <f t="shared" si="82"/>
        <v/>
      </c>
      <c r="AI201" s="23" t="str">
        <f t="shared" ref="AI201:AI264" si="98">IF(B201=$AI$6,$AI$5,"")</f>
        <v/>
      </c>
      <c r="AJ201" s="23" t="str">
        <f t="shared" si="83"/>
        <v/>
      </c>
      <c r="AK201" s="23" t="str">
        <f t="shared" si="84"/>
        <v/>
      </c>
      <c r="AL201" s="23" t="str">
        <f t="shared" si="85"/>
        <v/>
      </c>
      <c r="AM201" s="23" t="str">
        <f t="shared" si="86"/>
        <v/>
      </c>
      <c r="AN201" s="19">
        <f t="shared" si="87"/>
        <v>0</v>
      </c>
      <c r="AO201" s="26">
        <f t="shared" si="88"/>
        <v>106.77582852943067</v>
      </c>
    </row>
    <row r="202" spans="1:41" x14ac:dyDescent="0.2">
      <c r="A202" s="12">
        <v>44756</v>
      </c>
      <c r="B202" s="6">
        <v>14</v>
      </c>
      <c r="C202" s="6">
        <v>195</v>
      </c>
      <c r="D202" s="6">
        <v>5</v>
      </c>
      <c r="E202" s="6" t="s">
        <v>16</v>
      </c>
      <c r="F202" s="6">
        <v>28</v>
      </c>
      <c r="G202" s="6">
        <v>7</v>
      </c>
      <c r="H202" s="6" t="s">
        <v>23</v>
      </c>
      <c r="I202" s="6">
        <v>3</v>
      </c>
      <c r="J202" s="14">
        <v>23.606373323166508</v>
      </c>
      <c r="K202" s="14">
        <f>J202-(J202*0.4)</f>
        <v>14.163823993899905</v>
      </c>
      <c r="L202" s="14">
        <v>60.541712770296527</v>
      </c>
      <c r="M202" s="14">
        <f t="shared" si="89"/>
        <v>857.50216396772225</v>
      </c>
      <c r="N202" s="16">
        <v>0.41383277352173475</v>
      </c>
      <c r="O202" s="14">
        <f t="shared" si="90"/>
        <v>354.86249881565186</v>
      </c>
      <c r="P202" s="14">
        <f t="shared" si="91"/>
        <v>502.63966515207039</v>
      </c>
      <c r="Q202" s="14">
        <v>30.134354711462848</v>
      </c>
      <c r="R202" s="14">
        <v>12.405638566785621</v>
      </c>
      <c r="S202" s="14">
        <f t="shared" si="78"/>
        <v>12.987012987012987</v>
      </c>
      <c r="T202" s="14">
        <v>34.02318895220305</v>
      </c>
      <c r="U202" s="14">
        <f t="shared" si="92"/>
        <v>600.25151477740553</v>
      </c>
      <c r="V202" s="14">
        <f t="shared" si="93"/>
        <v>42.379198939207562</v>
      </c>
      <c r="W202" s="14">
        <v>33.262530339734596</v>
      </c>
      <c r="X202" s="16">
        <f t="shared" si="94"/>
        <v>0.71106475501554922</v>
      </c>
      <c r="Y202" s="16">
        <f t="shared" ref="Y202:Y265" si="99">K202/W202</f>
        <v>0.42581919803557916</v>
      </c>
      <c r="Z202" s="16">
        <f t="shared" si="95"/>
        <v>0.59118967645962117</v>
      </c>
      <c r="AA202" s="16">
        <f t="shared" si="96"/>
        <v>0.33421641627105164</v>
      </c>
      <c r="AB202" s="16">
        <f t="shared" si="79"/>
        <v>1.5145166429576308E-2</v>
      </c>
      <c r="AC202" s="14">
        <f t="shared" ref="AC202:AC265" si="100">U202/K202</f>
        <v>42.379198939207562</v>
      </c>
      <c r="AD202" s="16">
        <f t="shared" si="80"/>
        <v>0.2049105979848026</v>
      </c>
      <c r="AE202" s="16">
        <f t="shared" si="81"/>
        <v>3.5142015936180368E-2</v>
      </c>
      <c r="AF202" s="23" t="str">
        <f t="shared" si="97"/>
        <v/>
      </c>
      <c r="AG202" s="23" t="str">
        <f t="shared" si="77"/>
        <v/>
      </c>
      <c r="AH202" s="23" t="str">
        <f t="shared" si="82"/>
        <v/>
      </c>
      <c r="AI202" s="23" t="str">
        <f t="shared" si="98"/>
        <v/>
      </c>
      <c r="AJ202" s="23" t="str">
        <f t="shared" si="83"/>
        <v/>
      </c>
      <c r="AK202" s="23" t="str">
        <f t="shared" si="84"/>
        <v/>
      </c>
      <c r="AL202" s="23" t="str">
        <f t="shared" si="85"/>
        <v/>
      </c>
      <c r="AM202" s="23" t="str">
        <f t="shared" si="86"/>
        <v/>
      </c>
      <c r="AN202" s="19">
        <f t="shared" si="87"/>
        <v>0</v>
      </c>
      <c r="AO202" s="26">
        <f t="shared" si="88"/>
        <v>502.63966515207039</v>
      </c>
    </row>
    <row r="203" spans="1:41" x14ac:dyDescent="0.2">
      <c r="A203" s="12">
        <v>44757</v>
      </c>
      <c r="B203" s="6">
        <v>15</v>
      </c>
      <c r="C203" s="6">
        <v>196</v>
      </c>
      <c r="D203" s="6">
        <v>6</v>
      </c>
      <c r="E203" s="6" t="s">
        <v>17</v>
      </c>
      <c r="F203" s="6">
        <v>28</v>
      </c>
      <c r="G203" s="6">
        <v>7</v>
      </c>
      <c r="H203" s="6" t="s">
        <v>23</v>
      </c>
      <c r="I203" s="6">
        <v>3</v>
      </c>
      <c r="J203" s="14">
        <v>23.647863118481506</v>
      </c>
      <c r="K203" s="14">
        <f t="shared" si="76"/>
        <v>14.188717871088903</v>
      </c>
      <c r="L203" s="14">
        <v>58.440849788862636</v>
      </c>
      <c r="M203" s="14">
        <f t="shared" si="89"/>
        <v>829.2007298008574</v>
      </c>
      <c r="N203" s="16">
        <v>0.76052572962606702</v>
      </c>
      <c r="O203" s="14">
        <f t="shared" si="90"/>
        <v>630.62849003826432</v>
      </c>
      <c r="P203" s="14">
        <f t="shared" si="91"/>
        <v>198.57223976259309</v>
      </c>
      <c r="Q203" s="14">
        <v>54.201104042242868</v>
      </c>
      <c r="R203" s="14">
        <v>14.662556885668279</v>
      </c>
      <c r="S203" s="14">
        <f t="shared" si="78"/>
        <v>12.987012987012987</v>
      </c>
      <c r="T203" s="14">
        <v>34.961255129062103</v>
      </c>
      <c r="U203" s="14">
        <f t="shared" si="92"/>
        <v>580.44051086060017</v>
      </c>
      <c r="V203" s="14">
        <f t="shared" si="93"/>
        <v>40.908594852203841</v>
      </c>
      <c r="W203" s="14">
        <v>34.177231433637012</v>
      </c>
      <c r="X203" s="16">
        <f t="shared" si="94"/>
        <v>1.3249319424943027</v>
      </c>
      <c r="Y203" s="16">
        <f t="shared" si="99"/>
        <v>0.41515117743342012</v>
      </c>
      <c r="Z203" s="16">
        <f t="shared" si="95"/>
        <v>1.0864653280372385</v>
      </c>
      <c r="AA203" s="16">
        <f t="shared" si="96"/>
        <v>0.34683953145666463</v>
      </c>
      <c r="AB203" s="16">
        <f t="shared" si="79"/>
        <v>1.5662085813807684E-2</v>
      </c>
      <c r="AC203" s="14">
        <f t="shared" si="100"/>
        <v>40.908594852203841</v>
      </c>
      <c r="AD203" s="16">
        <f t="shared" si="80"/>
        <v>0.25089568236330806</v>
      </c>
      <c r="AE203" s="16">
        <f t="shared" si="81"/>
        <v>6.5365480388879932E-2</v>
      </c>
      <c r="AF203" s="23" t="str">
        <f t="shared" si="97"/>
        <v/>
      </c>
      <c r="AG203" s="23" t="str">
        <f t="shared" si="77"/>
        <v/>
      </c>
      <c r="AH203" s="23">
        <f t="shared" si="82"/>
        <v>300</v>
      </c>
      <c r="AI203" s="23" t="str">
        <f t="shared" si="98"/>
        <v/>
      </c>
      <c r="AJ203" s="23" t="str">
        <f t="shared" si="83"/>
        <v/>
      </c>
      <c r="AK203" s="23" t="str">
        <f t="shared" si="84"/>
        <v/>
      </c>
      <c r="AL203" s="23" t="str">
        <f t="shared" si="85"/>
        <v/>
      </c>
      <c r="AM203" s="23" t="str">
        <f t="shared" si="86"/>
        <v/>
      </c>
      <c r="AN203" s="19">
        <f t="shared" si="87"/>
        <v>300</v>
      </c>
      <c r="AO203" s="26">
        <f t="shared" si="88"/>
        <v>-101.42776023740691</v>
      </c>
    </row>
    <row r="204" spans="1:41" x14ac:dyDescent="0.2">
      <c r="A204" s="12">
        <v>44758</v>
      </c>
      <c r="B204" s="6">
        <v>16</v>
      </c>
      <c r="C204" s="6">
        <v>197</v>
      </c>
      <c r="D204" s="6">
        <v>7</v>
      </c>
      <c r="E204" s="6" t="s">
        <v>10</v>
      </c>
      <c r="F204" s="6">
        <v>28</v>
      </c>
      <c r="G204" s="6">
        <v>7</v>
      </c>
      <c r="H204" s="6" t="s">
        <v>23</v>
      </c>
      <c r="I204" s="6">
        <v>3</v>
      </c>
      <c r="J204" s="14">
        <v>6.3227825291141748</v>
      </c>
      <c r="K204" s="14">
        <f t="shared" si="76"/>
        <v>3.7936695174685049</v>
      </c>
      <c r="L204" s="14">
        <v>67.090291571123061</v>
      </c>
      <c r="M204" s="14">
        <f t="shared" si="89"/>
        <v>254.51839405144372</v>
      </c>
      <c r="N204" s="16">
        <v>0.68322087394676245</v>
      </c>
      <c r="O204" s="14">
        <f t="shared" si="90"/>
        <v>173.89227961935384</v>
      </c>
      <c r="P204" s="14">
        <f t="shared" si="91"/>
        <v>80.626114432089878</v>
      </c>
      <c r="Q204" s="14">
        <v>37.064277675708553</v>
      </c>
      <c r="R204" s="14">
        <v>12.514656519078121</v>
      </c>
      <c r="S204" s="14">
        <f t="shared" si="78"/>
        <v>12.987012987012987</v>
      </c>
      <c r="T204" s="14">
        <v>36.93196101065481</v>
      </c>
      <c r="U204" s="14">
        <f t="shared" si="92"/>
        <v>178.16287583601058</v>
      </c>
      <c r="V204" s="14">
        <f t="shared" si="93"/>
        <v>46.96320409978614</v>
      </c>
      <c r="W204" s="14">
        <v>38.447196477411552</v>
      </c>
      <c r="X204" s="16">
        <f t="shared" si="94"/>
        <v>0.78921952592832856</v>
      </c>
      <c r="Y204" s="16">
        <f t="shared" si="99"/>
        <v>9.8672201488016351E-2</v>
      </c>
      <c r="Z204" s="16">
        <f t="shared" si="95"/>
        <v>0.97602981992394644</v>
      </c>
      <c r="AA204" s="16">
        <f t="shared" si="96"/>
        <v>8.0779614385079412E-2</v>
      </c>
      <c r="AB204" s="16">
        <f t="shared" si="79"/>
        <v>5.1025832672777389E-2</v>
      </c>
      <c r="AC204" s="14">
        <f t="shared" si="100"/>
        <v>46.96320409978614</v>
      </c>
      <c r="AD204" s="16">
        <f t="shared" si="80"/>
        <v>0.18653453765081962</v>
      </c>
      <c r="AE204" s="16">
        <f t="shared" si="81"/>
        <v>0.14562514357299086</v>
      </c>
      <c r="AF204" s="23" t="str">
        <f t="shared" si="97"/>
        <v/>
      </c>
      <c r="AG204" s="23" t="str">
        <f t="shared" si="77"/>
        <v/>
      </c>
      <c r="AH204" s="23" t="str">
        <f t="shared" si="82"/>
        <v/>
      </c>
      <c r="AI204" s="23" t="str">
        <f t="shared" si="98"/>
        <v/>
      </c>
      <c r="AJ204" s="23" t="str">
        <f t="shared" si="83"/>
        <v/>
      </c>
      <c r="AK204" s="23" t="str">
        <f t="shared" si="84"/>
        <v/>
      </c>
      <c r="AL204" s="23" t="str">
        <f t="shared" si="85"/>
        <v/>
      </c>
      <c r="AM204" s="23" t="str">
        <f t="shared" si="86"/>
        <v/>
      </c>
      <c r="AN204" s="19">
        <f t="shared" si="87"/>
        <v>0</v>
      </c>
      <c r="AO204" s="26">
        <f t="shared" si="88"/>
        <v>80.626114432089878</v>
      </c>
    </row>
    <row r="205" spans="1:41" x14ac:dyDescent="0.2">
      <c r="A205" s="12">
        <v>44759</v>
      </c>
      <c r="B205" s="6">
        <v>17</v>
      </c>
      <c r="C205" s="6">
        <v>198</v>
      </c>
      <c r="D205" s="6">
        <v>1</v>
      </c>
      <c r="E205" s="6" t="s">
        <v>12</v>
      </c>
      <c r="F205" s="6">
        <v>29</v>
      </c>
      <c r="G205" s="6">
        <v>7</v>
      </c>
      <c r="H205" s="6" t="s">
        <v>23</v>
      </c>
      <c r="I205" s="6">
        <v>3</v>
      </c>
      <c r="J205" s="14">
        <v>8.4274552884745901</v>
      </c>
      <c r="K205" s="14">
        <f t="shared" si="76"/>
        <v>5.0564731730847541</v>
      </c>
      <c r="L205" s="14">
        <v>34.86744687562917</v>
      </c>
      <c r="M205" s="14">
        <f t="shared" si="89"/>
        <v>176.30630974057672</v>
      </c>
      <c r="N205" s="16">
        <v>0.20332634631611612</v>
      </c>
      <c r="O205" s="14">
        <f t="shared" si="90"/>
        <v>35.847717792028938</v>
      </c>
      <c r="P205" s="14">
        <f t="shared" si="91"/>
        <v>140.45859194854779</v>
      </c>
      <c r="Q205" s="14">
        <v>20.731341182168475</v>
      </c>
      <c r="R205" s="14">
        <v>4.8744705353488227</v>
      </c>
      <c r="S205" s="14">
        <f t="shared" si="78"/>
        <v>28.571428571428573</v>
      </c>
      <c r="T205" s="14">
        <v>16.21901584037591</v>
      </c>
      <c r="U205" s="14">
        <f t="shared" si="92"/>
        <v>123.41441681840369</v>
      </c>
      <c r="V205" s="14">
        <f t="shared" si="93"/>
        <v>24.407212812940415</v>
      </c>
      <c r="W205" s="14">
        <v>16.78530750870889</v>
      </c>
      <c r="X205" s="16">
        <f t="shared" si="94"/>
        <v>0.84939404351720826</v>
      </c>
      <c r="Y205" s="16">
        <f t="shared" si="99"/>
        <v>0.30124399987675254</v>
      </c>
      <c r="Z205" s="16">
        <f t="shared" si="95"/>
        <v>0.29046620902302306</v>
      </c>
      <c r="AA205" s="16">
        <f t="shared" si="96"/>
        <v>0.20717126579909492</v>
      </c>
      <c r="AB205" s="16">
        <f t="shared" si="79"/>
        <v>0.16205562134145723</v>
      </c>
      <c r="AC205" s="14">
        <f t="shared" si="100"/>
        <v>24.407212812940415</v>
      </c>
      <c r="AD205" s="16">
        <f t="shared" si="80"/>
        <v>0.13980004193412468</v>
      </c>
      <c r="AE205" s="16">
        <f t="shared" si="81"/>
        <v>0.11758706317813183</v>
      </c>
      <c r="AF205" s="23" t="str">
        <f t="shared" si="97"/>
        <v/>
      </c>
      <c r="AG205" s="23">
        <f t="shared" si="77"/>
        <v>1200</v>
      </c>
      <c r="AH205" s="23" t="str">
        <f t="shared" si="82"/>
        <v/>
      </c>
      <c r="AI205" s="23" t="str">
        <f t="shared" si="98"/>
        <v/>
      </c>
      <c r="AJ205" s="23" t="str">
        <f t="shared" si="83"/>
        <v/>
      </c>
      <c r="AK205" s="23" t="str">
        <f t="shared" si="84"/>
        <v/>
      </c>
      <c r="AL205" s="23" t="str">
        <f t="shared" si="85"/>
        <v/>
      </c>
      <c r="AM205" s="23" t="str">
        <f t="shared" si="86"/>
        <v/>
      </c>
      <c r="AN205" s="19">
        <f t="shared" si="87"/>
        <v>1200</v>
      </c>
      <c r="AO205" s="26">
        <f t="shared" si="88"/>
        <v>-1059.5414080514522</v>
      </c>
    </row>
    <row r="206" spans="1:41" x14ac:dyDescent="0.2">
      <c r="A206" s="12">
        <v>44760</v>
      </c>
      <c r="B206" s="6">
        <v>18</v>
      </c>
      <c r="C206" s="6">
        <v>199</v>
      </c>
      <c r="D206" s="6">
        <v>2</v>
      </c>
      <c r="E206" s="6" t="s">
        <v>13</v>
      </c>
      <c r="F206" s="6">
        <v>29</v>
      </c>
      <c r="G206" s="6">
        <v>7</v>
      </c>
      <c r="H206" s="6" t="s">
        <v>23</v>
      </c>
      <c r="I206" s="6">
        <v>3</v>
      </c>
      <c r="J206" s="14">
        <v>15.583323383682744</v>
      </c>
      <c r="K206" s="14">
        <f t="shared" si="76"/>
        <v>9.3499940302096469</v>
      </c>
      <c r="L206" s="14">
        <v>86.54719945780684</v>
      </c>
      <c r="M206" s="14">
        <f t="shared" si="89"/>
        <v>809.21579826185757</v>
      </c>
      <c r="N206" s="16">
        <v>0.45410084492765512</v>
      </c>
      <c r="O206" s="14">
        <f t="shared" si="90"/>
        <v>367.46557771951643</v>
      </c>
      <c r="P206" s="14">
        <f t="shared" si="91"/>
        <v>441.75022054234114</v>
      </c>
      <c r="Q206" s="14">
        <v>43.389149963979442</v>
      </c>
      <c r="R206" s="14">
        <v>8.6458205756597888</v>
      </c>
      <c r="S206" s="14">
        <f t="shared" si="78"/>
        <v>12.987012987012987</v>
      </c>
      <c r="T206" s="14">
        <v>29.565080702216918</v>
      </c>
      <c r="U206" s="14">
        <f t="shared" si="92"/>
        <v>566.45105878330025</v>
      </c>
      <c r="V206" s="14">
        <f t="shared" si="93"/>
        <v>60.583039620464788</v>
      </c>
      <c r="W206" s="14">
        <v>35.038320357245794</v>
      </c>
      <c r="X206" s="16">
        <f t="shared" si="94"/>
        <v>0.71619301764652132</v>
      </c>
      <c r="Y206" s="16">
        <f t="shared" si="99"/>
        <v>0.26685052065505482</v>
      </c>
      <c r="Z206" s="16">
        <f t="shared" si="95"/>
        <v>0.64871549275379303</v>
      </c>
      <c r="AA206" s="16">
        <f t="shared" si="96"/>
        <v>0.15433352451089702</v>
      </c>
      <c r="AB206" s="16">
        <f t="shared" si="79"/>
        <v>1.6048887101448389E-2</v>
      </c>
      <c r="AC206" s="14">
        <f t="shared" si="100"/>
        <v>60.583039620464788</v>
      </c>
      <c r="AD206" s="16">
        <f t="shared" si="80"/>
        <v>9.9897173216734372E-2</v>
      </c>
      <c r="AE206" s="16">
        <f t="shared" si="81"/>
        <v>5.3618762828378401E-2</v>
      </c>
      <c r="AF206" s="23" t="str">
        <f t="shared" si="97"/>
        <v/>
      </c>
      <c r="AG206" s="23" t="str">
        <f t="shared" si="77"/>
        <v/>
      </c>
      <c r="AH206" s="23" t="str">
        <f t="shared" si="82"/>
        <v/>
      </c>
      <c r="AI206" s="23" t="str">
        <f t="shared" si="98"/>
        <v/>
      </c>
      <c r="AJ206" s="23" t="str">
        <f t="shared" si="83"/>
        <v/>
      </c>
      <c r="AK206" s="23" t="str">
        <f t="shared" si="84"/>
        <v/>
      </c>
      <c r="AL206" s="23" t="str">
        <f t="shared" si="85"/>
        <v/>
      </c>
      <c r="AM206" s="23" t="str">
        <f t="shared" si="86"/>
        <v/>
      </c>
      <c r="AN206" s="19">
        <f t="shared" si="87"/>
        <v>0</v>
      </c>
      <c r="AO206" s="26">
        <f t="shared" si="88"/>
        <v>441.75022054234114</v>
      </c>
    </row>
    <row r="207" spans="1:41" x14ac:dyDescent="0.2">
      <c r="A207" s="12">
        <v>44761</v>
      </c>
      <c r="B207" s="6">
        <v>19</v>
      </c>
      <c r="C207" s="6">
        <v>200</v>
      </c>
      <c r="D207" s="6">
        <v>3</v>
      </c>
      <c r="E207" s="6" t="s">
        <v>14</v>
      </c>
      <c r="F207" s="6">
        <v>29</v>
      </c>
      <c r="G207" s="6">
        <v>7</v>
      </c>
      <c r="H207" s="6" t="s">
        <v>23</v>
      </c>
      <c r="I207" s="6">
        <v>3</v>
      </c>
      <c r="J207" s="14">
        <v>10.52229203940707</v>
      </c>
      <c r="K207" s="14">
        <f t="shared" si="76"/>
        <v>6.3133752236442415</v>
      </c>
      <c r="L207" s="14">
        <v>57.319791053693976</v>
      </c>
      <c r="M207" s="14">
        <f t="shared" si="89"/>
        <v>361.8813486628564</v>
      </c>
      <c r="N207" s="16">
        <v>0.59380139088207973</v>
      </c>
      <c r="O207" s="14">
        <f t="shared" si="90"/>
        <v>214.88564817028697</v>
      </c>
      <c r="P207" s="14">
        <f t="shared" si="91"/>
        <v>146.99570049256943</v>
      </c>
      <c r="Q207" s="14">
        <v>44.263693556072916</v>
      </c>
      <c r="R207" s="14">
        <v>7.3620646236668277</v>
      </c>
      <c r="S207" s="14">
        <f t="shared" si="78"/>
        <v>12.987012987012987</v>
      </c>
      <c r="T207" s="14">
        <v>37.776394461920461</v>
      </c>
      <c r="U207" s="14">
        <f t="shared" si="92"/>
        <v>253.31694406399947</v>
      </c>
      <c r="V207" s="14">
        <f t="shared" si="93"/>
        <v>40.123853737585783</v>
      </c>
      <c r="W207" s="14">
        <v>35.073404863478963</v>
      </c>
      <c r="X207" s="16">
        <f t="shared" si="94"/>
        <v>1.1031765255043078</v>
      </c>
      <c r="Y207" s="16">
        <f t="shared" si="99"/>
        <v>0.18000462881259063</v>
      </c>
      <c r="Z207" s="16">
        <f t="shared" si="95"/>
        <v>0.84828770126011388</v>
      </c>
      <c r="AA207" s="16">
        <f t="shared" si="96"/>
        <v>0.15734717968354631</v>
      </c>
      <c r="AB207" s="16">
        <f t="shared" si="79"/>
        <v>3.5887489186717449E-2</v>
      </c>
      <c r="AC207" s="14">
        <f t="shared" si="100"/>
        <v>40.123853737585783</v>
      </c>
      <c r="AD207" s="16">
        <f t="shared" si="80"/>
        <v>0.12843844138877716</v>
      </c>
      <c r="AE207" s="16">
        <f t="shared" si="81"/>
        <v>0.12231548743704611</v>
      </c>
      <c r="AF207" s="23" t="str">
        <f t="shared" si="97"/>
        <v/>
      </c>
      <c r="AG207" s="23" t="str">
        <f t="shared" si="77"/>
        <v/>
      </c>
      <c r="AH207" s="23" t="str">
        <f t="shared" si="82"/>
        <v/>
      </c>
      <c r="AI207" s="23" t="str">
        <f t="shared" si="98"/>
        <v/>
      </c>
      <c r="AJ207" s="23" t="str">
        <f t="shared" si="83"/>
        <v/>
      </c>
      <c r="AK207" s="23" t="str">
        <f t="shared" si="84"/>
        <v/>
      </c>
      <c r="AL207" s="23" t="str">
        <f t="shared" si="85"/>
        <v/>
      </c>
      <c r="AM207" s="23" t="str">
        <f t="shared" si="86"/>
        <v/>
      </c>
      <c r="AN207" s="19">
        <f t="shared" si="87"/>
        <v>0</v>
      </c>
      <c r="AO207" s="26">
        <f t="shared" si="88"/>
        <v>146.99570049256943</v>
      </c>
    </row>
    <row r="208" spans="1:41" x14ac:dyDescent="0.2">
      <c r="A208" s="12">
        <v>44762</v>
      </c>
      <c r="B208" s="6">
        <v>20</v>
      </c>
      <c r="C208" s="6">
        <v>201</v>
      </c>
      <c r="D208" s="6">
        <v>4</v>
      </c>
      <c r="E208" s="6" t="s">
        <v>15</v>
      </c>
      <c r="F208" s="6">
        <v>29</v>
      </c>
      <c r="G208" s="6">
        <v>7</v>
      </c>
      <c r="H208" s="6" t="s">
        <v>23</v>
      </c>
      <c r="I208" s="6">
        <v>3</v>
      </c>
      <c r="J208" s="14">
        <v>5.4253595072461982</v>
      </c>
      <c r="K208" s="14">
        <f t="shared" si="76"/>
        <v>3.255215704347719</v>
      </c>
      <c r="L208" s="14">
        <v>38.68400394817985</v>
      </c>
      <c r="M208" s="14">
        <f t="shared" si="89"/>
        <v>125.92477715916421</v>
      </c>
      <c r="N208" s="16">
        <v>0.54060743990267579</v>
      </c>
      <c r="O208" s="14">
        <f t="shared" si="90"/>
        <v>68.075871400330712</v>
      </c>
      <c r="P208" s="14">
        <f t="shared" si="91"/>
        <v>57.848905758833496</v>
      </c>
      <c r="Q208" s="14">
        <v>48.025289397269859</v>
      </c>
      <c r="R208" s="14">
        <v>13.825217385536115</v>
      </c>
      <c r="S208" s="14">
        <f t="shared" si="78"/>
        <v>12.987012987012987</v>
      </c>
      <c r="T208" s="14">
        <v>34.090087420246135</v>
      </c>
      <c r="U208" s="14">
        <f t="shared" si="92"/>
        <v>88.147344011414944</v>
      </c>
      <c r="V208" s="14">
        <f t="shared" si="93"/>
        <v>27.078802763725893</v>
      </c>
      <c r="W208" s="14">
        <v>29.817405965420061</v>
      </c>
      <c r="X208" s="16">
        <f t="shared" si="94"/>
        <v>1.7735381366861378</v>
      </c>
      <c r="Y208" s="16">
        <f t="shared" si="99"/>
        <v>0.10917165993993135</v>
      </c>
      <c r="Z208" s="16">
        <f t="shared" si="95"/>
        <v>0.77229634271810832</v>
      </c>
      <c r="AA208" s="16">
        <f t="shared" si="96"/>
        <v>0.12021268934047287</v>
      </c>
      <c r="AB208" s="16">
        <f t="shared" si="79"/>
        <v>0.10313310279356611</v>
      </c>
      <c r="AC208" s="14">
        <f t="shared" si="100"/>
        <v>27.078802763725893</v>
      </c>
      <c r="AD208" s="16">
        <f t="shared" si="80"/>
        <v>0.35738848036661458</v>
      </c>
      <c r="AE208" s="16">
        <f t="shared" si="81"/>
        <v>0.38138077732365322</v>
      </c>
      <c r="AF208" s="23" t="str">
        <f t="shared" si="97"/>
        <v/>
      </c>
      <c r="AG208" s="23" t="str">
        <f t="shared" si="77"/>
        <v/>
      </c>
      <c r="AH208" s="23" t="str">
        <f t="shared" si="82"/>
        <v/>
      </c>
      <c r="AI208" s="23" t="str">
        <f t="shared" si="98"/>
        <v/>
      </c>
      <c r="AJ208" s="23">
        <f t="shared" si="83"/>
        <v>100</v>
      </c>
      <c r="AK208" s="23" t="str">
        <f t="shared" si="84"/>
        <v/>
      </c>
      <c r="AL208" s="23" t="str">
        <f t="shared" si="85"/>
        <v/>
      </c>
      <c r="AM208" s="23" t="str">
        <f t="shared" si="86"/>
        <v/>
      </c>
      <c r="AN208" s="19">
        <f t="shared" si="87"/>
        <v>100</v>
      </c>
      <c r="AO208" s="26">
        <f t="shared" si="88"/>
        <v>-42.151094241166504</v>
      </c>
    </row>
    <row r="209" spans="1:41" x14ac:dyDescent="0.2">
      <c r="A209" s="12">
        <v>44763</v>
      </c>
      <c r="B209" s="6">
        <v>21</v>
      </c>
      <c r="C209" s="6">
        <v>202</v>
      </c>
      <c r="D209" s="6">
        <v>5</v>
      </c>
      <c r="E209" s="6" t="s">
        <v>16</v>
      </c>
      <c r="F209" s="6">
        <v>29</v>
      </c>
      <c r="G209" s="6">
        <v>7</v>
      </c>
      <c r="H209" s="6" t="s">
        <v>23</v>
      </c>
      <c r="I209" s="6">
        <v>3</v>
      </c>
      <c r="J209" s="14">
        <v>5.8713189320632626</v>
      </c>
      <c r="K209" s="14">
        <f t="shared" si="76"/>
        <v>3.5227913592379574</v>
      </c>
      <c r="L209" s="14">
        <v>16.977567763669981</v>
      </c>
      <c r="M209" s="14">
        <f t="shared" si="89"/>
        <v>59.808429018733499</v>
      </c>
      <c r="N209" s="16">
        <v>0.38235129175176685</v>
      </c>
      <c r="O209" s="14">
        <f t="shared" si="90"/>
        <v>22.867830092956609</v>
      </c>
      <c r="P209" s="14">
        <f t="shared" si="91"/>
        <v>36.940598925776889</v>
      </c>
      <c r="Q209" s="14">
        <v>23.823850716964934</v>
      </c>
      <c r="R209" s="14">
        <v>6.417822358319901</v>
      </c>
      <c r="S209" s="14">
        <f t="shared" si="78"/>
        <v>12.987012987012987</v>
      </c>
      <c r="T209" s="14">
        <v>29.279940154129328</v>
      </c>
      <c r="U209" s="14">
        <f t="shared" si="92"/>
        <v>41.86590031311345</v>
      </c>
      <c r="V209" s="14">
        <f t="shared" si="93"/>
        <v>11.884297434568987</v>
      </c>
      <c r="W209" s="14">
        <v>35.850555210560415</v>
      </c>
      <c r="X209" s="16">
        <f t="shared" si="94"/>
        <v>2.0046494837520838</v>
      </c>
      <c r="Y209" s="16">
        <f t="shared" si="99"/>
        <v>9.8263230193998699E-2</v>
      </c>
      <c r="Z209" s="16">
        <f t="shared" si="95"/>
        <v>0.54621613107395262</v>
      </c>
      <c r="AA209" s="16">
        <f t="shared" si="96"/>
        <v>0.29642403167989373</v>
      </c>
      <c r="AB209" s="16">
        <f t="shared" si="79"/>
        <v>0.21714352308008505</v>
      </c>
      <c r="AC209" s="14">
        <f t="shared" si="100"/>
        <v>11.884297434568987</v>
      </c>
      <c r="AD209" s="16">
        <f t="shared" si="80"/>
        <v>0.37801777307897388</v>
      </c>
      <c r="AE209" s="16">
        <f t="shared" si="81"/>
        <v>0.39833600560721477</v>
      </c>
      <c r="AF209" s="23" t="str">
        <f t="shared" si="97"/>
        <v/>
      </c>
      <c r="AG209" s="23" t="str">
        <f t="shared" si="77"/>
        <v/>
      </c>
      <c r="AH209" s="23" t="str">
        <f t="shared" si="82"/>
        <v/>
      </c>
      <c r="AI209" s="23" t="str">
        <f t="shared" si="98"/>
        <v/>
      </c>
      <c r="AJ209" s="23" t="str">
        <f t="shared" si="83"/>
        <v/>
      </c>
      <c r="AK209" s="23" t="str">
        <f t="shared" si="84"/>
        <v/>
      </c>
      <c r="AL209" s="23" t="str">
        <f t="shared" si="85"/>
        <v/>
      </c>
      <c r="AM209" s="23" t="str">
        <f t="shared" si="86"/>
        <v/>
      </c>
      <c r="AN209" s="19">
        <f t="shared" si="87"/>
        <v>0</v>
      </c>
      <c r="AO209" s="26">
        <f t="shared" si="88"/>
        <v>36.940598925776889</v>
      </c>
    </row>
    <row r="210" spans="1:41" x14ac:dyDescent="0.2">
      <c r="A210" s="12">
        <v>44764</v>
      </c>
      <c r="B210" s="6">
        <v>22</v>
      </c>
      <c r="C210" s="6">
        <v>203</v>
      </c>
      <c r="D210" s="6">
        <v>6</v>
      </c>
      <c r="E210" s="6" t="s">
        <v>17</v>
      </c>
      <c r="F210" s="6">
        <v>29</v>
      </c>
      <c r="G210" s="6">
        <v>7</v>
      </c>
      <c r="H210" s="6" t="s">
        <v>23</v>
      </c>
      <c r="I210" s="6">
        <v>3</v>
      </c>
      <c r="J210" s="14">
        <v>10.498514289596052</v>
      </c>
      <c r="K210" s="14">
        <f t="shared" si="76"/>
        <v>6.2991085737576311</v>
      </c>
      <c r="L210" s="14">
        <v>87.936793275811937</v>
      </c>
      <c r="M210" s="14">
        <f t="shared" si="89"/>
        <v>553.9234084724194</v>
      </c>
      <c r="N210" s="16">
        <v>0.59290155581145088</v>
      </c>
      <c r="O210" s="14">
        <f t="shared" si="90"/>
        <v>328.42205068367929</v>
      </c>
      <c r="P210" s="14">
        <f t="shared" si="91"/>
        <v>225.50135778874011</v>
      </c>
      <c r="Q210" s="14">
        <v>32.344564663215451</v>
      </c>
      <c r="R210" s="14">
        <v>11.549225554283307</v>
      </c>
      <c r="S210" s="14">
        <f t="shared" si="78"/>
        <v>12.987012987012987</v>
      </c>
      <c r="T210" s="14">
        <v>34.03140197308683</v>
      </c>
      <c r="U210" s="14">
        <f t="shared" si="92"/>
        <v>387.74638593069358</v>
      </c>
      <c r="V210" s="14">
        <f t="shared" si="93"/>
        <v>61.555755293068358</v>
      </c>
      <c r="W210" s="14">
        <v>38.369023820423529</v>
      </c>
      <c r="X210" s="16">
        <f t="shared" si="94"/>
        <v>0.5254515115479006</v>
      </c>
      <c r="Y210" s="16">
        <f t="shared" si="99"/>
        <v>0.16417171839552158</v>
      </c>
      <c r="Z210" s="16">
        <f t="shared" si="95"/>
        <v>0.84700222258778701</v>
      </c>
      <c r="AA210" s="16">
        <f t="shared" si="96"/>
        <v>0.10233175669386935</v>
      </c>
      <c r="AB210" s="16">
        <f t="shared" si="79"/>
        <v>2.3445503093700054E-2</v>
      </c>
      <c r="AC210" s="14">
        <f t="shared" si="100"/>
        <v>61.555755293068358</v>
      </c>
      <c r="AD210" s="16">
        <f t="shared" si="80"/>
        <v>0.13133553230738582</v>
      </c>
      <c r="AE210" s="16">
        <f t="shared" si="81"/>
        <v>5.8391763497436543E-2</v>
      </c>
      <c r="AF210" s="23" t="str">
        <f t="shared" si="97"/>
        <v/>
      </c>
      <c r="AG210" s="23" t="str">
        <f t="shared" si="77"/>
        <v/>
      </c>
      <c r="AH210" s="23" t="str">
        <f t="shared" si="82"/>
        <v/>
      </c>
      <c r="AI210" s="23" t="str">
        <f t="shared" si="98"/>
        <v/>
      </c>
      <c r="AJ210" s="23" t="str">
        <f t="shared" si="83"/>
        <v/>
      </c>
      <c r="AK210" s="23" t="str">
        <f t="shared" si="84"/>
        <v/>
      </c>
      <c r="AL210" s="23" t="str">
        <f t="shared" si="85"/>
        <v/>
      </c>
      <c r="AM210" s="23" t="str">
        <f t="shared" si="86"/>
        <v/>
      </c>
      <c r="AN210" s="19">
        <f t="shared" si="87"/>
        <v>0</v>
      </c>
      <c r="AO210" s="26">
        <f t="shared" si="88"/>
        <v>225.50135778874011</v>
      </c>
    </row>
    <row r="211" spans="1:41" x14ac:dyDescent="0.2">
      <c r="A211" s="12">
        <v>44765</v>
      </c>
      <c r="B211" s="6">
        <v>23</v>
      </c>
      <c r="C211" s="6">
        <v>204</v>
      </c>
      <c r="D211" s="6">
        <v>7</v>
      </c>
      <c r="E211" s="6" t="s">
        <v>10</v>
      </c>
      <c r="F211" s="6">
        <v>29</v>
      </c>
      <c r="G211" s="6">
        <v>7</v>
      </c>
      <c r="H211" s="6" t="s">
        <v>23</v>
      </c>
      <c r="I211" s="6">
        <v>3</v>
      </c>
      <c r="J211" s="14">
        <v>11.021274895707048</v>
      </c>
      <c r="K211" s="14">
        <f t="shared" si="76"/>
        <v>6.6127649374242283</v>
      </c>
      <c r="L211" s="14">
        <v>60.291488524151255</v>
      </c>
      <c r="M211" s="14">
        <f t="shared" si="89"/>
        <v>398.69344133762263</v>
      </c>
      <c r="N211" s="16">
        <v>0.26517918442130756</v>
      </c>
      <c r="O211" s="14">
        <f t="shared" si="90"/>
        <v>105.72520160803519</v>
      </c>
      <c r="P211" s="14">
        <f t="shared" si="91"/>
        <v>292.96823972958742</v>
      </c>
      <c r="Q211" s="14">
        <v>45.110810165468195</v>
      </c>
      <c r="R211" s="14">
        <v>17.190548570845088</v>
      </c>
      <c r="S211" s="14">
        <f t="shared" si="78"/>
        <v>12.987012987012987</v>
      </c>
      <c r="T211" s="14">
        <v>34.569519714880393</v>
      </c>
      <c r="U211" s="14">
        <f t="shared" si="92"/>
        <v>279.0854089363358</v>
      </c>
      <c r="V211" s="14">
        <f t="shared" si="93"/>
        <v>42.204041966905869</v>
      </c>
      <c r="W211" s="14">
        <v>38.16439019720633</v>
      </c>
      <c r="X211" s="16">
        <f t="shared" si="94"/>
        <v>1.0688741661483907</v>
      </c>
      <c r="Y211" s="16">
        <f t="shared" si="99"/>
        <v>0.17327055150767978</v>
      </c>
      <c r="Z211" s="16">
        <f t="shared" si="95"/>
        <v>0.37882740631615369</v>
      </c>
      <c r="AA211" s="16">
        <f t="shared" si="96"/>
        <v>0.15668558340003552</v>
      </c>
      <c r="AB211" s="16">
        <f t="shared" si="79"/>
        <v>3.2573931849596921E-2</v>
      </c>
      <c r="AC211" s="14">
        <f t="shared" si="100"/>
        <v>42.204041966905869</v>
      </c>
      <c r="AD211" s="16">
        <f t="shared" si="80"/>
        <v>0.28512397009337376</v>
      </c>
      <c r="AE211" s="16">
        <f t="shared" si="81"/>
        <v>0.11314660711277499</v>
      </c>
      <c r="AF211" s="23" t="str">
        <f t="shared" si="97"/>
        <v/>
      </c>
      <c r="AG211" s="23" t="str">
        <f t="shared" si="77"/>
        <v/>
      </c>
      <c r="AH211" s="23" t="str">
        <f t="shared" si="82"/>
        <v/>
      </c>
      <c r="AI211" s="23" t="str">
        <f t="shared" si="98"/>
        <v/>
      </c>
      <c r="AJ211" s="23" t="str">
        <f t="shared" si="83"/>
        <v/>
      </c>
      <c r="AK211" s="23" t="str">
        <f t="shared" si="84"/>
        <v/>
      </c>
      <c r="AL211" s="23" t="str">
        <f t="shared" si="85"/>
        <v/>
      </c>
      <c r="AM211" s="23" t="str">
        <f t="shared" si="86"/>
        <v/>
      </c>
      <c r="AN211" s="19">
        <f t="shared" si="87"/>
        <v>0</v>
      </c>
      <c r="AO211" s="26">
        <f t="shared" si="88"/>
        <v>292.96823972958742</v>
      </c>
    </row>
    <row r="212" spans="1:41" x14ac:dyDescent="0.2">
      <c r="A212" s="12">
        <v>44766</v>
      </c>
      <c r="B212" s="6">
        <v>24</v>
      </c>
      <c r="C212" s="6">
        <v>205</v>
      </c>
      <c r="D212" s="6">
        <v>1</v>
      </c>
      <c r="E212" s="6" t="s">
        <v>12</v>
      </c>
      <c r="F212" s="6">
        <v>30</v>
      </c>
      <c r="G212" s="6">
        <v>7</v>
      </c>
      <c r="H212" s="6" t="s">
        <v>23</v>
      </c>
      <c r="I212" s="6">
        <v>3</v>
      </c>
      <c r="J212" s="14">
        <v>3.8299721744527453</v>
      </c>
      <c r="K212" s="14">
        <f t="shared" si="76"/>
        <v>2.2979833046716474</v>
      </c>
      <c r="L212" s="14">
        <v>7.9434389892234991</v>
      </c>
      <c r="M212" s="14">
        <f t="shared" si="89"/>
        <v>18.253890178913426</v>
      </c>
      <c r="N212" s="16">
        <v>0.12906536068197744</v>
      </c>
      <c r="O212" s="14">
        <f t="shared" si="90"/>
        <v>2.3559449197906672</v>
      </c>
      <c r="P212" s="14">
        <f t="shared" si="91"/>
        <v>15.897945259122759</v>
      </c>
      <c r="Q212" s="14">
        <v>25.394185967104484</v>
      </c>
      <c r="R212" s="14">
        <v>5.4379210754844696</v>
      </c>
      <c r="S212" s="14">
        <f t="shared" si="78"/>
        <v>28.571428571428573</v>
      </c>
      <c r="T212" s="14">
        <v>10.71105196855388</v>
      </c>
      <c r="U212" s="14">
        <f t="shared" si="92"/>
        <v>12.777723125239397</v>
      </c>
      <c r="V212" s="14">
        <f t="shared" si="93"/>
        <v>5.5604072924564489</v>
      </c>
      <c r="W212" s="14">
        <v>14.083556106675218</v>
      </c>
      <c r="X212" s="16">
        <f t="shared" si="94"/>
        <v>4.5669650857331296</v>
      </c>
      <c r="Y212" s="16">
        <f t="shared" si="99"/>
        <v>0.16316783114049346</v>
      </c>
      <c r="Z212" s="16">
        <f t="shared" si="95"/>
        <v>0.18437908668853922</v>
      </c>
      <c r="AA212" s="16">
        <f t="shared" si="96"/>
        <v>0.41327607561935553</v>
      </c>
      <c r="AB212" s="16">
        <f t="shared" si="79"/>
        <v>1.5652240860106514</v>
      </c>
      <c r="AC212" s="14">
        <f t="shared" si="100"/>
        <v>5.5604072924564489</v>
      </c>
      <c r="AD212" s="16">
        <f t="shared" si="80"/>
        <v>0.6845802029652206</v>
      </c>
      <c r="AE212" s="16">
        <f t="shared" si="81"/>
        <v>1.3911657032120968</v>
      </c>
      <c r="AF212" s="23" t="str">
        <f t="shared" si="97"/>
        <v/>
      </c>
      <c r="AG212" s="23">
        <f t="shared" si="77"/>
        <v>1200</v>
      </c>
      <c r="AH212" s="23" t="str">
        <f t="shared" si="82"/>
        <v/>
      </c>
      <c r="AI212" s="23" t="str">
        <f t="shared" si="98"/>
        <v/>
      </c>
      <c r="AJ212" s="23" t="str">
        <f t="shared" si="83"/>
        <v/>
      </c>
      <c r="AK212" s="23" t="str">
        <f t="shared" si="84"/>
        <v/>
      </c>
      <c r="AL212" s="23" t="str">
        <f t="shared" si="85"/>
        <v/>
      </c>
      <c r="AM212" s="23" t="str">
        <f t="shared" si="86"/>
        <v/>
      </c>
      <c r="AN212" s="19">
        <f t="shared" si="87"/>
        <v>1200</v>
      </c>
      <c r="AO212" s="26">
        <f t="shared" si="88"/>
        <v>-1184.1020547408773</v>
      </c>
    </row>
    <row r="213" spans="1:41" x14ac:dyDescent="0.2">
      <c r="A213" s="12">
        <v>44767</v>
      </c>
      <c r="B213" s="6">
        <v>25</v>
      </c>
      <c r="C213" s="6">
        <v>206</v>
      </c>
      <c r="D213" s="6">
        <v>2</v>
      </c>
      <c r="E213" s="6" t="s">
        <v>13</v>
      </c>
      <c r="F213" s="6">
        <v>30</v>
      </c>
      <c r="G213" s="6">
        <v>7</v>
      </c>
      <c r="H213" s="6" t="s">
        <v>23</v>
      </c>
      <c r="I213" s="6">
        <v>3</v>
      </c>
      <c r="J213" s="14">
        <v>17.496123344606122</v>
      </c>
      <c r="K213" s="14">
        <f t="shared" si="76"/>
        <v>10.497674006763674</v>
      </c>
      <c r="L213" s="14">
        <v>33.061805862679449</v>
      </c>
      <c r="M213" s="14">
        <f t="shared" si="89"/>
        <v>347.07206002131693</v>
      </c>
      <c r="N213" s="16">
        <v>0.44653971361680589</v>
      </c>
      <c r="O213" s="14">
        <f t="shared" si="90"/>
        <v>154.98145828631374</v>
      </c>
      <c r="P213" s="14">
        <f t="shared" si="91"/>
        <v>192.09060173500319</v>
      </c>
      <c r="Q213" s="14">
        <v>32.300103925177183</v>
      </c>
      <c r="R213" s="14">
        <v>15.711233498366528</v>
      </c>
      <c r="S213" s="14">
        <f t="shared" si="78"/>
        <v>12.987012987012987</v>
      </c>
      <c r="T213" s="14">
        <v>35.055125362498266</v>
      </c>
      <c r="U213" s="14">
        <f t="shared" si="92"/>
        <v>242.95044201492183</v>
      </c>
      <c r="V213" s="14">
        <f t="shared" si="93"/>
        <v>23.143264103875616</v>
      </c>
      <c r="W213" s="14">
        <v>37.248584604093338</v>
      </c>
      <c r="X213" s="16">
        <f t="shared" si="94"/>
        <v>1.3956589606462706</v>
      </c>
      <c r="Y213" s="16">
        <f t="shared" si="99"/>
        <v>0.28182746051537377</v>
      </c>
      <c r="Z213" s="16">
        <f t="shared" si="95"/>
        <v>0.63791387659543708</v>
      </c>
      <c r="AA213" s="16">
        <f t="shared" si="96"/>
        <v>0.4535952214711888</v>
      </c>
      <c r="AB213" s="16">
        <f t="shared" si="79"/>
        <v>3.7418779795225621E-2</v>
      </c>
      <c r="AC213" s="14">
        <f t="shared" si="100"/>
        <v>23.143264103875616</v>
      </c>
      <c r="AD213" s="16">
        <f t="shared" si="80"/>
        <v>0.47520796545785637</v>
      </c>
      <c r="AE213" s="16">
        <f t="shared" si="81"/>
        <v>9.3064546662711287E-2</v>
      </c>
      <c r="AF213" s="23" t="str">
        <f t="shared" si="97"/>
        <v/>
      </c>
      <c r="AG213" s="23" t="str">
        <f t="shared" si="77"/>
        <v/>
      </c>
      <c r="AH213" s="23" t="str">
        <f t="shared" si="82"/>
        <v/>
      </c>
      <c r="AI213" s="23" t="str">
        <f t="shared" si="98"/>
        <v/>
      </c>
      <c r="AJ213" s="23" t="str">
        <f t="shared" si="83"/>
        <v/>
      </c>
      <c r="AK213" s="23" t="str">
        <f t="shared" si="84"/>
        <v/>
      </c>
      <c r="AL213" s="23">
        <f t="shared" si="85"/>
        <v>83</v>
      </c>
      <c r="AM213" s="23" t="str">
        <f t="shared" si="86"/>
        <v/>
      </c>
      <c r="AN213" s="19">
        <f t="shared" si="87"/>
        <v>83</v>
      </c>
      <c r="AO213" s="26">
        <f t="shared" si="88"/>
        <v>109.09060173500319</v>
      </c>
    </row>
    <row r="214" spans="1:41" x14ac:dyDescent="0.2">
      <c r="A214" s="12">
        <v>44768</v>
      </c>
      <c r="B214" s="6">
        <v>26</v>
      </c>
      <c r="C214" s="6">
        <v>207</v>
      </c>
      <c r="D214" s="6">
        <v>3</v>
      </c>
      <c r="E214" s="6" t="s">
        <v>14</v>
      </c>
      <c r="F214" s="6">
        <v>30</v>
      </c>
      <c r="G214" s="6">
        <v>7</v>
      </c>
      <c r="H214" s="6" t="s">
        <v>23</v>
      </c>
      <c r="I214" s="6">
        <v>3</v>
      </c>
      <c r="J214" s="14">
        <v>8.3948283537660373</v>
      </c>
      <c r="K214" s="14">
        <f t="shared" si="76"/>
        <v>5.0368970122596224</v>
      </c>
      <c r="L214" s="14">
        <v>34.181038327715186</v>
      </c>
      <c r="M214" s="14">
        <f t="shared" si="89"/>
        <v>172.16636982880027</v>
      </c>
      <c r="N214" s="16">
        <v>0.41563701070835468</v>
      </c>
      <c r="O214" s="14">
        <f t="shared" si="90"/>
        <v>71.558715300151604</v>
      </c>
      <c r="P214" s="14">
        <f t="shared" si="91"/>
        <v>100.60765452864867</v>
      </c>
      <c r="Q214" s="14">
        <v>46.2336365009009</v>
      </c>
      <c r="R214" s="14">
        <v>13.097253607887586</v>
      </c>
      <c r="S214" s="14">
        <f t="shared" si="78"/>
        <v>12.987012987012987</v>
      </c>
      <c r="T214" s="14">
        <v>38.162135551373218</v>
      </c>
      <c r="U214" s="14">
        <f t="shared" si="92"/>
        <v>120.51645888016019</v>
      </c>
      <c r="V214" s="14">
        <f t="shared" si="93"/>
        <v>23.926726829400632</v>
      </c>
      <c r="W214" s="14">
        <v>34.043307726198663</v>
      </c>
      <c r="X214" s="16">
        <f t="shared" si="94"/>
        <v>1.9323009298576532</v>
      </c>
      <c r="Y214" s="16">
        <f t="shared" si="99"/>
        <v>0.14795557038023613</v>
      </c>
      <c r="Z214" s="16">
        <f t="shared" si="95"/>
        <v>0.59376715815479242</v>
      </c>
      <c r="AA214" s="16">
        <f t="shared" si="96"/>
        <v>0.21051341657273384</v>
      </c>
      <c r="AB214" s="16">
        <f t="shared" si="79"/>
        <v>7.5432925721365229E-2</v>
      </c>
      <c r="AC214" s="14">
        <f t="shared" si="100"/>
        <v>23.926726829400632</v>
      </c>
      <c r="AD214" s="16">
        <f t="shared" si="80"/>
        <v>0.38317307632132031</v>
      </c>
      <c r="AE214" s="16">
        <f t="shared" si="81"/>
        <v>0.26854046203608145</v>
      </c>
      <c r="AF214" s="23" t="str">
        <f t="shared" si="97"/>
        <v/>
      </c>
      <c r="AG214" s="23" t="str">
        <f t="shared" si="77"/>
        <v/>
      </c>
      <c r="AH214" s="23" t="str">
        <f t="shared" si="82"/>
        <v/>
      </c>
      <c r="AI214" s="23" t="str">
        <f t="shared" si="98"/>
        <v/>
      </c>
      <c r="AJ214" s="23" t="str">
        <f t="shared" si="83"/>
        <v/>
      </c>
      <c r="AK214" s="23" t="str">
        <f t="shared" si="84"/>
        <v/>
      </c>
      <c r="AL214" s="23" t="str">
        <f t="shared" si="85"/>
        <v/>
      </c>
      <c r="AM214" s="23" t="str">
        <f t="shared" si="86"/>
        <v/>
      </c>
      <c r="AN214" s="19">
        <f t="shared" si="87"/>
        <v>0</v>
      </c>
      <c r="AO214" s="26">
        <f t="shared" si="88"/>
        <v>100.60765452864867</v>
      </c>
    </row>
    <row r="215" spans="1:41" x14ac:dyDescent="0.2">
      <c r="A215" s="12">
        <v>44769</v>
      </c>
      <c r="B215" s="6">
        <v>27</v>
      </c>
      <c r="C215" s="6">
        <v>208</v>
      </c>
      <c r="D215" s="6">
        <v>4</v>
      </c>
      <c r="E215" s="6" t="s">
        <v>15</v>
      </c>
      <c r="F215" s="6">
        <v>30</v>
      </c>
      <c r="G215" s="6">
        <v>7</v>
      </c>
      <c r="H215" s="6" t="s">
        <v>23</v>
      </c>
      <c r="I215" s="6">
        <v>3</v>
      </c>
      <c r="J215" s="14">
        <v>15.835728881402527</v>
      </c>
      <c r="K215" s="14">
        <f t="shared" si="76"/>
        <v>9.501437328841515</v>
      </c>
      <c r="L215" s="14">
        <v>43.484666065639203</v>
      </c>
      <c r="M215" s="14">
        <f t="shared" si="89"/>
        <v>413.16682938827222</v>
      </c>
      <c r="N215" s="16">
        <v>0.64681674069945094</v>
      </c>
      <c r="O215" s="14">
        <f t="shared" si="90"/>
        <v>267.24322195004834</v>
      </c>
      <c r="P215" s="14">
        <f t="shared" si="91"/>
        <v>145.92360743822388</v>
      </c>
      <c r="Q215" s="14">
        <v>48.31124058079547</v>
      </c>
      <c r="R215" s="14">
        <v>13.62492292613484</v>
      </c>
      <c r="S215" s="14">
        <f t="shared" si="78"/>
        <v>12.987012987012987</v>
      </c>
      <c r="T215" s="14">
        <v>37.436676867818676</v>
      </c>
      <c r="U215" s="14">
        <f t="shared" si="92"/>
        <v>289.21678057179054</v>
      </c>
      <c r="V215" s="14">
        <f t="shared" si="93"/>
        <v>30.43926624594744</v>
      </c>
      <c r="W215" s="14">
        <v>29.262662455998637</v>
      </c>
      <c r="X215" s="16">
        <f t="shared" si="94"/>
        <v>1.587135517342749</v>
      </c>
      <c r="Y215" s="16">
        <f t="shared" si="99"/>
        <v>0.32469490235649384</v>
      </c>
      <c r="Z215" s="16">
        <f t="shared" si="95"/>
        <v>0.92402391528492989</v>
      </c>
      <c r="AA215" s="16">
        <f t="shared" si="96"/>
        <v>0.31214409874635191</v>
      </c>
      <c r="AB215" s="16">
        <f t="shared" si="79"/>
        <v>3.143285487424375E-2</v>
      </c>
      <c r="AC215" s="14">
        <f t="shared" si="100"/>
        <v>30.43926624594744</v>
      </c>
      <c r="AD215" s="16">
        <f t="shared" si="80"/>
        <v>0.31332706811105093</v>
      </c>
      <c r="AE215" s="16">
        <f t="shared" si="81"/>
        <v>0.11692913647575308</v>
      </c>
      <c r="AF215" s="23" t="str">
        <f t="shared" si="97"/>
        <v/>
      </c>
      <c r="AG215" s="23" t="str">
        <f t="shared" si="77"/>
        <v/>
      </c>
      <c r="AH215" s="23" t="str">
        <f t="shared" si="82"/>
        <v/>
      </c>
      <c r="AI215" s="23" t="str">
        <f t="shared" si="98"/>
        <v/>
      </c>
      <c r="AJ215" s="23" t="str">
        <f t="shared" si="83"/>
        <v/>
      </c>
      <c r="AK215" s="23" t="str">
        <f t="shared" si="84"/>
        <v/>
      </c>
      <c r="AL215" s="23" t="str">
        <f t="shared" si="85"/>
        <v/>
      </c>
      <c r="AM215" s="23" t="str">
        <f t="shared" si="86"/>
        <v/>
      </c>
      <c r="AN215" s="19">
        <f t="shared" si="87"/>
        <v>0</v>
      </c>
      <c r="AO215" s="26">
        <f t="shared" si="88"/>
        <v>145.92360743822388</v>
      </c>
    </row>
    <row r="216" spans="1:41" x14ac:dyDescent="0.2">
      <c r="A216" s="12">
        <v>44770</v>
      </c>
      <c r="B216" s="6">
        <v>28</v>
      </c>
      <c r="C216" s="6">
        <v>209</v>
      </c>
      <c r="D216" s="6">
        <v>5</v>
      </c>
      <c r="E216" s="6" t="s">
        <v>16</v>
      </c>
      <c r="F216" s="6">
        <v>30</v>
      </c>
      <c r="G216" s="6">
        <v>7</v>
      </c>
      <c r="H216" s="6" t="s">
        <v>23</v>
      </c>
      <c r="I216" s="6">
        <v>3</v>
      </c>
      <c r="J216" s="14">
        <v>15.464704959922752</v>
      </c>
      <c r="K216" s="14">
        <f t="shared" si="76"/>
        <v>9.278822975953652</v>
      </c>
      <c r="L216" s="14">
        <v>9.4263085613647064</v>
      </c>
      <c r="M216" s="14">
        <f t="shared" si="89"/>
        <v>87.46504845761946</v>
      </c>
      <c r="N216" s="16">
        <v>0.32478555658184988</v>
      </c>
      <c r="O216" s="14">
        <f t="shared" si="90"/>
        <v>28.407384444766407</v>
      </c>
      <c r="P216" s="14">
        <f t="shared" si="91"/>
        <v>59.057664012853053</v>
      </c>
      <c r="Q216" s="14">
        <v>26.921124005648586</v>
      </c>
      <c r="R216" s="14">
        <v>12.761520552378244</v>
      </c>
      <c r="S216" s="14">
        <f t="shared" si="78"/>
        <v>12.987012987012987</v>
      </c>
      <c r="T216" s="14">
        <v>32.071025683988942</v>
      </c>
      <c r="U216" s="14">
        <f t="shared" si="92"/>
        <v>61.225533920333618</v>
      </c>
      <c r="V216" s="14">
        <f t="shared" si="93"/>
        <v>6.5984159929552941</v>
      </c>
      <c r="W216" s="14">
        <v>36.294423658549071</v>
      </c>
      <c r="X216" s="16">
        <f t="shared" si="94"/>
        <v>4.0799373719981498</v>
      </c>
      <c r="Y216" s="16">
        <f t="shared" si="99"/>
        <v>0.25565423116363623</v>
      </c>
      <c r="Z216" s="16">
        <f t="shared" si="95"/>
        <v>0.46397936654549987</v>
      </c>
      <c r="AA216" s="16">
        <f t="shared" si="96"/>
        <v>1.4062197633280558</v>
      </c>
      <c r="AB216" s="16">
        <f t="shared" si="79"/>
        <v>0.14848231626265831</v>
      </c>
      <c r="AC216" s="14">
        <f t="shared" si="100"/>
        <v>6.5984159929552941</v>
      </c>
      <c r="AD216" s="16">
        <f t="shared" si="80"/>
        <v>1.353819522170477</v>
      </c>
      <c r="AE216" s="16">
        <f t="shared" si="81"/>
        <v>0.30779293535397761</v>
      </c>
      <c r="AF216" s="23" t="str">
        <f t="shared" si="97"/>
        <v/>
      </c>
      <c r="AG216" s="23" t="str">
        <f t="shared" si="77"/>
        <v/>
      </c>
      <c r="AH216" s="23" t="str">
        <f t="shared" si="82"/>
        <v/>
      </c>
      <c r="AI216" s="23" t="str">
        <f t="shared" si="98"/>
        <v/>
      </c>
      <c r="AJ216" s="23" t="str">
        <f t="shared" si="83"/>
        <v/>
      </c>
      <c r="AK216" s="23" t="str">
        <f t="shared" si="84"/>
        <v/>
      </c>
      <c r="AL216" s="23" t="str">
        <f t="shared" si="85"/>
        <v/>
      </c>
      <c r="AM216" s="23" t="str">
        <f t="shared" si="86"/>
        <v/>
      </c>
      <c r="AN216" s="19">
        <f t="shared" si="87"/>
        <v>0</v>
      </c>
      <c r="AO216" s="26">
        <f t="shared" si="88"/>
        <v>59.057664012853053</v>
      </c>
    </row>
    <row r="217" spans="1:41" x14ac:dyDescent="0.2">
      <c r="A217" s="12">
        <v>44771</v>
      </c>
      <c r="B217" s="6">
        <v>29</v>
      </c>
      <c r="C217" s="6">
        <v>210</v>
      </c>
      <c r="D217" s="6">
        <v>6</v>
      </c>
      <c r="E217" s="6" t="s">
        <v>17</v>
      </c>
      <c r="F217" s="6">
        <v>30</v>
      </c>
      <c r="G217" s="6">
        <v>7</v>
      </c>
      <c r="H217" s="6" t="s">
        <v>23</v>
      </c>
      <c r="I217" s="6">
        <v>3</v>
      </c>
      <c r="J217" s="14">
        <v>23.978029723760443</v>
      </c>
      <c r="K217" s="14">
        <f t="shared" si="76"/>
        <v>14.386817834256265</v>
      </c>
      <c r="L217" s="14">
        <v>76.470830000041673</v>
      </c>
      <c r="M217" s="14">
        <f t="shared" si="89"/>
        <v>1100.1719008449786</v>
      </c>
      <c r="N217" s="16">
        <v>0.54342554532675991</v>
      </c>
      <c r="O217" s="14">
        <f t="shared" si="90"/>
        <v>597.86151516986058</v>
      </c>
      <c r="P217" s="14">
        <f t="shared" si="91"/>
        <v>502.31038567511803</v>
      </c>
      <c r="Q217" s="14">
        <v>36.719324167263196</v>
      </c>
      <c r="R217" s="14">
        <v>10.868723530601228</v>
      </c>
      <c r="S217" s="14">
        <f t="shared" si="78"/>
        <v>12.987012987012987</v>
      </c>
      <c r="T217" s="14">
        <v>38.922811514978427</v>
      </c>
      <c r="U217" s="14">
        <f t="shared" si="92"/>
        <v>770.12033059148496</v>
      </c>
      <c r="V217" s="14">
        <f t="shared" si="93"/>
        <v>53.529581000029168</v>
      </c>
      <c r="W217" s="14">
        <v>24.978663665273061</v>
      </c>
      <c r="X217" s="16">
        <f t="shared" si="94"/>
        <v>0.68596322783178865</v>
      </c>
      <c r="Y217" s="16">
        <f t="shared" si="99"/>
        <v>0.5759642720302024</v>
      </c>
      <c r="Z217" s="16">
        <f t="shared" si="95"/>
        <v>0.7763222076096572</v>
      </c>
      <c r="AA217" s="16">
        <f t="shared" si="96"/>
        <v>0.26876387906433313</v>
      </c>
      <c r="AB217" s="16">
        <f t="shared" si="79"/>
        <v>1.1804530707463453E-2</v>
      </c>
      <c r="AC217" s="14">
        <f t="shared" si="100"/>
        <v>53.529581000029168</v>
      </c>
      <c r="AD217" s="16">
        <f t="shared" si="80"/>
        <v>0.14212901220760002</v>
      </c>
      <c r="AE217" s="16">
        <f t="shared" si="81"/>
        <v>3.3375988006111773E-2</v>
      </c>
      <c r="AF217" s="23" t="str">
        <f t="shared" si="97"/>
        <v/>
      </c>
      <c r="AG217" s="23" t="str">
        <f t="shared" si="77"/>
        <v/>
      </c>
      <c r="AH217" s="23" t="str">
        <f t="shared" si="82"/>
        <v/>
      </c>
      <c r="AI217" s="23" t="str">
        <f t="shared" si="98"/>
        <v/>
      </c>
      <c r="AJ217" s="23" t="str">
        <f t="shared" si="83"/>
        <v/>
      </c>
      <c r="AK217" s="23" t="str">
        <f t="shared" si="84"/>
        <v/>
      </c>
      <c r="AL217" s="23" t="str">
        <f t="shared" si="85"/>
        <v/>
      </c>
      <c r="AM217" s="23" t="str">
        <f t="shared" si="86"/>
        <v/>
      </c>
      <c r="AN217" s="19">
        <f t="shared" si="87"/>
        <v>0</v>
      </c>
      <c r="AO217" s="26">
        <f t="shared" si="88"/>
        <v>502.31038567511803</v>
      </c>
    </row>
    <row r="218" spans="1:41" x14ac:dyDescent="0.2">
      <c r="A218" s="12">
        <v>44772</v>
      </c>
      <c r="B218" s="6">
        <v>30</v>
      </c>
      <c r="C218" s="6">
        <v>211</v>
      </c>
      <c r="D218" s="6">
        <v>7</v>
      </c>
      <c r="E218" s="6" t="s">
        <v>10</v>
      </c>
      <c r="F218" s="6">
        <v>30</v>
      </c>
      <c r="G218" s="6">
        <v>7</v>
      </c>
      <c r="H218" s="6" t="s">
        <v>23</v>
      </c>
      <c r="I218" s="6">
        <v>3</v>
      </c>
      <c r="J218" s="14">
        <v>12.121640095645345</v>
      </c>
      <c r="K218" s="14">
        <f t="shared" si="76"/>
        <v>7.2729840573872071</v>
      </c>
      <c r="L218" s="14">
        <v>72.31575312042888</v>
      </c>
      <c r="M218" s="14">
        <f t="shared" si="89"/>
        <v>525.9513195428284</v>
      </c>
      <c r="N218" s="16">
        <v>0.54151072152113267</v>
      </c>
      <c r="O218" s="14">
        <f t="shared" si="90"/>
        <v>284.8082785306288</v>
      </c>
      <c r="P218" s="14">
        <f t="shared" si="91"/>
        <v>241.1430410121996</v>
      </c>
      <c r="Q218" s="14">
        <v>43.06603397718407</v>
      </c>
      <c r="R218" s="14">
        <v>16.146687424355523</v>
      </c>
      <c r="S218" s="14">
        <f t="shared" si="78"/>
        <v>12.987012987012987</v>
      </c>
      <c r="T218" s="14">
        <v>32.502576358023234</v>
      </c>
      <c r="U218" s="14">
        <f t="shared" si="92"/>
        <v>368.16592367997987</v>
      </c>
      <c r="V218" s="14">
        <f t="shared" si="93"/>
        <v>50.62102718430021</v>
      </c>
      <c r="W218" s="14">
        <v>38.214518929561137</v>
      </c>
      <c r="X218" s="16">
        <f t="shared" si="94"/>
        <v>0.85075385413239357</v>
      </c>
      <c r="Y218" s="16">
        <f t="shared" si="99"/>
        <v>0.19031991664720746</v>
      </c>
      <c r="Z218" s="16">
        <f t="shared" si="95"/>
        <v>0.77358674503018954</v>
      </c>
      <c r="AA218" s="16">
        <f t="shared" si="96"/>
        <v>0.14367515757647203</v>
      </c>
      <c r="AB218" s="16">
        <f t="shared" si="79"/>
        <v>2.4692424002855744E-2</v>
      </c>
      <c r="AC218" s="14">
        <f t="shared" si="100"/>
        <v>50.62102718430021</v>
      </c>
      <c r="AD218" s="16">
        <f t="shared" si="80"/>
        <v>0.22328036046953864</v>
      </c>
      <c r="AE218" s="16">
        <f t="shared" si="81"/>
        <v>8.188216737362361E-2</v>
      </c>
      <c r="AF218" s="23" t="str">
        <f t="shared" si="97"/>
        <v/>
      </c>
      <c r="AG218" s="23" t="str">
        <f t="shared" si="77"/>
        <v/>
      </c>
      <c r="AH218" s="23" t="str">
        <f t="shared" si="82"/>
        <v/>
      </c>
      <c r="AI218" s="23" t="str">
        <f t="shared" si="98"/>
        <v/>
      </c>
      <c r="AJ218" s="23" t="str">
        <f t="shared" si="83"/>
        <v/>
      </c>
      <c r="AK218" s="23" t="str">
        <f t="shared" si="84"/>
        <v/>
      </c>
      <c r="AL218" s="23" t="str">
        <f t="shared" si="85"/>
        <v/>
      </c>
      <c r="AM218" s="23" t="str">
        <f t="shared" si="86"/>
        <v/>
      </c>
      <c r="AN218" s="19">
        <f t="shared" si="87"/>
        <v>0</v>
      </c>
      <c r="AO218" s="26">
        <f t="shared" si="88"/>
        <v>241.1430410121996</v>
      </c>
    </row>
    <row r="219" spans="1:41" x14ac:dyDescent="0.2">
      <c r="A219" s="12">
        <v>44773</v>
      </c>
      <c r="B219" s="6">
        <v>31</v>
      </c>
      <c r="C219" s="6">
        <v>212</v>
      </c>
      <c r="D219" s="6">
        <v>1</v>
      </c>
      <c r="E219" s="6" t="s">
        <v>12</v>
      </c>
      <c r="F219" s="6">
        <v>31</v>
      </c>
      <c r="G219" s="6">
        <v>7</v>
      </c>
      <c r="H219" s="6" t="s">
        <v>23</v>
      </c>
      <c r="I219" s="6">
        <v>3</v>
      </c>
      <c r="J219" s="14">
        <v>10.485837537433421</v>
      </c>
      <c r="K219" s="14">
        <f t="shared" si="76"/>
        <v>6.2915025224600525</v>
      </c>
      <c r="L219" s="14">
        <v>32.938273977853932</v>
      </c>
      <c r="M219" s="14">
        <f t="shared" si="89"/>
        <v>207.23123381714831</v>
      </c>
      <c r="N219" s="16">
        <v>0.25300156266948265</v>
      </c>
      <c r="O219" s="14">
        <f t="shared" si="90"/>
        <v>52.429825989663456</v>
      </c>
      <c r="P219" s="14">
        <f t="shared" si="91"/>
        <v>154.80140782748487</v>
      </c>
      <c r="Q219" s="14">
        <v>20.453130646458014</v>
      </c>
      <c r="R219" s="14">
        <v>7.4941353667690249</v>
      </c>
      <c r="S219" s="14">
        <f t="shared" si="78"/>
        <v>28.571428571428573</v>
      </c>
      <c r="T219" s="14">
        <v>19.601743626717361</v>
      </c>
      <c r="U219" s="14">
        <f t="shared" si="92"/>
        <v>145.0618636720038</v>
      </c>
      <c r="V219" s="14">
        <f t="shared" si="93"/>
        <v>23.056791784497747</v>
      </c>
      <c r="W219" s="14">
        <v>18.791653103455133</v>
      </c>
      <c r="X219" s="16">
        <f t="shared" si="94"/>
        <v>0.88707617424075857</v>
      </c>
      <c r="Y219" s="16">
        <f t="shared" si="99"/>
        <v>0.3348030366366897</v>
      </c>
      <c r="Z219" s="16">
        <f t="shared" si="95"/>
        <v>0.36143080381354664</v>
      </c>
      <c r="AA219" s="16">
        <f t="shared" si="96"/>
        <v>0.27286981559551354</v>
      </c>
      <c r="AB219" s="16">
        <f t="shared" si="79"/>
        <v>0.13787221185315501</v>
      </c>
      <c r="AC219" s="14">
        <f t="shared" si="100"/>
        <v>23.056791784497747</v>
      </c>
      <c r="AD219" s="16">
        <f t="shared" si="80"/>
        <v>0.22752058507399966</v>
      </c>
      <c r="AE219" s="16">
        <f t="shared" si="81"/>
        <v>9.8697142654205081E-2</v>
      </c>
      <c r="AF219" s="23" t="str">
        <f t="shared" si="97"/>
        <v/>
      </c>
      <c r="AG219" s="23">
        <f t="shared" si="77"/>
        <v>1200</v>
      </c>
      <c r="AH219" s="23" t="str">
        <f t="shared" si="82"/>
        <v/>
      </c>
      <c r="AI219" s="23" t="str">
        <f t="shared" si="98"/>
        <v/>
      </c>
      <c r="AJ219" s="23" t="str">
        <f t="shared" si="83"/>
        <v/>
      </c>
      <c r="AK219" s="23" t="str">
        <f t="shared" si="84"/>
        <v/>
      </c>
      <c r="AL219" s="23" t="str">
        <f t="shared" si="85"/>
        <v/>
      </c>
      <c r="AM219" s="23" t="str">
        <f t="shared" si="86"/>
        <v/>
      </c>
      <c r="AN219" s="19">
        <f t="shared" si="87"/>
        <v>1200</v>
      </c>
      <c r="AO219" s="26">
        <f t="shared" si="88"/>
        <v>-1045.1985921725152</v>
      </c>
    </row>
    <row r="220" spans="1:41" x14ac:dyDescent="0.2">
      <c r="A220" s="12">
        <v>44774</v>
      </c>
      <c r="B220" s="6">
        <v>1</v>
      </c>
      <c r="C220" s="6">
        <v>213</v>
      </c>
      <c r="D220" s="6">
        <v>2</v>
      </c>
      <c r="E220" s="6" t="s">
        <v>13</v>
      </c>
      <c r="F220" s="6">
        <v>31</v>
      </c>
      <c r="G220" s="6">
        <v>8</v>
      </c>
      <c r="H220" s="6" t="s">
        <v>24</v>
      </c>
      <c r="I220" s="6">
        <v>3</v>
      </c>
      <c r="J220" s="14">
        <v>18.338253062438188</v>
      </c>
      <c r="K220" s="14">
        <f t="shared" si="76"/>
        <v>11.002951837462913</v>
      </c>
      <c r="L220" s="14">
        <v>51.311211370577681</v>
      </c>
      <c r="M220" s="14">
        <f t="shared" si="89"/>
        <v>564.5747874323456</v>
      </c>
      <c r="N220" s="16">
        <v>0.30982808391100886</v>
      </c>
      <c r="O220" s="14">
        <f t="shared" si="90"/>
        <v>174.92112461462875</v>
      </c>
      <c r="P220" s="14">
        <f t="shared" si="91"/>
        <v>389.65366281771685</v>
      </c>
      <c r="Q220" s="14">
        <v>31.700991517419823</v>
      </c>
      <c r="R220" s="14">
        <v>9.6026620382365042</v>
      </c>
      <c r="S220" s="14">
        <f t="shared" si="78"/>
        <v>12.987012987012987</v>
      </c>
      <c r="T220" s="14">
        <v>30.814413092499461</v>
      </c>
      <c r="U220" s="14">
        <f t="shared" si="92"/>
        <v>395.20235120264192</v>
      </c>
      <c r="V220" s="14">
        <f t="shared" si="93"/>
        <v>35.917847959404376</v>
      </c>
      <c r="W220" s="14">
        <v>38.509637317329641</v>
      </c>
      <c r="X220" s="16">
        <f t="shared" si="94"/>
        <v>0.88259718547863464</v>
      </c>
      <c r="Y220" s="16">
        <f t="shared" si="99"/>
        <v>0.28571943554792967</v>
      </c>
      <c r="Z220" s="16">
        <f t="shared" si="95"/>
        <v>0.44261154844429834</v>
      </c>
      <c r="AA220" s="16">
        <f t="shared" si="96"/>
        <v>0.30633661153359854</v>
      </c>
      <c r="AB220" s="16">
        <f t="shared" si="79"/>
        <v>2.3003175621917501E-2</v>
      </c>
      <c r="AC220" s="14">
        <f t="shared" si="100"/>
        <v>35.917847959404376</v>
      </c>
      <c r="AD220" s="16">
        <f t="shared" si="80"/>
        <v>0.18714549475132367</v>
      </c>
      <c r="AE220" s="16">
        <f t="shared" si="81"/>
        <v>5.6150207595337634E-2</v>
      </c>
      <c r="AF220" s="23">
        <f t="shared" si="97"/>
        <v>3000</v>
      </c>
      <c r="AG220" s="23" t="str">
        <f t="shared" si="77"/>
        <v/>
      </c>
      <c r="AH220" s="23" t="str">
        <f t="shared" si="82"/>
        <v/>
      </c>
      <c r="AI220" s="23" t="str">
        <f t="shared" si="98"/>
        <v/>
      </c>
      <c r="AJ220" s="23" t="str">
        <f t="shared" si="83"/>
        <v/>
      </c>
      <c r="AK220" s="23" t="str">
        <f t="shared" si="84"/>
        <v/>
      </c>
      <c r="AL220" s="23" t="str">
        <f t="shared" si="85"/>
        <v/>
      </c>
      <c r="AM220" s="23" t="str">
        <f t="shared" si="86"/>
        <v/>
      </c>
      <c r="AN220" s="19">
        <f t="shared" si="87"/>
        <v>3000</v>
      </c>
      <c r="AO220" s="26">
        <f t="shared" si="88"/>
        <v>-2610.3463371822832</v>
      </c>
    </row>
    <row r="221" spans="1:41" x14ac:dyDescent="0.2">
      <c r="A221" s="12">
        <v>44775</v>
      </c>
      <c r="B221" s="6">
        <v>2</v>
      </c>
      <c r="C221" s="6">
        <v>214</v>
      </c>
      <c r="D221" s="6">
        <v>3</v>
      </c>
      <c r="E221" s="6" t="s">
        <v>14</v>
      </c>
      <c r="F221" s="6">
        <v>31</v>
      </c>
      <c r="G221" s="6">
        <v>8</v>
      </c>
      <c r="H221" s="6" t="s">
        <v>24</v>
      </c>
      <c r="I221" s="6">
        <v>3</v>
      </c>
      <c r="J221" s="14">
        <v>22.14873358238183</v>
      </c>
      <c r="K221" s="14">
        <f t="shared" si="76"/>
        <v>13.289240149429098</v>
      </c>
      <c r="L221" s="14">
        <v>46.516147816623501</v>
      </c>
      <c r="M221" s="14">
        <f t="shared" si="89"/>
        <v>618.1642591614517</v>
      </c>
      <c r="N221" s="16">
        <v>0.67738065575985373</v>
      </c>
      <c r="O221" s="14">
        <f t="shared" si="90"/>
        <v>418.73251123808831</v>
      </c>
      <c r="P221" s="14">
        <f t="shared" si="91"/>
        <v>199.43174792336339</v>
      </c>
      <c r="Q221" s="14">
        <v>45.976076587442741</v>
      </c>
      <c r="R221" s="14">
        <v>14.889393668871328</v>
      </c>
      <c r="S221" s="14">
        <f t="shared" si="78"/>
        <v>12.987012987012987</v>
      </c>
      <c r="T221" s="14">
        <v>36.367161583116236</v>
      </c>
      <c r="U221" s="14">
        <f t="shared" si="92"/>
        <v>432.71498141301618</v>
      </c>
      <c r="V221" s="14">
        <f t="shared" si="93"/>
        <v>32.56130347163645</v>
      </c>
      <c r="W221" s="14">
        <v>31.374855833694781</v>
      </c>
      <c r="X221" s="16">
        <f t="shared" si="94"/>
        <v>1.411985138355768</v>
      </c>
      <c r="Y221" s="16">
        <f t="shared" si="99"/>
        <v>0.42356338527481685</v>
      </c>
      <c r="Z221" s="16">
        <f t="shared" si="95"/>
        <v>0.96768665108550533</v>
      </c>
      <c r="AA221" s="16">
        <f t="shared" si="96"/>
        <v>0.40812985760859083</v>
      </c>
      <c r="AB221" s="16">
        <f t="shared" si="79"/>
        <v>2.1009000107236948E-2</v>
      </c>
      <c r="AC221" s="14">
        <f t="shared" si="100"/>
        <v>32.56130347163645</v>
      </c>
      <c r="AD221" s="16">
        <f t="shared" si="80"/>
        <v>0.32009085807295284</v>
      </c>
      <c r="AE221" s="16">
        <f t="shared" si="81"/>
        <v>7.4375177642605733E-2</v>
      </c>
      <c r="AF221" s="23" t="str">
        <f t="shared" si="97"/>
        <v/>
      </c>
      <c r="AG221" s="23" t="str">
        <f t="shared" si="77"/>
        <v/>
      </c>
      <c r="AH221" s="23" t="str">
        <f t="shared" si="82"/>
        <v/>
      </c>
      <c r="AI221" s="23" t="str">
        <f t="shared" si="98"/>
        <v/>
      </c>
      <c r="AJ221" s="23" t="str">
        <f t="shared" si="83"/>
        <v/>
      </c>
      <c r="AK221" s="23" t="str">
        <f t="shared" si="84"/>
        <v/>
      </c>
      <c r="AL221" s="23" t="str">
        <f t="shared" si="85"/>
        <v/>
      </c>
      <c r="AM221" s="23" t="str">
        <f t="shared" si="86"/>
        <v/>
      </c>
      <c r="AN221" s="19">
        <f t="shared" si="87"/>
        <v>0</v>
      </c>
      <c r="AO221" s="26">
        <f t="shared" si="88"/>
        <v>199.43174792336339</v>
      </c>
    </row>
    <row r="222" spans="1:41" x14ac:dyDescent="0.2">
      <c r="A222" s="12">
        <v>44776</v>
      </c>
      <c r="B222" s="6">
        <v>3</v>
      </c>
      <c r="C222" s="6">
        <v>215</v>
      </c>
      <c r="D222" s="6">
        <v>4</v>
      </c>
      <c r="E222" s="6" t="s">
        <v>15</v>
      </c>
      <c r="F222" s="6">
        <v>31</v>
      </c>
      <c r="G222" s="6">
        <v>8</v>
      </c>
      <c r="H222" s="6" t="s">
        <v>24</v>
      </c>
      <c r="I222" s="6">
        <v>3</v>
      </c>
      <c r="J222" s="14">
        <v>9.8246389971594041</v>
      </c>
      <c r="K222" s="14">
        <f t="shared" si="76"/>
        <v>5.8947833982956421</v>
      </c>
      <c r="L222" s="14">
        <v>28.800383854941444</v>
      </c>
      <c r="M222" s="14">
        <f t="shared" si="89"/>
        <v>169.77202461265068</v>
      </c>
      <c r="N222" s="16">
        <v>0.58522251923889079</v>
      </c>
      <c r="O222" s="14">
        <f t="shared" si="90"/>
        <v>99.354411940102409</v>
      </c>
      <c r="P222" s="14">
        <f t="shared" si="91"/>
        <v>70.417612672548273</v>
      </c>
      <c r="Q222" s="14">
        <v>37.374455081232604</v>
      </c>
      <c r="R222" s="14">
        <v>12.983233080688226</v>
      </c>
      <c r="S222" s="14">
        <f t="shared" si="78"/>
        <v>12.987012987012987</v>
      </c>
      <c r="T222" s="14">
        <v>35.927062048336346</v>
      </c>
      <c r="U222" s="14">
        <f t="shared" si="92"/>
        <v>118.84041722885547</v>
      </c>
      <c r="V222" s="14">
        <f t="shared" si="93"/>
        <v>20.16026869845901</v>
      </c>
      <c r="W222" s="14">
        <v>36.736537775815144</v>
      </c>
      <c r="X222" s="16">
        <f t="shared" si="94"/>
        <v>1.8538669122048652</v>
      </c>
      <c r="Y222" s="16">
        <f t="shared" si="99"/>
        <v>0.16046104927656982</v>
      </c>
      <c r="Z222" s="16">
        <f t="shared" si="95"/>
        <v>0.83603217034127264</v>
      </c>
      <c r="AA222" s="16">
        <f t="shared" si="96"/>
        <v>0.29239607301197434</v>
      </c>
      <c r="AB222" s="16">
        <f t="shared" si="79"/>
        <v>7.6496778645621752E-2</v>
      </c>
      <c r="AC222" s="14">
        <f t="shared" si="100"/>
        <v>20.16026869845901</v>
      </c>
      <c r="AD222" s="16">
        <f t="shared" si="80"/>
        <v>0.45080069578519244</v>
      </c>
      <c r="AE222" s="16">
        <f t="shared" si="81"/>
        <v>0.22014495713593335</v>
      </c>
      <c r="AF222" s="23" t="str">
        <f t="shared" si="97"/>
        <v/>
      </c>
      <c r="AG222" s="23" t="str">
        <f t="shared" si="77"/>
        <v/>
      </c>
      <c r="AH222" s="23" t="str">
        <f t="shared" si="82"/>
        <v/>
      </c>
      <c r="AI222" s="23" t="str">
        <f t="shared" si="98"/>
        <v/>
      </c>
      <c r="AJ222" s="23" t="str">
        <f t="shared" si="83"/>
        <v/>
      </c>
      <c r="AK222" s="23" t="str">
        <f t="shared" si="84"/>
        <v/>
      </c>
      <c r="AL222" s="23" t="str">
        <f t="shared" si="85"/>
        <v/>
      </c>
      <c r="AM222" s="23" t="str">
        <f t="shared" si="86"/>
        <v/>
      </c>
      <c r="AN222" s="19">
        <f t="shared" si="87"/>
        <v>0</v>
      </c>
      <c r="AO222" s="26">
        <f t="shared" si="88"/>
        <v>70.417612672548273</v>
      </c>
    </row>
    <row r="223" spans="1:41" x14ac:dyDescent="0.2">
      <c r="A223" s="12">
        <v>44777</v>
      </c>
      <c r="B223" s="6">
        <v>4</v>
      </c>
      <c r="C223" s="6">
        <v>216</v>
      </c>
      <c r="D223" s="6">
        <v>5</v>
      </c>
      <c r="E223" s="6" t="s">
        <v>16</v>
      </c>
      <c r="F223" s="6">
        <v>31</v>
      </c>
      <c r="G223" s="6">
        <v>8</v>
      </c>
      <c r="H223" s="6" t="s">
        <v>24</v>
      </c>
      <c r="I223" s="6">
        <v>3</v>
      </c>
      <c r="J223" s="14">
        <v>11.715389172786519</v>
      </c>
      <c r="K223" s="14">
        <f t="shared" si="76"/>
        <v>7.0292335036719118</v>
      </c>
      <c r="L223" s="14">
        <v>52.160890186076294</v>
      </c>
      <c r="M223" s="14">
        <f t="shared" si="89"/>
        <v>366.65107687731893</v>
      </c>
      <c r="N223" s="16">
        <v>0.4702784239024978</v>
      </c>
      <c r="O223" s="14">
        <f t="shared" si="90"/>
        <v>172.4280905560191</v>
      </c>
      <c r="P223" s="14">
        <f t="shared" si="91"/>
        <v>194.22298632129983</v>
      </c>
      <c r="Q223" s="14">
        <v>29.825924899941462</v>
      </c>
      <c r="R223" s="14">
        <v>10.235846944607561</v>
      </c>
      <c r="S223" s="14">
        <f t="shared" si="78"/>
        <v>12.987012987012987</v>
      </c>
      <c r="T223" s="14">
        <v>41.20412078965412</v>
      </c>
      <c r="U223" s="14">
        <f t="shared" si="92"/>
        <v>256.65575381412322</v>
      </c>
      <c r="V223" s="14">
        <f t="shared" si="93"/>
        <v>36.512623130253402</v>
      </c>
      <c r="W223" s="14">
        <v>35.187339847622127</v>
      </c>
      <c r="X223" s="16">
        <f t="shared" si="94"/>
        <v>0.81686612308137574</v>
      </c>
      <c r="Y223" s="16">
        <f t="shared" si="99"/>
        <v>0.19976598214334551</v>
      </c>
      <c r="Z223" s="16">
        <f t="shared" si="95"/>
        <v>0.67182631986071129</v>
      </c>
      <c r="AA223" s="16">
        <f t="shared" si="96"/>
        <v>0.19251516054040152</v>
      </c>
      <c r="AB223" s="16">
        <f t="shared" si="79"/>
        <v>3.5420632328753338E-2</v>
      </c>
      <c r="AC223" s="14">
        <f t="shared" si="100"/>
        <v>36.512623130253402</v>
      </c>
      <c r="AD223" s="16">
        <f t="shared" si="80"/>
        <v>0.19623604789129717</v>
      </c>
      <c r="AE223" s="16">
        <f t="shared" si="81"/>
        <v>8.1346890220429346E-2</v>
      </c>
      <c r="AF223" s="23" t="str">
        <f t="shared" si="97"/>
        <v/>
      </c>
      <c r="AG223" s="23" t="str">
        <f t="shared" si="77"/>
        <v/>
      </c>
      <c r="AH223" s="23" t="str">
        <f t="shared" si="82"/>
        <v/>
      </c>
      <c r="AI223" s="23" t="str">
        <f t="shared" si="98"/>
        <v/>
      </c>
      <c r="AJ223" s="23" t="str">
        <f t="shared" si="83"/>
        <v/>
      </c>
      <c r="AK223" s="23" t="str">
        <f t="shared" si="84"/>
        <v/>
      </c>
      <c r="AL223" s="23" t="str">
        <f t="shared" si="85"/>
        <v/>
      </c>
      <c r="AM223" s="23" t="str">
        <f t="shared" si="86"/>
        <v/>
      </c>
      <c r="AN223" s="19">
        <f t="shared" si="87"/>
        <v>0</v>
      </c>
      <c r="AO223" s="26">
        <f t="shared" si="88"/>
        <v>194.22298632129983</v>
      </c>
    </row>
    <row r="224" spans="1:41" x14ac:dyDescent="0.2">
      <c r="A224" s="12">
        <v>44778</v>
      </c>
      <c r="B224" s="6">
        <v>5</v>
      </c>
      <c r="C224" s="6">
        <v>217</v>
      </c>
      <c r="D224" s="6">
        <v>6</v>
      </c>
      <c r="E224" s="6" t="s">
        <v>17</v>
      </c>
      <c r="F224" s="6">
        <v>31</v>
      </c>
      <c r="G224" s="6">
        <v>8</v>
      </c>
      <c r="H224" s="6" t="s">
        <v>24</v>
      </c>
      <c r="I224" s="6">
        <v>3</v>
      </c>
      <c r="J224" s="14">
        <v>13.481962337685898</v>
      </c>
      <c r="K224" s="14">
        <f t="shared" si="76"/>
        <v>8.0891774026115382</v>
      </c>
      <c r="L224" s="14">
        <v>56.386972785489363</v>
      </c>
      <c r="M224" s="14">
        <f t="shared" si="89"/>
        <v>456.12422605805233</v>
      </c>
      <c r="N224" s="16">
        <v>0.55636402072327851</v>
      </c>
      <c r="O224" s="14">
        <f t="shared" si="90"/>
        <v>253.77110835895161</v>
      </c>
      <c r="P224" s="14">
        <f t="shared" si="91"/>
        <v>202.35311769910072</v>
      </c>
      <c r="Q224" s="14">
        <v>33.177342153829116</v>
      </c>
      <c r="R224" s="14">
        <v>17.418790333247017</v>
      </c>
      <c r="S224" s="14">
        <f t="shared" si="78"/>
        <v>12.987012987012987</v>
      </c>
      <c r="T224" s="14">
        <v>35.082770250504396</v>
      </c>
      <c r="U224" s="14">
        <f t="shared" si="92"/>
        <v>319.28695824063664</v>
      </c>
      <c r="V224" s="14">
        <f t="shared" si="93"/>
        <v>39.470880949842552</v>
      </c>
      <c r="W224" s="14">
        <v>38.839141765694087</v>
      </c>
      <c r="X224" s="16">
        <f t="shared" si="94"/>
        <v>0.84055236051075422</v>
      </c>
      <c r="Y224" s="16">
        <f t="shared" si="99"/>
        <v>0.20827384527215692</v>
      </c>
      <c r="Z224" s="16">
        <f t="shared" si="95"/>
        <v>0.79480574389039793</v>
      </c>
      <c r="AA224" s="16">
        <f t="shared" si="96"/>
        <v>0.20494038156611769</v>
      </c>
      <c r="AB224" s="16">
        <f t="shared" si="79"/>
        <v>2.8472534991728526E-2</v>
      </c>
      <c r="AC224" s="14">
        <f t="shared" si="100"/>
        <v>39.470880949842552</v>
      </c>
      <c r="AD224" s="16">
        <f t="shared" si="80"/>
        <v>0.30891515314206713</v>
      </c>
      <c r="AE224" s="16">
        <f t="shared" si="81"/>
        <v>7.2737513726373604E-2</v>
      </c>
      <c r="AF224" s="23" t="str">
        <f t="shared" si="97"/>
        <v/>
      </c>
      <c r="AG224" s="23" t="str">
        <f t="shared" si="77"/>
        <v/>
      </c>
      <c r="AH224" s="23" t="str">
        <f t="shared" si="82"/>
        <v/>
      </c>
      <c r="AI224" s="23" t="str">
        <f t="shared" si="98"/>
        <v/>
      </c>
      <c r="AJ224" s="23" t="str">
        <f t="shared" si="83"/>
        <v/>
      </c>
      <c r="AK224" s="23" t="str">
        <f t="shared" si="84"/>
        <v/>
      </c>
      <c r="AL224" s="23" t="str">
        <f t="shared" si="85"/>
        <v/>
      </c>
      <c r="AM224" s="23">
        <f t="shared" si="86"/>
        <v>1000</v>
      </c>
      <c r="AN224" s="19">
        <f t="shared" si="87"/>
        <v>1000</v>
      </c>
      <c r="AO224" s="26">
        <f t="shared" si="88"/>
        <v>-797.64688230089928</v>
      </c>
    </row>
    <row r="225" spans="1:41" x14ac:dyDescent="0.2">
      <c r="A225" s="12">
        <v>44779</v>
      </c>
      <c r="B225" s="6">
        <v>6</v>
      </c>
      <c r="C225" s="6">
        <v>218</v>
      </c>
      <c r="D225" s="6">
        <v>7</v>
      </c>
      <c r="E225" s="6" t="s">
        <v>10</v>
      </c>
      <c r="F225" s="6">
        <v>31</v>
      </c>
      <c r="G225" s="6">
        <v>8</v>
      </c>
      <c r="H225" s="6" t="s">
        <v>24</v>
      </c>
      <c r="I225" s="6">
        <v>3</v>
      </c>
      <c r="J225" s="14">
        <v>17.083694167419125</v>
      </c>
      <c r="K225" s="14">
        <f t="shared" si="76"/>
        <v>10.250216500451476</v>
      </c>
      <c r="L225" s="14">
        <v>28.821709259878027</v>
      </c>
      <c r="M225" s="14">
        <f t="shared" si="89"/>
        <v>295.42875982681687</v>
      </c>
      <c r="N225" s="16">
        <v>0.57828420841345762</v>
      </c>
      <c r="O225" s="14">
        <f t="shared" si="90"/>
        <v>170.84178651902027</v>
      </c>
      <c r="P225" s="14">
        <f t="shared" si="91"/>
        <v>124.5869733077966</v>
      </c>
      <c r="Q225" s="14">
        <v>40.43214315048219</v>
      </c>
      <c r="R225" s="14">
        <v>14.942691662264073</v>
      </c>
      <c r="S225" s="14">
        <f t="shared" si="78"/>
        <v>12.987012987012987</v>
      </c>
      <c r="T225" s="14">
        <v>29.547445060754221</v>
      </c>
      <c r="U225" s="14">
        <f t="shared" si="92"/>
        <v>206.80013187877179</v>
      </c>
      <c r="V225" s="14">
        <f t="shared" si="93"/>
        <v>20.175196481914618</v>
      </c>
      <c r="W225" s="14">
        <v>26.100951685133765</v>
      </c>
      <c r="X225" s="16">
        <f t="shared" si="94"/>
        <v>2.0040520143992766</v>
      </c>
      <c r="Y225" s="16">
        <f t="shared" si="99"/>
        <v>0.39271428199645525</v>
      </c>
      <c r="Z225" s="16">
        <f t="shared" si="95"/>
        <v>0.82612029773351092</v>
      </c>
      <c r="AA225" s="16">
        <f t="shared" si="96"/>
        <v>0.50806030611101805</v>
      </c>
      <c r="AB225" s="16">
        <f t="shared" si="79"/>
        <v>4.3959880529661689E-2</v>
      </c>
      <c r="AC225" s="14">
        <f t="shared" si="100"/>
        <v>20.175196481914618</v>
      </c>
      <c r="AD225" s="16">
        <f t="shared" si="80"/>
        <v>0.51845265412712416</v>
      </c>
      <c r="AE225" s="16">
        <f t="shared" si="81"/>
        <v>0.13685919804890997</v>
      </c>
      <c r="AF225" s="23" t="str">
        <f t="shared" si="97"/>
        <v/>
      </c>
      <c r="AG225" s="23" t="str">
        <f t="shared" si="77"/>
        <v/>
      </c>
      <c r="AH225" s="23" t="str">
        <f t="shared" si="82"/>
        <v/>
      </c>
      <c r="AI225" s="23" t="str">
        <f t="shared" si="98"/>
        <v/>
      </c>
      <c r="AJ225" s="23" t="str">
        <f t="shared" si="83"/>
        <v/>
      </c>
      <c r="AK225" s="23" t="str">
        <f t="shared" si="84"/>
        <v/>
      </c>
      <c r="AL225" s="23" t="str">
        <f t="shared" si="85"/>
        <v/>
      </c>
      <c r="AM225" s="23" t="str">
        <f t="shared" si="86"/>
        <v/>
      </c>
      <c r="AN225" s="19">
        <f t="shared" si="87"/>
        <v>0</v>
      </c>
      <c r="AO225" s="26">
        <f t="shared" si="88"/>
        <v>124.5869733077966</v>
      </c>
    </row>
    <row r="226" spans="1:41" x14ac:dyDescent="0.2">
      <c r="A226" s="12">
        <v>44780</v>
      </c>
      <c r="B226" s="6">
        <v>7</v>
      </c>
      <c r="C226" s="6">
        <v>219</v>
      </c>
      <c r="D226" s="6">
        <v>1</v>
      </c>
      <c r="E226" s="6" t="s">
        <v>12</v>
      </c>
      <c r="F226" s="6">
        <v>32</v>
      </c>
      <c r="G226" s="6">
        <v>8</v>
      </c>
      <c r="H226" s="6" t="s">
        <v>24</v>
      </c>
      <c r="I226" s="6">
        <v>3</v>
      </c>
      <c r="J226" s="14">
        <v>8.414888943181758</v>
      </c>
      <c r="K226" s="14">
        <f t="shared" si="76"/>
        <v>5.0489333659090541</v>
      </c>
      <c r="L226" s="14">
        <v>13.796465562358463</v>
      </c>
      <c r="M226" s="14">
        <f t="shared" si="89"/>
        <v>69.657435309406864</v>
      </c>
      <c r="N226" s="16">
        <v>0.29107514068591472</v>
      </c>
      <c r="O226" s="14">
        <f t="shared" si="90"/>
        <v>20.275547782505608</v>
      </c>
      <c r="P226" s="14">
        <f t="shared" si="91"/>
        <v>49.381887526901252</v>
      </c>
      <c r="Q226" s="14">
        <v>21.11843402414717</v>
      </c>
      <c r="R226" s="14">
        <v>7.412712982632029</v>
      </c>
      <c r="S226" s="14">
        <f t="shared" si="78"/>
        <v>28.571428571428573</v>
      </c>
      <c r="T226" s="14">
        <v>17.771752277596939</v>
      </c>
      <c r="U226" s="14">
        <f t="shared" si="92"/>
        <v>48.760204716584802</v>
      </c>
      <c r="V226" s="14">
        <f t="shared" si="93"/>
        <v>9.6575258936509236</v>
      </c>
      <c r="W226" s="14">
        <v>15.4672508956209</v>
      </c>
      <c r="X226" s="16">
        <f t="shared" si="94"/>
        <v>2.1867333576636754</v>
      </c>
      <c r="Y226" s="16">
        <f t="shared" si="99"/>
        <v>0.32642732700085131</v>
      </c>
      <c r="Z226" s="16">
        <f t="shared" si="95"/>
        <v>0.4158216295513068</v>
      </c>
      <c r="AA226" s="16">
        <f t="shared" si="96"/>
        <v>0.52279780779343676</v>
      </c>
      <c r="AB226" s="16">
        <f t="shared" si="79"/>
        <v>0.41017055027247257</v>
      </c>
      <c r="AC226" s="14">
        <f t="shared" si="100"/>
        <v>9.6575258936509236</v>
      </c>
      <c r="AD226" s="16">
        <f t="shared" si="80"/>
        <v>0.53729072486916341</v>
      </c>
      <c r="AE226" s="16">
        <f t="shared" si="81"/>
        <v>0.3031755896602073</v>
      </c>
      <c r="AF226" s="23" t="str">
        <f t="shared" si="97"/>
        <v/>
      </c>
      <c r="AG226" s="23">
        <f t="shared" si="77"/>
        <v>1200</v>
      </c>
      <c r="AH226" s="23" t="str">
        <f t="shared" si="82"/>
        <v/>
      </c>
      <c r="AI226" s="23" t="str">
        <f t="shared" si="98"/>
        <v/>
      </c>
      <c r="AJ226" s="23" t="str">
        <f t="shared" si="83"/>
        <v/>
      </c>
      <c r="AK226" s="23" t="str">
        <f t="shared" si="84"/>
        <v/>
      </c>
      <c r="AL226" s="23" t="str">
        <f t="shared" si="85"/>
        <v/>
      </c>
      <c r="AM226" s="23" t="str">
        <f t="shared" si="86"/>
        <v/>
      </c>
      <c r="AN226" s="19">
        <f t="shared" si="87"/>
        <v>1200</v>
      </c>
      <c r="AO226" s="26">
        <f t="shared" si="88"/>
        <v>-1150.6181124730988</v>
      </c>
    </row>
    <row r="227" spans="1:41" x14ac:dyDescent="0.2">
      <c r="A227" s="12">
        <v>44781</v>
      </c>
      <c r="B227" s="6">
        <v>8</v>
      </c>
      <c r="C227" s="6">
        <v>220</v>
      </c>
      <c r="D227" s="6">
        <v>2</v>
      </c>
      <c r="E227" s="6" t="s">
        <v>13</v>
      </c>
      <c r="F227" s="6">
        <v>32</v>
      </c>
      <c r="G227" s="6">
        <v>8</v>
      </c>
      <c r="H227" s="6" t="s">
        <v>24</v>
      </c>
      <c r="I227" s="6">
        <v>3</v>
      </c>
      <c r="J227" s="14">
        <v>19.803546483768496</v>
      </c>
      <c r="K227" s="14">
        <f t="shared" si="76"/>
        <v>11.882127890261097</v>
      </c>
      <c r="L227" s="14">
        <v>97.000315044745903</v>
      </c>
      <c r="M227" s="14">
        <f t="shared" si="89"/>
        <v>1152.5701487572885</v>
      </c>
      <c r="N227" s="16">
        <v>0.4778125879058851</v>
      </c>
      <c r="O227" s="14">
        <f t="shared" si="90"/>
        <v>550.71252552079102</v>
      </c>
      <c r="P227" s="14">
        <f t="shared" si="91"/>
        <v>601.85762323649749</v>
      </c>
      <c r="Q227" s="14">
        <v>36.006444976985605</v>
      </c>
      <c r="R227" s="14">
        <v>15.402614950485816</v>
      </c>
      <c r="S227" s="14">
        <f t="shared" si="78"/>
        <v>12.987012987012987</v>
      </c>
      <c r="T227" s="14">
        <v>35.612071361016127</v>
      </c>
      <c r="U227" s="14">
        <f t="shared" si="92"/>
        <v>806.79910413010191</v>
      </c>
      <c r="V227" s="14">
        <f t="shared" si="93"/>
        <v>67.900220531322134</v>
      </c>
      <c r="W227" s="14">
        <v>32.416200280307393</v>
      </c>
      <c r="X227" s="16">
        <f t="shared" si="94"/>
        <v>0.53028465438305838</v>
      </c>
      <c r="Y227" s="16">
        <f t="shared" si="99"/>
        <v>0.36654906458852932</v>
      </c>
      <c r="Z227" s="16">
        <f t="shared" si="95"/>
        <v>0.68258941129412165</v>
      </c>
      <c r="AA227" s="16">
        <f t="shared" si="96"/>
        <v>0.17499395137869858</v>
      </c>
      <c r="AB227" s="16">
        <f t="shared" si="79"/>
        <v>1.1267872069232143E-2</v>
      </c>
      <c r="AC227" s="14">
        <f t="shared" si="100"/>
        <v>67.900220531322134</v>
      </c>
      <c r="AD227" s="16">
        <f t="shared" si="80"/>
        <v>0.15878932912105126</v>
      </c>
      <c r="AE227" s="16">
        <f t="shared" si="81"/>
        <v>3.1240133206476048E-2</v>
      </c>
      <c r="AF227" s="23" t="str">
        <f t="shared" si="97"/>
        <v/>
      </c>
      <c r="AG227" s="23" t="str">
        <f t="shared" si="77"/>
        <v/>
      </c>
      <c r="AH227" s="23" t="str">
        <f t="shared" si="82"/>
        <v/>
      </c>
      <c r="AI227" s="23" t="str">
        <f t="shared" si="98"/>
        <v/>
      </c>
      <c r="AJ227" s="23" t="str">
        <f t="shared" si="83"/>
        <v/>
      </c>
      <c r="AK227" s="23" t="str">
        <f t="shared" si="84"/>
        <v/>
      </c>
      <c r="AL227" s="23" t="str">
        <f t="shared" si="85"/>
        <v/>
      </c>
      <c r="AM227" s="23" t="str">
        <f t="shared" si="86"/>
        <v/>
      </c>
      <c r="AN227" s="19">
        <f t="shared" si="87"/>
        <v>0</v>
      </c>
      <c r="AO227" s="26">
        <f t="shared" si="88"/>
        <v>601.85762323649749</v>
      </c>
    </row>
    <row r="228" spans="1:41" x14ac:dyDescent="0.2">
      <c r="A228" s="12">
        <v>44782</v>
      </c>
      <c r="B228" s="6">
        <v>9</v>
      </c>
      <c r="C228" s="6">
        <v>221</v>
      </c>
      <c r="D228" s="6">
        <v>3</v>
      </c>
      <c r="E228" s="6" t="s">
        <v>14</v>
      </c>
      <c r="F228" s="6">
        <v>32</v>
      </c>
      <c r="G228" s="6">
        <v>8</v>
      </c>
      <c r="H228" s="6" t="s">
        <v>24</v>
      </c>
      <c r="I228" s="6">
        <v>3</v>
      </c>
      <c r="J228" s="14">
        <v>11.522235635658491</v>
      </c>
      <c r="K228" s="14">
        <f t="shared" si="76"/>
        <v>6.913341381395095</v>
      </c>
      <c r="L228" s="14">
        <v>80.23627767532389</v>
      </c>
      <c r="M228" s="14">
        <f t="shared" si="89"/>
        <v>554.70077874192407</v>
      </c>
      <c r="N228" s="16">
        <v>0.85346100197246921</v>
      </c>
      <c r="O228" s="14">
        <f t="shared" si="90"/>
        <v>473.41548241999146</v>
      </c>
      <c r="P228" s="14">
        <f t="shared" si="91"/>
        <v>81.285296321932606</v>
      </c>
      <c r="Q228" s="14">
        <v>28.456079040207172</v>
      </c>
      <c r="R228" s="14">
        <v>12.392882056917324</v>
      </c>
      <c r="S228" s="14">
        <f t="shared" si="78"/>
        <v>12.987012987012987</v>
      </c>
      <c r="T228" s="14">
        <v>34.179350169963307</v>
      </c>
      <c r="U228" s="14">
        <f t="shared" si="92"/>
        <v>388.2905451193468</v>
      </c>
      <c r="V228" s="14">
        <f t="shared" si="93"/>
        <v>56.165394372726716</v>
      </c>
      <c r="W228" s="14">
        <v>33.761954478317143</v>
      </c>
      <c r="X228" s="16">
        <f t="shared" si="94"/>
        <v>0.50664789872863647</v>
      </c>
      <c r="Y228" s="16">
        <f t="shared" si="99"/>
        <v>0.2047672147012411</v>
      </c>
      <c r="Z228" s="16">
        <f t="shared" si="95"/>
        <v>1.2192300028178134</v>
      </c>
      <c r="AA228" s="16">
        <f t="shared" si="96"/>
        <v>0.1230889849275613</v>
      </c>
      <c r="AB228" s="16">
        <f t="shared" si="79"/>
        <v>2.3412646033178237E-2</v>
      </c>
      <c r="AC228" s="14">
        <f t="shared" si="100"/>
        <v>56.165394372726716</v>
      </c>
      <c r="AD228" s="16">
        <f t="shared" si="80"/>
        <v>0.15445484780668819</v>
      </c>
      <c r="AE228" s="16">
        <f t="shared" si="81"/>
        <v>5.1299872166659488E-2</v>
      </c>
      <c r="AF228" s="23" t="str">
        <f t="shared" si="97"/>
        <v/>
      </c>
      <c r="AG228" s="23" t="str">
        <f t="shared" si="77"/>
        <v/>
      </c>
      <c r="AH228" s="23" t="str">
        <f t="shared" si="82"/>
        <v/>
      </c>
      <c r="AI228" s="23" t="str">
        <f t="shared" si="98"/>
        <v/>
      </c>
      <c r="AJ228" s="23" t="str">
        <f t="shared" si="83"/>
        <v/>
      </c>
      <c r="AK228" s="23" t="str">
        <f t="shared" si="84"/>
        <v/>
      </c>
      <c r="AL228" s="23" t="str">
        <f t="shared" si="85"/>
        <v/>
      </c>
      <c r="AM228" s="23" t="str">
        <f t="shared" si="86"/>
        <v/>
      </c>
      <c r="AN228" s="19">
        <f t="shared" si="87"/>
        <v>0</v>
      </c>
      <c r="AO228" s="26">
        <f t="shared" si="88"/>
        <v>81.285296321932606</v>
      </c>
    </row>
    <row r="229" spans="1:41" x14ac:dyDescent="0.2">
      <c r="A229" s="12">
        <v>44783</v>
      </c>
      <c r="B229" s="6">
        <v>10</v>
      </c>
      <c r="C229" s="6">
        <v>222</v>
      </c>
      <c r="D229" s="6">
        <v>4</v>
      </c>
      <c r="E229" s="6" t="s">
        <v>15</v>
      </c>
      <c r="F229" s="6">
        <v>32</v>
      </c>
      <c r="G229" s="6">
        <v>8</v>
      </c>
      <c r="H229" s="6" t="s">
        <v>24</v>
      </c>
      <c r="I229" s="6">
        <v>3</v>
      </c>
      <c r="J229" s="14">
        <v>22.741859876817006</v>
      </c>
      <c r="K229" s="14">
        <f t="shared" si="76"/>
        <v>13.645115926090204</v>
      </c>
      <c r="L229" s="14">
        <v>20.522464338962699</v>
      </c>
      <c r="M229" s="14">
        <f t="shared" si="89"/>
        <v>280.03140499419823</v>
      </c>
      <c r="N229" s="16">
        <v>0.47096259598782891</v>
      </c>
      <c r="O229" s="14">
        <f t="shared" si="90"/>
        <v>131.88431745418669</v>
      </c>
      <c r="P229" s="14">
        <f t="shared" si="91"/>
        <v>148.14708754001154</v>
      </c>
      <c r="Q229" s="14">
        <v>39.805902031776981</v>
      </c>
      <c r="R229" s="14">
        <v>10.905241503259163</v>
      </c>
      <c r="S229" s="14">
        <f t="shared" si="78"/>
        <v>12.987012987012987</v>
      </c>
      <c r="T229" s="14">
        <v>33.780813557828253</v>
      </c>
      <c r="U229" s="14">
        <f t="shared" si="92"/>
        <v>196.02198349593874</v>
      </c>
      <c r="V229" s="14">
        <f t="shared" si="93"/>
        <v>14.36572503727389</v>
      </c>
      <c r="W229" s="14">
        <v>30.888817866890633</v>
      </c>
      <c r="X229" s="16">
        <f t="shared" si="94"/>
        <v>2.7708940501433084</v>
      </c>
      <c r="Y229" s="16">
        <f t="shared" si="99"/>
        <v>0.44174937302201667</v>
      </c>
      <c r="Z229" s="16">
        <f t="shared" si="95"/>
        <v>0.67280370855404137</v>
      </c>
      <c r="AA229" s="16">
        <f t="shared" si="96"/>
        <v>0.9498383054587245</v>
      </c>
      <c r="AB229" s="16">
        <f t="shared" si="79"/>
        <v>4.6376987564241433E-2</v>
      </c>
      <c r="AC229" s="14">
        <f t="shared" si="100"/>
        <v>14.36572503727389</v>
      </c>
      <c r="AD229" s="16">
        <f t="shared" si="80"/>
        <v>0.53138070180758634</v>
      </c>
      <c r="AE229" s="16">
        <f t="shared" si="81"/>
        <v>0.1421479924103573</v>
      </c>
      <c r="AF229" s="23" t="str">
        <f t="shared" si="97"/>
        <v/>
      </c>
      <c r="AG229" s="23" t="str">
        <f t="shared" si="77"/>
        <v/>
      </c>
      <c r="AH229" s="23" t="str">
        <f t="shared" si="82"/>
        <v/>
      </c>
      <c r="AI229" s="23">
        <f t="shared" si="98"/>
        <v>300</v>
      </c>
      <c r="AJ229" s="23" t="str">
        <f t="shared" si="83"/>
        <v/>
      </c>
      <c r="AK229" s="23" t="str">
        <f t="shared" si="84"/>
        <v/>
      </c>
      <c r="AL229" s="23" t="str">
        <f t="shared" si="85"/>
        <v/>
      </c>
      <c r="AM229" s="23" t="str">
        <f t="shared" si="86"/>
        <v/>
      </c>
      <c r="AN229" s="19">
        <f t="shared" si="87"/>
        <v>300</v>
      </c>
      <c r="AO229" s="26">
        <f t="shared" si="88"/>
        <v>-151.85291245998846</v>
      </c>
    </row>
    <row r="230" spans="1:41" x14ac:dyDescent="0.2">
      <c r="A230" s="12">
        <v>44784</v>
      </c>
      <c r="B230" s="6">
        <v>11</v>
      </c>
      <c r="C230" s="6">
        <v>223</v>
      </c>
      <c r="D230" s="6">
        <v>5</v>
      </c>
      <c r="E230" s="6" t="s">
        <v>16</v>
      </c>
      <c r="F230" s="6">
        <v>32</v>
      </c>
      <c r="G230" s="6">
        <v>8</v>
      </c>
      <c r="H230" s="6" t="s">
        <v>24</v>
      </c>
      <c r="I230" s="6">
        <v>3</v>
      </c>
      <c r="J230" s="14">
        <v>23.141486333986002</v>
      </c>
      <c r="K230" s="14">
        <f t="shared" si="76"/>
        <v>13.884891800391602</v>
      </c>
      <c r="L230" s="14">
        <v>80.903409137797638</v>
      </c>
      <c r="M230" s="14">
        <f t="shared" si="89"/>
        <v>1123.3350821611334</v>
      </c>
      <c r="N230" s="16">
        <v>0.64985623339526888</v>
      </c>
      <c r="O230" s="14">
        <f t="shared" si="90"/>
        <v>730.00630533399908</v>
      </c>
      <c r="P230" s="14">
        <f t="shared" si="91"/>
        <v>393.32877682713433</v>
      </c>
      <c r="Q230" s="14">
        <v>35.404325692577807</v>
      </c>
      <c r="R230" s="14">
        <v>13.23894218040285</v>
      </c>
      <c r="S230" s="14">
        <f t="shared" si="78"/>
        <v>12.987012987012987</v>
      </c>
      <c r="T230" s="14">
        <v>28.901262542953365</v>
      </c>
      <c r="U230" s="14">
        <f t="shared" si="92"/>
        <v>786.33455751279337</v>
      </c>
      <c r="V230" s="14">
        <f t="shared" si="93"/>
        <v>56.632386396458344</v>
      </c>
      <c r="W230" s="14">
        <v>33.379101708997894</v>
      </c>
      <c r="X230" s="16">
        <f t="shared" si="94"/>
        <v>0.62516040635702241</v>
      </c>
      <c r="Y230" s="16">
        <f t="shared" si="99"/>
        <v>0.41597559818839275</v>
      </c>
      <c r="Z230" s="16">
        <f t="shared" si="95"/>
        <v>0.92836604770752706</v>
      </c>
      <c r="AA230" s="16">
        <f t="shared" si="96"/>
        <v>0.24517582047822603</v>
      </c>
      <c r="AB230" s="16">
        <f t="shared" si="79"/>
        <v>1.1561121158993683E-2</v>
      </c>
      <c r="AC230" s="14">
        <f t="shared" si="100"/>
        <v>56.632386396458344</v>
      </c>
      <c r="AD230" s="16">
        <f t="shared" si="80"/>
        <v>0.16363886666201916</v>
      </c>
      <c r="AE230" s="16">
        <f t="shared" si="81"/>
        <v>3.1517154814096102E-2</v>
      </c>
      <c r="AF230" s="23" t="str">
        <f t="shared" si="97"/>
        <v/>
      </c>
      <c r="AG230" s="23" t="str">
        <f t="shared" si="77"/>
        <v/>
      </c>
      <c r="AH230" s="23" t="str">
        <f t="shared" si="82"/>
        <v/>
      </c>
      <c r="AI230" s="23" t="str">
        <f t="shared" si="98"/>
        <v/>
      </c>
      <c r="AJ230" s="23" t="str">
        <f t="shared" si="83"/>
        <v/>
      </c>
      <c r="AK230" s="23" t="str">
        <f t="shared" si="84"/>
        <v/>
      </c>
      <c r="AL230" s="23" t="str">
        <f t="shared" si="85"/>
        <v/>
      </c>
      <c r="AM230" s="23" t="str">
        <f t="shared" si="86"/>
        <v/>
      </c>
      <c r="AN230" s="19">
        <f t="shared" si="87"/>
        <v>0</v>
      </c>
      <c r="AO230" s="26">
        <f t="shared" si="88"/>
        <v>393.32877682713433</v>
      </c>
    </row>
    <row r="231" spans="1:41" x14ac:dyDescent="0.2">
      <c r="A231" s="12">
        <v>44785</v>
      </c>
      <c r="B231" s="6">
        <v>12</v>
      </c>
      <c r="C231" s="6">
        <v>224</v>
      </c>
      <c r="D231" s="6">
        <v>6</v>
      </c>
      <c r="E231" s="6" t="s">
        <v>17</v>
      </c>
      <c r="F231" s="6">
        <v>32</v>
      </c>
      <c r="G231" s="6">
        <v>8</v>
      </c>
      <c r="H231" s="6" t="s">
        <v>24</v>
      </c>
      <c r="I231" s="6">
        <v>3</v>
      </c>
      <c r="J231" s="14">
        <v>27.165190760767242</v>
      </c>
      <c r="K231" s="14">
        <f t="shared" si="76"/>
        <v>16.299114456460345</v>
      </c>
      <c r="L231" s="14">
        <v>44.617619759526256</v>
      </c>
      <c r="M231" s="14">
        <f t="shared" si="89"/>
        <v>727.22769123534511</v>
      </c>
      <c r="N231" s="16">
        <v>0.67488450335316041</v>
      </c>
      <c r="O231" s="14">
        <f t="shared" si="90"/>
        <v>490.79469922403138</v>
      </c>
      <c r="P231" s="14">
        <f t="shared" si="91"/>
        <v>236.43299201131373</v>
      </c>
      <c r="Q231" s="14">
        <v>24.879844731630037</v>
      </c>
      <c r="R231" s="14">
        <v>15.036510146095058</v>
      </c>
      <c r="S231" s="14">
        <f t="shared" si="78"/>
        <v>12.987012987012987</v>
      </c>
      <c r="T231" s="14">
        <v>35.763779266867822</v>
      </c>
      <c r="U231" s="14">
        <f t="shared" si="92"/>
        <v>509.05938386474156</v>
      </c>
      <c r="V231" s="14">
        <f t="shared" si="93"/>
        <v>31.232333831668377</v>
      </c>
      <c r="W231" s="14">
        <v>36.207395327103804</v>
      </c>
      <c r="X231" s="16">
        <f t="shared" si="94"/>
        <v>0.79660536627598533</v>
      </c>
      <c r="Y231" s="16">
        <f t="shared" si="99"/>
        <v>0.45015981705426078</v>
      </c>
      <c r="Z231" s="16">
        <f t="shared" si="95"/>
        <v>0.96412071907594343</v>
      </c>
      <c r="AA231" s="16">
        <f t="shared" si="96"/>
        <v>0.52186668291607696</v>
      </c>
      <c r="AB231" s="16">
        <f t="shared" si="79"/>
        <v>1.7858248721183714E-2</v>
      </c>
      <c r="AC231" s="14">
        <f t="shared" si="100"/>
        <v>31.232333831668377</v>
      </c>
      <c r="AD231" s="16">
        <f t="shared" si="80"/>
        <v>0.33700834394879681</v>
      </c>
      <c r="AE231" s="16">
        <f t="shared" si="81"/>
        <v>3.4211905062864874E-2</v>
      </c>
      <c r="AF231" s="23" t="str">
        <f t="shared" si="97"/>
        <v/>
      </c>
      <c r="AG231" s="23" t="str">
        <f t="shared" si="77"/>
        <v/>
      </c>
      <c r="AH231" s="23" t="str">
        <f t="shared" si="82"/>
        <v/>
      </c>
      <c r="AI231" s="23" t="str">
        <f t="shared" si="98"/>
        <v/>
      </c>
      <c r="AJ231" s="23" t="str">
        <f t="shared" si="83"/>
        <v/>
      </c>
      <c r="AK231" s="23">
        <f t="shared" si="84"/>
        <v>480</v>
      </c>
      <c r="AL231" s="23" t="str">
        <f t="shared" si="85"/>
        <v/>
      </c>
      <c r="AM231" s="23" t="str">
        <f t="shared" si="86"/>
        <v/>
      </c>
      <c r="AN231" s="19">
        <f t="shared" si="87"/>
        <v>480</v>
      </c>
      <c r="AO231" s="26">
        <f t="shared" si="88"/>
        <v>-243.56700798868627</v>
      </c>
    </row>
    <row r="232" spans="1:41" x14ac:dyDescent="0.2">
      <c r="A232" s="12">
        <v>44786</v>
      </c>
      <c r="B232" s="6">
        <v>13</v>
      </c>
      <c r="C232" s="6">
        <v>225</v>
      </c>
      <c r="D232" s="6">
        <v>7</v>
      </c>
      <c r="E232" s="6" t="s">
        <v>10</v>
      </c>
      <c r="F232" s="6">
        <v>32</v>
      </c>
      <c r="G232" s="6">
        <v>8</v>
      </c>
      <c r="H232" s="6" t="s">
        <v>24</v>
      </c>
      <c r="I232" s="6">
        <v>3</v>
      </c>
      <c r="J232" s="14">
        <v>24.93210507095802</v>
      </c>
      <c r="K232" s="14">
        <f t="shared" si="76"/>
        <v>14.959263042574811</v>
      </c>
      <c r="L232" s="14">
        <v>28.983291128010173</v>
      </c>
      <c r="M232" s="14">
        <f t="shared" si="89"/>
        <v>433.56867582342898</v>
      </c>
      <c r="N232" s="16">
        <v>0.71793203355551427</v>
      </c>
      <c r="O232" s="14">
        <f t="shared" si="90"/>
        <v>311.27284111988592</v>
      </c>
      <c r="P232" s="14">
        <f t="shared" si="91"/>
        <v>122.29583470354305</v>
      </c>
      <c r="Q232" s="14">
        <v>33.114878525368006</v>
      </c>
      <c r="R232" s="14">
        <v>11.4798880212619</v>
      </c>
      <c r="S232" s="14">
        <f t="shared" si="78"/>
        <v>12.987012987012987</v>
      </c>
      <c r="T232" s="14">
        <v>42.949873999257591</v>
      </c>
      <c r="U232" s="14">
        <f t="shared" si="92"/>
        <v>303.49807307640026</v>
      </c>
      <c r="V232" s="14">
        <f t="shared" si="93"/>
        <v>20.28830378960712</v>
      </c>
      <c r="W232" s="14">
        <v>35.642950730442337</v>
      </c>
      <c r="X232" s="16">
        <f t="shared" si="94"/>
        <v>1.6322152343919172</v>
      </c>
      <c r="Y232" s="16">
        <f t="shared" si="99"/>
        <v>0.41969766071579012</v>
      </c>
      <c r="Z232" s="16">
        <f t="shared" si="95"/>
        <v>1.025617190793592</v>
      </c>
      <c r="AA232" s="16">
        <f t="shared" si="96"/>
        <v>0.73733433793700576</v>
      </c>
      <c r="AB232" s="16">
        <f t="shared" si="79"/>
        <v>2.9953762140099701E-2</v>
      </c>
      <c r="AC232" s="14">
        <f t="shared" si="100"/>
        <v>20.28830378960712</v>
      </c>
      <c r="AD232" s="16">
        <f t="shared" si="80"/>
        <v>0.3960864199499915</v>
      </c>
      <c r="AE232" s="16">
        <f t="shared" si="81"/>
        <v>7.6377469987832E-2</v>
      </c>
      <c r="AF232" s="23" t="str">
        <f t="shared" si="97"/>
        <v/>
      </c>
      <c r="AG232" s="23" t="str">
        <f t="shared" si="77"/>
        <v/>
      </c>
      <c r="AH232" s="23" t="str">
        <f t="shared" si="82"/>
        <v/>
      </c>
      <c r="AI232" s="23" t="str">
        <f t="shared" si="98"/>
        <v/>
      </c>
      <c r="AJ232" s="23" t="str">
        <f t="shared" si="83"/>
        <v/>
      </c>
      <c r="AK232" s="23" t="str">
        <f t="shared" si="84"/>
        <v/>
      </c>
      <c r="AL232" s="23" t="str">
        <f t="shared" si="85"/>
        <v/>
      </c>
      <c r="AM232" s="23" t="str">
        <f t="shared" si="86"/>
        <v/>
      </c>
      <c r="AN232" s="19">
        <f t="shared" si="87"/>
        <v>0</v>
      </c>
      <c r="AO232" s="26">
        <f t="shared" si="88"/>
        <v>122.29583470354305</v>
      </c>
    </row>
    <row r="233" spans="1:41" x14ac:dyDescent="0.2">
      <c r="A233" s="12">
        <v>44787</v>
      </c>
      <c r="B233" s="6">
        <v>14</v>
      </c>
      <c r="C233" s="6">
        <v>226</v>
      </c>
      <c r="D233" s="6">
        <v>1</v>
      </c>
      <c r="E233" s="6" t="s">
        <v>12</v>
      </c>
      <c r="F233" s="6">
        <v>33</v>
      </c>
      <c r="G233" s="6">
        <v>8</v>
      </c>
      <c r="H233" s="6" t="s">
        <v>24</v>
      </c>
      <c r="I233" s="6">
        <v>3</v>
      </c>
      <c r="J233" s="14">
        <v>11.479351545542597</v>
      </c>
      <c r="K233" s="14">
        <f t="shared" si="76"/>
        <v>6.8876109273255581</v>
      </c>
      <c r="L233" s="14">
        <v>22.500010418516698</v>
      </c>
      <c r="M233" s="14">
        <f t="shared" si="89"/>
        <v>154.97131762351452</v>
      </c>
      <c r="N233" s="16">
        <v>0.3044037828339281</v>
      </c>
      <c r="O233" s="14">
        <f t="shared" si="90"/>
        <v>47.173855315356008</v>
      </c>
      <c r="P233" s="14">
        <f t="shared" si="91"/>
        <v>107.79746230815852</v>
      </c>
      <c r="Q233" s="14">
        <v>22.833841992448122</v>
      </c>
      <c r="R233" s="14">
        <v>5.0111047406191265</v>
      </c>
      <c r="S233" s="14">
        <f t="shared" si="78"/>
        <v>28.571428571428573</v>
      </c>
      <c r="T233" s="14">
        <v>16.08245988814604</v>
      </c>
      <c r="U233" s="14">
        <f t="shared" si="92"/>
        <v>108.47992233646016</v>
      </c>
      <c r="V233" s="14">
        <f t="shared" si="93"/>
        <v>15.750007292961689</v>
      </c>
      <c r="W233" s="14">
        <v>14.799070270367945</v>
      </c>
      <c r="X233" s="16">
        <f t="shared" si="94"/>
        <v>1.4497670742445963</v>
      </c>
      <c r="Y233" s="16">
        <f t="shared" si="99"/>
        <v>0.4654083534637013</v>
      </c>
      <c r="Z233" s="16">
        <f t="shared" si="95"/>
        <v>0.43486254690561155</v>
      </c>
      <c r="AA233" s="16">
        <f t="shared" si="96"/>
        <v>0.43730842781282209</v>
      </c>
      <c r="AB233" s="16">
        <f t="shared" si="79"/>
        <v>0.18436591370307415</v>
      </c>
      <c r="AC233" s="14">
        <f t="shared" si="100"/>
        <v>15.750007292961689</v>
      </c>
      <c r="AD233" s="16">
        <f t="shared" si="80"/>
        <v>0.22271566312232316</v>
      </c>
      <c r="AE233" s="16">
        <f t="shared" si="81"/>
        <v>0.14734237498012623</v>
      </c>
      <c r="AF233" s="23" t="str">
        <f t="shared" si="97"/>
        <v/>
      </c>
      <c r="AG233" s="23">
        <f t="shared" si="77"/>
        <v>1200</v>
      </c>
      <c r="AH233" s="23" t="str">
        <f t="shared" si="82"/>
        <v/>
      </c>
      <c r="AI233" s="23" t="str">
        <f t="shared" si="98"/>
        <v/>
      </c>
      <c r="AJ233" s="23" t="str">
        <f t="shared" si="83"/>
        <v/>
      </c>
      <c r="AK233" s="23" t="str">
        <f t="shared" si="84"/>
        <v/>
      </c>
      <c r="AL233" s="23" t="str">
        <f t="shared" si="85"/>
        <v/>
      </c>
      <c r="AM233" s="23" t="str">
        <f t="shared" si="86"/>
        <v/>
      </c>
      <c r="AN233" s="19">
        <f t="shared" si="87"/>
        <v>1200</v>
      </c>
      <c r="AO233" s="26">
        <f t="shared" si="88"/>
        <v>-1092.2025376918414</v>
      </c>
    </row>
    <row r="234" spans="1:41" x14ac:dyDescent="0.2">
      <c r="A234" s="12">
        <v>44788</v>
      </c>
      <c r="B234" s="6">
        <v>15</v>
      </c>
      <c r="C234" s="6">
        <v>227</v>
      </c>
      <c r="D234" s="6">
        <v>2</v>
      </c>
      <c r="E234" s="6" t="s">
        <v>13</v>
      </c>
      <c r="F234" s="6">
        <v>33</v>
      </c>
      <c r="G234" s="6">
        <v>8</v>
      </c>
      <c r="H234" s="6" t="s">
        <v>24</v>
      </c>
      <c r="I234" s="6">
        <v>3</v>
      </c>
      <c r="J234" s="14">
        <v>9.2992492500171391</v>
      </c>
      <c r="K234" s="14">
        <f t="shared" si="76"/>
        <v>5.5795495500102827</v>
      </c>
      <c r="L234" s="14">
        <v>76.921988061928531</v>
      </c>
      <c r="M234" s="14">
        <f t="shared" si="89"/>
        <v>429.19004387682969</v>
      </c>
      <c r="N234" s="16">
        <v>0.70696412490727911</v>
      </c>
      <c r="O234" s="14">
        <f t="shared" si="90"/>
        <v>303.42196378829965</v>
      </c>
      <c r="P234" s="14">
        <f t="shared" si="91"/>
        <v>125.76808008853004</v>
      </c>
      <c r="Q234" s="14">
        <v>43.993660329488954</v>
      </c>
      <c r="R234" s="14">
        <v>15.165250445332958</v>
      </c>
      <c r="S234" s="14">
        <f t="shared" si="78"/>
        <v>12.987012987012987</v>
      </c>
      <c r="T234" s="14">
        <v>37.964248337087703</v>
      </c>
      <c r="U234" s="14">
        <f t="shared" si="92"/>
        <v>300.43303071378074</v>
      </c>
      <c r="V234" s="14">
        <f t="shared" si="93"/>
        <v>53.845391643349963</v>
      </c>
      <c r="W234" s="14">
        <v>36.558449726387636</v>
      </c>
      <c r="X234" s="16">
        <f t="shared" si="94"/>
        <v>0.81703668571834553</v>
      </c>
      <c r="Y234" s="16">
        <f t="shared" si="99"/>
        <v>0.15261997135461142</v>
      </c>
      <c r="Z234" s="16">
        <f t="shared" si="95"/>
        <v>1.0099487498675419</v>
      </c>
      <c r="AA234" s="16">
        <f t="shared" si="96"/>
        <v>0.10362167271373855</v>
      </c>
      <c r="AB234" s="16">
        <f t="shared" si="79"/>
        <v>3.025935287245396E-2</v>
      </c>
      <c r="AC234" s="14">
        <f t="shared" si="100"/>
        <v>53.845391643349963</v>
      </c>
      <c r="AD234" s="16">
        <f t="shared" si="80"/>
        <v>0.19715104650082216</v>
      </c>
      <c r="AE234" s="16">
        <f t="shared" si="81"/>
        <v>0.10250391628868817</v>
      </c>
      <c r="AF234" s="23" t="str">
        <f t="shared" si="97"/>
        <v/>
      </c>
      <c r="AG234" s="23" t="str">
        <f t="shared" si="77"/>
        <v/>
      </c>
      <c r="AH234" s="23">
        <f t="shared" si="82"/>
        <v>300</v>
      </c>
      <c r="AI234" s="23" t="str">
        <f t="shared" si="98"/>
        <v/>
      </c>
      <c r="AJ234" s="23" t="str">
        <f t="shared" si="83"/>
        <v/>
      </c>
      <c r="AK234" s="23" t="str">
        <f t="shared" si="84"/>
        <v/>
      </c>
      <c r="AL234" s="23" t="str">
        <f t="shared" si="85"/>
        <v/>
      </c>
      <c r="AM234" s="23" t="str">
        <f t="shared" si="86"/>
        <v/>
      </c>
      <c r="AN234" s="19">
        <f t="shared" si="87"/>
        <v>300</v>
      </c>
      <c r="AO234" s="26">
        <f t="shared" si="88"/>
        <v>-174.23191991146996</v>
      </c>
    </row>
    <row r="235" spans="1:41" x14ac:dyDescent="0.2">
      <c r="A235" s="12">
        <v>44789</v>
      </c>
      <c r="B235" s="6">
        <v>16</v>
      </c>
      <c r="C235" s="6">
        <v>228</v>
      </c>
      <c r="D235" s="6">
        <v>3</v>
      </c>
      <c r="E235" s="6" t="s">
        <v>14</v>
      </c>
      <c r="F235" s="6">
        <v>33</v>
      </c>
      <c r="G235" s="6">
        <v>8</v>
      </c>
      <c r="H235" s="6" t="s">
        <v>24</v>
      </c>
      <c r="I235" s="6">
        <v>3</v>
      </c>
      <c r="J235" s="14">
        <v>19.590827993141044</v>
      </c>
      <c r="K235" s="14">
        <f t="shared" si="76"/>
        <v>11.754496795884627</v>
      </c>
      <c r="L235" s="14">
        <v>92.502014969121277</v>
      </c>
      <c r="M235" s="14">
        <f t="shared" si="89"/>
        <v>1087.3146385674079</v>
      </c>
      <c r="N235" s="16">
        <v>0.45469876251568586</v>
      </c>
      <c r="O235" s="14">
        <f t="shared" si="90"/>
        <v>494.40062062179061</v>
      </c>
      <c r="P235" s="14">
        <f t="shared" si="91"/>
        <v>592.91401794561727</v>
      </c>
      <c r="Q235" s="14">
        <v>29.763750355469771</v>
      </c>
      <c r="R235" s="14">
        <v>11.856559704239405</v>
      </c>
      <c r="S235" s="14">
        <f t="shared" si="78"/>
        <v>12.987012987012987</v>
      </c>
      <c r="T235" s="14">
        <v>39.310382607081266</v>
      </c>
      <c r="U235" s="14">
        <f t="shared" si="92"/>
        <v>761.12024699718552</v>
      </c>
      <c r="V235" s="14">
        <f t="shared" si="93"/>
        <v>64.751410478384898</v>
      </c>
      <c r="W235" s="14">
        <v>35.573775795461799</v>
      </c>
      <c r="X235" s="16">
        <f t="shared" si="94"/>
        <v>0.459661807141721</v>
      </c>
      <c r="Y235" s="16">
        <f t="shared" si="99"/>
        <v>0.33042589753388413</v>
      </c>
      <c r="Z235" s="16">
        <f t="shared" si="95"/>
        <v>0.64956966073669409</v>
      </c>
      <c r="AA235" s="16">
        <f t="shared" si="96"/>
        <v>0.18153267564431627</v>
      </c>
      <c r="AB235" s="16">
        <f t="shared" si="79"/>
        <v>1.1944116749981436E-2</v>
      </c>
      <c r="AC235" s="14">
        <f t="shared" si="100"/>
        <v>64.751410478384898</v>
      </c>
      <c r="AD235" s="16">
        <f t="shared" si="80"/>
        <v>0.12817623170908574</v>
      </c>
      <c r="AE235" s="16">
        <f t="shared" si="81"/>
        <v>2.7373631605553495E-2</v>
      </c>
      <c r="AF235" s="23" t="str">
        <f t="shared" si="97"/>
        <v/>
      </c>
      <c r="AG235" s="23" t="str">
        <f t="shared" si="77"/>
        <v/>
      </c>
      <c r="AH235" s="23" t="str">
        <f t="shared" si="82"/>
        <v/>
      </c>
      <c r="AI235" s="23" t="str">
        <f t="shared" si="98"/>
        <v/>
      </c>
      <c r="AJ235" s="23" t="str">
        <f t="shared" si="83"/>
        <v/>
      </c>
      <c r="AK235" s="23" t="str">
        <f t="shared" si="84"/>
        <v/>
      </c>
      <c r="AL235" s="23" t="str">
        <f t="shared" si="85"/>
        <v/>
      </c>
      <c r="AM235" s="23" t="str">
        <f t="shared" si="86"/>
        <v/>
      </c>
      <c r="AN235" s="19">
        <f t="shared" si="87"/>
        <v>0</v>
      </c>
      <c r="AO235" s="26">
        <f t="shared" si="88"/>
        <v>592.91401794561727</v>
      </c>
    </row>
    <row r="236" spans="1:41" x14ac:dyDescent="0.2">
      <c r="A236" s="12">
        <v>44790</v>
      </c>
      <c r="B236" s="6">
        <v>17</v>
      </c>
      <c r="C236" s="6">
        <v>229</v>
      </c>
      <c r="D236" s="6">
        <v>4</v>
      </c>
      <c r="E236" s="6" t="s">
        <v>15</v>
      </c>
      <c r="F236" s="6">
        <v>33</v>
      </c>
      <c r="G236" s="6">
        <v>8</v>
      </c>
      <c r="H236" s="6" t="s">
        <v>24</v>
      </c>
      <c r="I236" s="6">
        <v>3</v>
      </c>
      <c r="J236" s="14">
        <v>15.892071107631928</v>
      </c>
      <c r="K236" s="14">
        <f t="shared" si="76"/>
        <v>9.5352426645791564</v>
      </c>
      <c r="L236" s="14">
        <v>99.80349486015659</v>
      </c>
      <c r="M236" s="14">
        <f t="shared" si="89"/>
        <v>951.65054226467169</v>
      </c>
      <c r="N236" s="16">
        <v>0.38623706203092045</v>
      </c>
      <c r="O236" s="14">
        <f t="shared" si="90"/>
        <v>367.56270952443907</v>
      </c>
      <c r="P236" s="14">
        <f t="shared" si="91"/>
        <v>584.08783274023267</v>
      </c>
      <c r="Q236" s="14">
        <v>38.806817042400475</v>
      </c>
      <c r="R236" s="14">
        <v>7.6010243606697347</v>
      </c>
      <c r="S236" s="14">
        <f t="shared" si="78"/>
        <v>12.987012987012987</v>
      </c>
      <c r="T236" s="14">
        <v>31.138580479490276</v>
      </c>
      <c r="U236" s="14">
        <f t="shared" si="92"/>
        <v>666.15537958527011</v>
      </c>
      <c r="V236" s="14">
        <f t="shared" si="93"/>
        <v>69.862446402109612</v>
      </c>
      <c r="W236" s="14">
        <v>29.06405105364458</v>
      </c>
      <c r="X236" s="16">
        <f t="shared" si="94"/>
        <v>0.55547463681759413</v>
      </c>
      <c r="Y236" s="16">
        <f t="shared" si="99"/>
        <v>0.32807686192745844</v>
      </c>
      <c r="Z236" s="16">
        <f t="shared" si="95"/>
        <v>0.55176723147274354</v>
      </c>
      <c r="AA236" s="16">
        <f t="shared" si="96"/>
        <v>0.13648595426642868</v>
      </c>
      <c r="AB236" s="16">
        <f t="shared" si="79"/>
        <v>1.3646829808037936E-2</v>
      </c>
      <c r="AC236" s="14">
        <f t="shared" si="100"/>
        <v>69.862446402109612</v>
      </c>
      <c r="AD236" s="16">
        <f t="shared" si="80"/>
        <v>7.6159901728092741E-2</v>
      </c>
      <c r="AE236" s="16">
        <f t="shared" si="81"/>
        <v>4.0778432122836515E-2</v>
      </c>
      <c r="AF236" s="23" t="str">
        <f t="shared" si="97"/>
        <v/>
      </c>
      <c r="AG236" s="23" t="str">
        <f t="shared" si="77"/>
        <v/>
      </c>
      <c r="AH236" s="23" t="str">
        <f t="shared" si="82"/>
        <v/>
      </c>
      <c r="AI236" s="23" t="str">
        <f t="shared" si="98"/>
        <v/>
      </c>
      <c r="AJ236" s="23" t="str">
        <f t="shared" si="83"/>
        <v/>
      </c>
      <c r="AK236" s="23" t="str">
        <f t="shared" si="84"/>
        <v/>
      </c>
      <c r="AL236" s="23" t="str">
        <f t="shared" si="85"/>
        <v/>
      </c>
      <c r="AM236" s="23" t="str">
        <f t="shared" si="86"/>
        <v/>
      </c>
      <c r="AN236" s="19">
        <f t="shared" si="87"/>
        <v>0</v>
      </c>
      <c r="AO236" s="26">
        <f t="shared" si="88"/>
        <v>584.08783274023267</v>
      </c>
    </row>
    <row r="237" spans="1:41" x14ac:dyDescent="0.2">
      <c r="A237" s="12">
        <v>44791</v>
      </c>
      <c r="B237" s="6">
        <v>18</v>
      </c>
      <c r="C237" s="6">
        <v>230</v>
      </c>
      <c r="D237" s="6">
        <v>5</v>
      </c>
      <c r="E237" s="6" t="s">
        <v>16</v>
      </c>
      <c r="F237" s="6">
        <v>33</v>
      </c>
      <c r="G237" s="6">
        <v>8</v>
      </c>
      <c r="H237" s="6" t="s">
        <v>24</v>
      </c>
      <c r="I237" s="6">
        <v>3</v>
      </c>
      <c r="J237" s="14">
        <v>20.160573105532723</v>
      </c>
      <c r="K237" s="14">
        <f t="shared" si="76"/>
        <v>12.096343863319634</v>
      </c>
      <c r="L237" s="14">
        <v>61.792719374764587</v>
      </c>
      <c r="M237" s="14">
        <f t="shared" si="89"/>
        <v>747.46598180676585</v>
      </c>
      <c r="N237" s="16">
        <v>0.81004333178121013</v>
      </c>
      <c r="O237" s="14">
        <f t="shared" si="90"/>
        <v>605.479834295866</v>
      </c>
      <c r="P237" s="14">
        <f t="shared" si="91"/>
        <v>141.98614751089985</v>
      </c>
      <c r="Q237" s="14">
        <v>26.234077797186757</v>
      </c>
      <c r="R237" s="14">
        <v>13.127919152206669</v>
      </c>
      <c r="S237" s="14">
        <f t="shared" si="78"/>
        <v>12.987012987012987</v>
      </c>
      <c r="T237" s="14">
        <v>30.098238245940404</v>
      </c>
      <c r="U237" s="14">
        <f t="shared" si="92"/>
        <v>523.22618726473604</v>
      </c>
      <c r="V237" s="14">
        <f t="shared" si="93"/>
        <v>43.254903562335208</v>
      </c>
      <c r="W237" s="14">
        <v>33.499636590547325</v>
      </c>
      <c r="X237" s="16">
        <f t="shared" si="94"/>
        <v>0.60649950957307031</v>
      </c>
      <c r="Y237" s="16">
        <f t="shared" si="99"/>
        <v>0.36108880854943032</v>
      </c>
      <c r="Z237" s="16">
        <f t="shared" si="95"/>
        <v>1.1572047596874431</v>
      </c>
      <c r="AA237" s="16">
        <f t="shared" si="96"/>
        <v>0.27965254496261754</v>
      </c>
      <c r="AB237" s="16">
        <f t="shared" si="79"/>
        <v>1.7374721128606996E-2</v>
      </c>
      <c r="AC237" s="14">
        <f t="shared" si="100"/>
        <v>43.254903562335208</v>
      </c>
      <c r="AD237" s="16">
        <f t="shared" si="80"/>
        <v>0.21245090497777891</v>
      </c>
      <c r="AE237" s="16">
        <f t="shared" si="81"/>
        <v>3.509735350600713E-2</v>
      </c>
      <c r="AF237" s="23" t="str">
        <f t="shared" si="97"/>
        <v/>
      </c>
      <c r="AG237" s="23" t="str">
        <f t="shared" si="77"/>
        <v/>
      </c>
      <c r="AH237" s="23" t="str">
        <f t="shared" si="82"/>
        <v/>
      </c>
      <c r="AI237" s="23" t="str">
        <f t="shared" si="98"/>
        <v/>
      </c>
      <c r="AJ237" s="23" t="str">
        <f t="shared" si="83"/>
        <v/>
      </c>
      <c r="AK237" s="23" t="str">
        <f t="shared" si="84"/>
        <v/>
      </c>
      <c r="AL237" s="23" t="str">
        <f t="shared" si="85"/>
        <v/>
      </c>
      <c r="AM237" s="23" t="str">
        <f t="shared" si="86"/>
        <v/>
      </c>
      <c r="AN237" s="19">
        <f t="shared" si="87"/>
        <v>0</v>
      </c>
      <c r="AO237" s="26">
        <f t="shared" si="88"/>
        <v>141.98614751089985</v>
      </c>
    </row>
    <row r="238" spans="1:41" x14ac:dyDescent="0.2">
      <c r="A238" s="12">
        <v>44792</v>
      </c>
      <c r="B238" s="6">
        <v>19</v>
      </c>
      <c r="C238" s="6">
        <v>231</v>
      </c>
      <c r="D238" s="6">
        <v>6</v>
      </c>
      <c r="E238" s="6" t="s">
        <v>17</v>
      </c>
      <c r="F238" s="6">
        <v>33</v>
      </c>
      <c r="G238" s="6">
        <v>8</v>
      </c>
      <c r="H238" s="6" t="s">
        <v>24</v>
      </c>
      <c r="I238" s="6">
        <v>3</v>
      </c>
      <c r="J238" s="14">
        <v>12.767125825425913</v>
      </c>
      <c r="K238" s="14">
        <f t="shared" si="76"/>
        <v>7.6602754952555472</v>
      </c>
      <c r="L238" s="14">
        <v>1.1521835129324378</v>
      </c>
      <c r="M238" s="14">
        <f t="shared" si="89"/>
        <v>8.8260431301538063</v>
      </c>
      <c r="N238" s="16">
        <v>0.23912014399423909</v>
      </c>
      <c r="O238" s="14">
        <f t="shared" si="90"/>
        <v>2.1104847041817427</v>
      </c>
      <c r="P238" s="14">
        <f t="shared" si="91"/>
        <v>6.7155584259720635</v>
      </c>
      <c r="Q238" s="14">
        <v>19.706983917843065</v>
      </c>
      <c r="R238" s="14">
        <v>21.709494744150444</v>
      </c>
      <c r="S238" s="14">
        <f t="shared" si="78"/>
        <v>12.987012987012987</v>
      </c>
      <c r="T238" s="14">
        <v>34.265146029079183</v>
      </c>
      <c r="U238" s="14">
        <f t="shared" si="92"/>
        <v>6.178230191107664</v>
      </c>
      <c r="V238" s="14">
        <f t="shared" si="93"/>
        <v>0.80652845905270643</v>
      </c>
      <c r="W238" s="14">
        <v>32.779391378177984</v>
      </c>
      <c r="X238" s="16">
        <f t="shared" si="94"/>
        <v>24.434331729582798</v>
      </c>
      <c r="Y238" s="16">
        <f t="shared" si="99"/>
        <v>0.23369181589976604</v>
      </c>
      <c r="Z238" s="16">
        <f t="shared" si="95"/>
        <v>0.34160020570605582</v>
      </c>
      <c r="AA238" s="16">
        <f t="shared" si="96"/>
        <v>9.4978365726273157</v>
      </c>
      <c r="AB238" s="16">
        <f t="shared" si="79"/>
        <v>1.4714422754907464</v>
      </c>
      <c r="AC238" s="14">
        <f t="shared" si="100"/>
        <v>0.80652845905270643</v>
      </c>
      <c r="AD238" s="16">
        <f t="shared" si="80"/>
        <v>18.842045993955697</v>
      </c>
      <c r="AE238" s="16">
        <f t="shared" si="81"/>
        <v>2.2328220729530521</v>
      </c>
      <c r="AF238" s="23" t="str">
        <f t="shared" si="97"/>
        <v/>
      </c>
      <c r="AG238" s="23" t="str">
        <f t="shared" si="77"/>
        <v/>
      </c>
      <c r="AH238" s="23" t="str">
        <f t="shared" si="82"/>
        <v/>
      </c>
      <c r="AI238" s="23" t="str">
        <f t="shared" si="98"/>
        <v/>
      </c>
      <c r="AJ238" s="23" t="str">
        <f t="shared" si="83"/>
        <v/>
      </c>
      <c r="AK238" s="23" t="str">
        <f t="shared" si="84"/>
        <v/>
      </c>
      <c r="AL238" s="23" t="str">
        <f t="shared" si="85"/>
        <v/>
      </c>
      <c r="AM238" s="23" t="str">
        <f t="shared" si="86"/>
        <v/>
      </c>
      <c r="AN238" s="19">
        <f t="shared" si="87"/>
        <v>0</v>
      </c>
      <c r="AO238" s="26">
        <f t="shared" si="88"/>
        <v>6.7155584259720635</v>
      </c>
    </row>
    <row r="239" spans="1:41" x14ac:dyDescent="0.2">
      <c r="A239" s="12">
        <v>44793</v>
      </c>
      <c r="B239" s="6">
        <v>20</v>
      </c>
      <c r="C239" s="6">
        <v>232</v>
      </c>
      <c r="D239" s="6">
        <v>7</v>
      </c>
      <c r="E239" s="6" t="s">
        <v>10</v>
      </c>
      <c r="F239" s="6">
        <v>33</v>
      </c>
      <c r="G239" s="6">
        <v>8</v>
      </c>
      <c r="H239" s="6" t="s">
        <v>24</v>
      </c>
      <c r="I239" s="6">
        <v>3</v>
      </c>
      <c r="J239" s="14">
        <v>20.386209793858349</v>
      </c>
      <c r="K239" s="14">
        <f t="shared" si="76"/>
        <v>12.231725876315009</v>
      </c>
      <c r="L239" s="14">
        <v>103.55547985796457</v>
      </c>
      <c r="M239" s="14">
        <f t="shared" si="89"/>
        <v>1266.6622426128829</v>
      </c>
      <c r="N239" s="16">
        <v>0.3974960269881383</v>
      </c>
      <c r="O239" s="14">
        <f t="shared" si="90"/>
        <v>503.49320897450627</v>
      </c>
      <c r="P239" s="14">
        <f t="shared" si="91"/>
        <v>763.16903363837662</v>
      </c>
      <c r="Q239" s="14">
        <v>50.359835509224439</v>
      </c>
      <c r="R239" s="14">
        <v>13.965980066352273</v>
      </c>
      <c r="S239" s="14">
        <f t="shared" si="78"/>
        <v>12.987012987012987</v>
      </c>
      <c r="T239" s="14">
        <v>31.979867651341646</v>
      </c>
      <c r="U239" s="14">
        <f t="shared" si="92"/>
        <v>886.663569829018</v>
      </c>
      <c r="V239" s="14">
        <f t="shared" si="93"/>
        <v>72.488835900575197</v>
      </c>
      <c r="W239" s="14">
        <v>31.30250825133546</v>
      </c>
      <c r="X239" s="16">
        <f t="shared" si="94"/>
        <v>0.69472539989878412</v>
      </c>
      <c r="Y239" s="16">
        <f t="shared" si="99"/>
        <v>0.39075865033253898</v>
      </c>
      <c r="Z239" s="16">
        <f t="shared" si="95"/>
        <v>0.56785146712591184</v>
      </c>
      <c r="AA239" s="16">
        <f t="shared" si="96"/>
        <v>0.16873944414132813</v>
      </c>
      <c r="AB239" s="16">
        <f t="shared" si="79"/>
        <v>1.0252940799927258E-2</v>
      </c>
      <c r="AC239" s="14">
        <f t="shared" si="100"/>
        <v>72.488835900575197</v>
      </c>
      <c r="AD239" s="16">
        <f t="shared" si="80"/>
        <v>0.13486471295877187</v>
      </c>
      <c r="AE239" s="16">
        <f t="shared" si="81"/>
        <v>3.9757903737101766E-2</v>
      </c>
      <c r="AF239" s="23" t="str">
        <f t="shared" si="97"/>
        <v/>
      </c>
      <c r="AG239" s="23" t="str">
        <f t="shared" si="77"/>
        <v/>
      </c>
      <c r="AH239" s="23" t="str">
        <f t="shared" si="82"/>
        <v/>
      </c>
      <c r="AI239" s="23" t="str">
        <f t="shared" si="98"/>
        <v/>
      </c>
      <c r="AJ239" s="23">
        <f t="shared" si="83"/>
        <v>100</v>
      </c>
      <c r="AK239" s="23" t="str">
        <f t="shared" si="84"/>
        <v/>
      </c>
      <c r="AL239" s="23" t="str">
        <f t="shared" si="85"/>
        <v/>
      </c>
      <c r="AM239" s="23" t="str">
        <f t="shared" si="86"/>
        <v/>
      </c>
      <c r="AN239" s="19">
        <f t="shared" si="87"/>
        <v>100</v>
      </c>
      <c r="AO239" s="26">
        <f t="shared" si="88"/>
        <v>663.16903363837662</v>
      </c>
    </row>
    <row r="240" spans="1:41" x14ac:dyDescent="0.2">
      <c r="A240" s="12">
        <v>44794</v>
      </c>
      <c r="B240" s="6">
        <v>21</v>
      </c>
      <c r="C240" s="6">
        <v>233</v>
      </c>
      <c r="D240" s="6">
        <v>1</v>
      </c>
      <c r="E240" s="6" t="s">
        <v>12</v>
      </c>
      <c r="F240" s="6">
        <v>34</v>
      </c>
      <c r="G240" s="6">
        <v>8</v>
      </c>
      <c r="H240" s="6" t="s">
        <v>24</v>
      </c>
      <c r="I240" s="6">
        <v>3</v>
      </c>
      <c r="J240" s="14">
        <v>0.1636216020131176</v>
      </c>
      <c r="K240" s="14">
        <f t="shared" si="76"/>
        <v>9.8172961207870557E-2</v>
      </c>
      <c r="L240" s="14">
        <v>34.552553924988956</v>
      </c>
      <c r="M240" s="14">
        <f t="shared" si="89"/>
        <v>3.3921265361107964</v>
      </c>
      <c r="N240" s="16">
        <v>0.29734570171473429</v>
      </c>
      <c r="O240" s="14">
        <f t="shared" si="90"/>
        <v>1.0086342451850356</v>
      </c>
      <c r="P240" s="14">
        <f t="shared" si="91"/>
        <v>2.3834922909257608</v>
      </c>
      <c r="Q240" s="14">
        <v>15.257303836572813</v>
      </c>
      <c r="R240" s="14">
        <v>5.1539615466841955</v>
      </c>
      <c r="S240" s="14">
        <f t="shared" si="78"/>
        <v>28.571428571428573</v>
      </c>
      <c r="T240" s="14">
        <v>17.101137057851808</v>
      </c>
      <c r="U240" s="14">
        <f t="shared" si="92"/>
        <v>2.3744885752775575</v>
      </c>
      <c r="V240" s="14">
        <f t="shared" si="93"/>
        <v>24.186787747492271</v>
      </c>
      <c r="W240" s="14">
        <v>14.773831967960533</v>
      </c>
      <c r="X240" s="16">
        <f t="shared" si="94"/>
        <v>0.63081149906542333</v>
      </c>
      <c r="Y240" s="16">
        <f t="shared" si="99"/>
        <v>6.6450573839457938E-3</v>
      </c>
      <c r="Z240" s="16">
        <f t="shared" si="95"/>
        <v>0.42477957387819182</v>
      </c>
      <c r="AA240" s="16">
        <f t="shared" si="96"/>
        <v>4.0589499619704279E-3</v>
      </c>
      <c r="AB240" s="16">
        <f t="shared" si="79"/>
        <v>8.4228663840432123</v>
      </c>
      <c r="AC240" s="14">
        <f t="shared" si="100"/>
        <v>24.186787747492271</v>
      </c>
      <c r="AD240" s="16">
        <f t="shared" si="80"/>
        <v>0.14916296948332866</v>
      </c>
      <c r="AE240" s="16">
        <f t="shared" si="81"/>
        <v>4.4978581058670937</v>
      </c>
      <c r="AF240" s="23" t="str">
        <f t="shared" si="97"/>
        <v/>
      </c>
      <c r="AG240" s="23">
        <f t="shared" si="77"/>
        <v>1200</v>
      </c>
      <c r="AH240" s="23" t="str">
        <f t="shared" si="82"/>
        <v/>
      </c>
      <c r="AI240" s="23" t="str">
        <f t="shared" si="98"/>
        <v/>
      </c>
      <c r="AJ240" s="23" t="str">
        <f t="shared" si="83"/>
        <v/>
      </c>
      <c r="AK240" s="23" t="str">
        <f t="shared" si="84"/>
        <v/>
      </c>
      <c r="AL240" s="23" t="str">
        <f t="shared" si="85"/>
        <v/>
      </c>
      <c r="AM240" s="23" t="str">
        <f t="shared" si="86"/>
        <v/>
      </c>
      <c r="AN240" s="19">
        <f t="shared" si="87"/>
        <v>1200</v>
      </c>
      <c r="AO240" s="26">
        <f t="shared" si="88"/>
        <v>-1197.6165077090743</v>
      </c>
    </row>
    <row r="241" spans="1:41" x14ac:dyDescent="0.2">
      <c r="A241" s="12">
        <v>44795</v>
      </c>
      <c r="B241" s="6">
        <v>22</v>
      </c>
      <c r="C241" s="6">
        <v>234</v>
      </c>
      <c r="D241" s="6">
        <v>2</v>
      </c>
      <c r="E241" s="6" t="s">
        <v>13</v>
      </c>
      <c r="F241" s="6">
        <v>34</v>
      </c>
      <c r="G241" s="6">
        <v>8</v>
      </c>
      <c r="H241" s="6" t="s">
        <v>24</v>
      </c>
      <c r="I241" s="6">
        <v>3</v>
      </c>
      <c r="J241" s="14">
        <v>12.795943516955862</v>
      </c>
      <c r="K241" s="14">
        <f t="shared" si="76"/>
        <v>7.6775661101735171</v>
      </c>
      <c r="L241" s="14">
        <v>24.295341254242363</v>
      </c>
      <c r="M241" s="14">
        <f t="shared" si="89"/>
        <v>186.52908864867172</v>
      </c>
      <c r="N241" s="16">
        <v>0.59284423361344729</v>
      </c>
      <c r="O241" s="14">
        <f t="shared" si="90"/>
        <v>110.58269460653655</v>
      </c>
      <c r="P241" s="14">
        <f t="shared" si="91"/>
        <v>75.946394042135168</v>
      </c>
      <c r="Q241" s="14">
        <v>29.903304380006489</v>
      </c>
      <c r="R241" s="14">
        <v>12.334176382844181</v>
      </c>
      <c r="S241" s="14">
        <f t="shared" si="78"/>
        <v>12.987012987012987</v>
      </c>
      <c r="T241" s="14">
        <v>35.856763362864335</v>
      </c>
      <c r="U241" s="14">
        <f t="shared" si="92"/>
        <v>130.57036205407019</v>
      </c>
      <c r="V241" s="14">
        <f t="shared" si="93"/>
        <v>17.006738877969653</v>
      </c>
      <c r="W241" s="14">
        <v>29.720937779540932</v>
      </c>
      <c r="X241" s="16">
        <f t="shared" si="94"/>
        <v>1.7583208982377514</v>
      </c>
      <c r="Y241" s="16">
        <f t="shared" si="99"/>
        <v>0.25832179883161493</v>
      </c>
      <c r="Z241" s="16">
        <f t="shared" si="95"/>
        <v>0.84692033373349618</v>
      </c>
      <c r="AA241" s="16">
        <f t="shared" si="96"/>
        <v>0.45144258198254306</v>
      </c>
      <c r="AB241" s="16">
        <f t="shared" si="79"/>
        <v>6.9624598935740675E-2</v>
      </c>
      <c r="AC241" s="14">
        <f t="shared" si="100"/>
        <v>17.006738877969653</v>
      </c>
      <c r="AD241" s="16">
        <f t="shared" si="80"/>
        <v>0.50767660572334761</v>
      </c>
      <c r="AE241" s="16">
        <f t="shared" si="81"/>
        <v>0.16031442922197237</v>
      </c>
      <c r="AF241" s="23" t="str">
        <f t="shared" si="97"/>
        <v/>
      </c>
      <c r="AG241" s="23" t="str">
        <f t="shared" si="77"/>
        <v/>
      </c>
      <c r="AH241" s="23" t="str">
        <f t="shared" si="82"/>
        <v/>
      </c>
      <c r="AI241" s="23" t="str">
        <f t="shared" si="98"/>
        <v/>
      </c>
      <c r="AJ241" s="23" t="str">
        <f t="shared" si="83"/>
        <v/>
      </c>
      <c r="AK241" s="23" t="str">
        <f t="shared" si="84"/>
        <v/>
      </c>
      <c r="AL241" s="23" t="str">
        <f t="shared" si="85"/>
        <v/>
      </c>
      <c r="AM241" s="23" t="str">
        <f t="shared" si="86"/>
        <v/>
      </c>
      <c r="AN241" s="19">
        <f t="shared" si="87"/>
        <v>0</v>
      </c>
      <c r="AO241" s="26">
        <f t="shared" si="88"/>
        <v>75.946394042135168</v>
      </c>
    </row>
    <row r="242" spans="1:41" x14ac:dyDescent="0.2">
      <c r="A242" s="12">
        <v>44796</v>
      </c>
      <c r="B242" s="6">
        <v>23</v>
      </c>
      <c r="C242" s="6">
        <v>235</v>
      </c>
      <c r="D242" s="6">
        <v>3</v>
      </c>
      <c r="E242" s="6" t="s">
        <v>14</v>
      </c>
      <c r="F242" s="6">
        <v>34</v>
      </c>
      <c r="G242" s="6">
        <v>8</v>
      </c>
      <c r="H242" s="6" t="s">
        <v>24</v>
      </c>
      <c r="I242" s="6">
        <v>3</v>
      </c>
      <c r="J242" s="14">
        <v>10.960151738023832</v>
      </c>
      <c r="K242" s="14">
        <f t="shared" si="76"/>
        <v>6.5760910428142987</v>
      </c>
      <c r="L242" s="14">
        <v>22.359190730490855</v>
      </c>
      <c r="M242" s="14">
        <f t="shared" si="89"/>
        <v>147.03607388735742</v>
      </c>
      <c r="N242" s="16">
        <v>0.44195348896880104</v>
      </c>
      <c r="O242" s="14">
        <f t="shared" si="90"/>
        <v>64.98310585879203</v>
      </c>
      <c r="P242" s="14">
        <f t="shared" si="91"/>
        <v>82.052968028565388</v>
      </c>
      <c r="Q242" s="14">
        <v>37.084530068829316</v>
      </c>
      <c r="R242" s="14">
        <v>14.933163054396609</v>
      </c>
      <c r="S242" s="14">
        <f t="shared" si="78"/>
        <v>12.987012987012987</v>
      </c>
      <c r="T242" s="14">
        <v>36.256651042240406</v>
      </c>
      <c r="U242" s="14">
        <f t="shared" si="92"/>
        <v>102.92525172115019</v>
      </c>
      <c r="V242" s="14">
        <f t="shared" si="93"/>
        <v>15.651433511343599</v>
      </c>
      <c r="W242" s="14">
        <v>37.170743359661586</v>
      </c>
      <c r="X242" s="16">
        <f t="shared" si="94"/>
        <v>2.3694015019104655</v>
      </c>
      <c r="Y242" s="16">
        <f t="shared" si="99"/>
        <v>0.17691577968146854</v>
      </c>
      <c r="Z242" s="16">
        <f t="shared" si="95"/>
        <v>0.63136212709828721</v>
      </c>
      <c r="AA242" s="16">
        <f t="shared" si="96"/>
        <v>0.42015902492561996</v>
      </c>
      <c r="AB242" s="16">
        <f t="shared" si="79"/>
        <v>8.8325352028660556E-2</v>
      </c>
      <c r="AC242" s="14">
        <f t="shared" si="100"/>
        <v>15.651433511343599</v>
      </c>
      <c r="AD242" s="16">
        <f t="shared" si="80"/>
        <v>0.66787582942492207</v>
      </c>
      <c r="AE242" s="16">
        <f t="shared" si="81"/>
        <v>0.25221382133230336</v>
      </c>
      <c r="AF242" s="23" t="str">
        <f t="shared" si="97"/>
        <v/>
      </c>
      <c r="AG242" s="23" t="str">
        <f t="shared" si="77"/>
        <v/>
      </c>
      <c r="AH242" s="23" t="str">
        <f t="shared" si="82"/>
        <v/>
      </c>
      <c r="AI242" s="23" t="str">
        <f t="shared" si="98"/>
        <v/>
      </c>
      <c r="AJ242" s="23" t="str">
        <f t="shared" si="83"/>
        <v/>
      </c>
      <c r="AK242" s="23" t="str">
        <f t="shared" si="84"/>
        <v/>
      </c>
      <c r="AL242" s="23" t="str">
        <f t="shared" si="85"/>
        <v/>
      </c>
      <c r="AM242" s="23" t="str">
        <f t="shared" si="86"/>
        <v/>
      </c>
      <c r="AN242" s="19">
        <f t="shared" si="87"/>
        <v>0</v>
      </c>
      <c r="AO242" s="26">
        <f t="shared" si="88"/>
        <v>82.052968028565388</v>
      </c>
    </row>
    <row r="243" spans="1:41" x14ac:dyDescent="0.2">
      <c r="A243" s="12">
        <v>44797</v>
      </c>
      <c r="B243" s="6">
        <v>24</v>
      </c>
      <c r="C243" s="6">
        <v>236</v>
      </c>
      <c r="D243" s="6">
        <v>4</v>
      </c>
      <c r="E243" s="6" t="s">
        <v>15</v>
      </c>
      <c r="F243" s="6">
        <v>34</v>
      </c>
      <c r="G243" s="6">
        <v>8</v>
      </c>
      <c r="H243" s="6" t="s">
        <v>24</v>
      </c>
      <c r="I243" s="6">
        <v>3</v>
      </c>
      <c r="J243" s="14">
        <v>25.736480893730327</v>
      </c>
      <c r="K243" s="14">
        <f t="shared" si="76"/>
        <v>15.441888536238196</v>
      </c>
      <c r="L243" s="14">
        <v>69.211879323233916</v>
      </c>
      <c r="M243" s="14">
        <f t="shared" si="89"/>
        <v>1068.7621258929473</v>
      </c>
      <c r="N243" s="16">
        <v>0.82385728492990118</v>
      </c>
      <c r="O243" s="14">
        <f t="shared" si="90"/>
        <v>880.50746327407285</v>
      </c>
      <c r="P243" s="14">
        <f t="shared" si="91"/>
        <v>188.25466261887448</v>
      </c>
      <c r="Q243" s="14">
        <v>27.130978883211</v>
      </c>
      <c r="R243" s="14">
        <v>11.635810740480297</v>
      </c>
      <c r="S243" s="14">
        <f t="shared" si="78"/>
        <v>12.987012987012987</v>
      </c>
      <c r="T243" s="14">
        <v>41.292423118600873</v>
      </c>
      <c r="U243" s="14">
        <f t="shared" si="92"/>
        <v>748.13348812506308</v>
      </c>
      <c r="V243" s="14">
        <f t="shared" si="93"/>
        <v>48.448315526263741</v>
      </c>
      <c r="W243" s="14">
        <v>34.337897730125725</v>
      </c>
      <c r="X243" s="16">
        <f t="shared" si="94"/>
        <v>0.55999839392771766</v>
      </c>
      <c r="Y243" s="16">
        <f t="shared" si="99"/>
        <v>0.4497039585125952</v>
      </c>
      <c r="Z243" s="16">
        <f t="shared" si="95"/>
        <v>1.1769389784712876</v>
      </c>
      <c r="AA243" s="16">
        <f t="shared" si="96"/>
        <v>0.31872911098151963</v>
      </c>
      <c r="AB243" s="16">
        <f t="shared" si="79"/>
        <v>1.2151453230214703E-2</v>
      </c>
      <c r="AC243" s="14">
        <f t="shared" si="100"/>
        <v>48.448315526263741</v>
      </c>
      <c r="AD243" s="16">
        <f t="shared" si="80"/>
        <v>0.16811869370196744</v>
      </c>
      <c r="AE243" s="16">
        <f t="shared" si="81"/>
        <v>2.5385423216174652E-2</v>
      </c>
      <c r="AF243" s="23" t="str">
        <f t="shared" si="97"/>
        <v/>
      </c>
      <c r="AG243" s="23" t="str">
        <f t="shared" si="77"/>
        <v/>
      </c>
      <c r="AH243" s="23" t="str">
        <f t="shared" si="82"/>
        <v/>
      </c>
      <c r="AI243" s="23" t="str">
        <f t="shared" si="98"/>
        <v/>
      </c>
      <c r="AJ243" s="23" t="str">
        <f t="shared" si="83"/>
        <v/>
      </c>
      <c r="AK243" s="23" t="str">
        <f t="shared" si="84"/>
        <v/>
      </c>
      <c r="AL243" s="23" t="str">
        <f t="shared" si="85"/>
        <v/>
      </c>
      <c r="AM243" s="23" t="str">
        <f t="shared" si="86"/>
        <v/>
      </c>
      <c r="AN243" s="19">
        <f t="shared" si="87"/>
        <v>0</v>
      </c>
      <c r="AO243" s="26">
        <f t="shared" si="88"/>
        <v>188.25466261887448</v>
      </c>
    </row>
    <row r="244" spans="1:41" x14ac:dyDescent="0.2">
      <c r="A244" s="12">
        <v>44798</v>
      </c>
      <c r="B244" s="6">
        <v>25</v>
      </c>
      <c r="C244" s="6">
        <v>237</v>
      </c>
      <c r="D244" s="6">
        <v>5</v>
      </c>
      <c r="E244" s="6" t="s">
        <v>16</v>
      </c>
      <c r="F244" s="6">
        <v>34</v>
      </c>
      <c r="G244" s="6">
        <v>8</v>
      </c>
      <c r="H244" s="6" t="s">
        <v>24</v>
      </c>
      <c r="I244" s="6">
        <v>3</v>
      </c>
      <c r="J244" s="14">
        <v>8.4600146612912859</v>
      </c>
      <c r="K244" s="14">
        <f t="shared" si="76"/>
        <v>5.0760087967747713</v>
      </c>
      <c r="L244" s="14">
        <v>30.597263575736854</v>
      </c>
      <c r="M244" s="14">
        <f t="shared" si="89"/>
        <v>155.31197906767656</v>
      </c>
      <c r="N244" s="16">
        <v>0.85868840427681636</v>
      </c>
      <c r="O244" s="14">
        <f t="shared" si="90"/>
        <v>133.36459547069748</v>
      </c>
      <c r="P244" s="14">
        <f t="shared" si="91"/>
        <v>21.94738359697908</v>
      </c>
      <c r="Q244" s="14">
        <v>43.203952141197448</v>
      </c>
      <c r="R244" s="14">
        <v>18.416757557029658</v>
      </c>
      <c r="S244" s="14">
        <f t="shared" si="78"/>
        <v>12.987012987012987</v>
      </c>
      <c r="T244" s="14">
        <v>33.642681883637103</v>
      </c>
      <c r="U244" s="14">
        <f t="shared" si="92"/>
        <v>108.71838534737358</v>
      </c>
      <c r="V244" s="14">
        <f t="shared" si="93"/>
        <v>21.418084503015795</v>
      </c>
      <c r="W244" s="14">
        <v>31.890922623662878</v>
      </c>
      <c r="X244" s="16">
        <f t="shared" si="94"/>
        <v>2.0171716165894327</v>
      </c>
      <c r="Y244" s="16">
        <f t="shared" si="99"/>
        <v>0.1591678251731859</v>
      </c>
      <c r="Z244" s="16">
        <f t="shared" si="95"/>
        <v>1.2266977203954519</v>
      </c>
      <c r="AA244" s="16">
        <f t="shared" si="96"/>
        <v>0.23699639414813398</v>
      </c>
      <c r="AB244" s="16">
        <f t="shared" si="79"/>
        <v>8.3618875150344649E-2</v>
      </c>
      <c r="AC244" s="14">
        <f t="shared" si="100"/>
        <v>21.418084503015795</v>
      </c>
      <c r="AD244" s="16">
        <f t="shared" si="80"/>
        <v>0.6019086481849264</v>
      </c>
      <c r="AE244" s="16">
        <f t="shared" si="81"/>
        <v>0.27817527276741161</v>
      </c>
      <c r="AF244" s="23" t="str">
        <f t="shared" si="97"/>
        <v/>
      </c>
      <c r="AG244" s="23" t="str">
        <f t="shared" si="77"/>
        <v/>
      </c>
      <c r="AH244" s="23" t="str">
        <f t="shared" si="82"/>
        <v/>
      </c>
      <c r="AI244" s="23" t="str">
        <f t="shared" si="98"/>
        <v/>
      </c>
      <c r="AJ244" s="23" t="str">
        <f t="shared" si="83"/>
        <v/>
      </c>
      <c r="AK244" s="23" t="str">
        <f t="shared" si="84"/>
        <v/>
      </c>
      <c r="AL244" s="23">
        <f t="shared" si="85"/>
        <v>83</v>
      </c>
      <c r="AM244" s="23" t="str">
        <f t="shared" si="86"/>
        <v/>
      </c>
      <c r="AN244" s="19">
        <f t="shared" si="87"/>
        <v>83</v>
      </c>
      <c r="AO244" s="26">
        <f t="shared" si="88"/>
        <v>-61.05261640302092</v>
      </c>
    </row>
    <row r="245" spans="1:41" x14ac:dyDescent="0.2">
      <c r="A245" s="12">
        <v>44799</v>
      </c>
      <c r="B245" s="6">
        <v>26</v>
      </c>
      <c r="C245" s="6">
        <v>238</v>
      </c>
      <c r="D245" s="6">
        <v>6</v>
      </c>
      <c r="E245" s="6" t="s">
        <v>17</v>
      </c>
      <c r="F245" s="6">
        <v>34</v>
      </c>
      <c r="G245" s="6">
        <v>8</v>
      </c>
      <c r="H245" s="6" t="s">
        <v>24</v>
      </c>
      <c r="I245" s="6">
        <v>3</v>
      </c>
      <c r="J245" s="14">
        <v>23.382002902759051</v>
      </c>
      <c r="K245" s="14">
        <f t="shared" si="76"/>
        <v>14.029201741655431</v>
      </c>
      <c r="L245" s="14">
        <v>84.203870828538854</v>
      </c>
      <c r="M245" s="14">
        <f t="shared" si="89"/>
        <v>1181.3130912818663</v>
      </c>
      <c r="N245" s="16">
        <v>0.53604694830157296</v>
      </c>
      <c r="O245" s="14">
        <f t="shared" si="90"/>
        <v>633.23927757034187</v>
      </c>
      <c r="P245" s="14">
        <f t="shared" si="91"/>
        <v>548.07381371152439</v>
      </c>
      <c r="Q245" s="14">
        <v>29.194844676315075</v>
      </c>
      <c r="R245" s="14">
        <v>13.756182790077336</v>
      </c>
      <c r="S245" s="14">
        <f t="shared" si="78"/>
        <v>12.987012987012987</v>
      </c>
      <c r="T245" s="14">
        <v>31.962144013155612</v>
      </c>
      <c r="U245" s="14">
        <f t="shared" si="92"/>
        <v>826.91916389730636</v>
      </c>
      <c r="V245" s="14">
        <f t="shared" si="93"/>
        <v>58.942709579977198</v>
      </c>
      <c r="W245" s="14">
        <v>32.70579643779481</v>
      </c>
      <c r="X245" s="16">
        <f t="shared" si="94"/>
        <v>0.49530883266745079</v>
      </c>
      <c r="Y245" s="16">
        <f t="shared" si="99"/>
        <v>0.42895153977792416</v>
      </c>
      <c r="Z245" s="16">
        <f t="shared" si="95"/>
        <v>0.76578135471653275</v>
      </c>
      <c r="AA245" s="16">
        <f t="shared" si="96"/>
        <v>0.23801419788175368</v>
      </c>
      <c r="AB245" s="16">
        <f t="shared" si="79"/>
        <v>1.0993709527861511E-2</v>
      </c>
      <c r="AC245" s="14">
        <f t="shared" si="100"/>
        <v>58.942709579977198</v>
      </c>
      <c r="AD245" s="16">
        <f t="shared" si="80"/>
        <v>0.16336758221113765</v>
      </c>
      <c r="AE245" s="16">
        <f t="shared" si="81"/>
        <v>2.4713892440348027E-2</v>
      </c>
      <c r="AF245" s="23" t="str">
        <f t="shared" si="97"/>
        <v/>
      </c>
      <c r="AG245" s="23" t="str">
        <f t="shared" si="77"/>
        <v/>
      </c>
      <c r="AH245" s="23" t="str">
        <f t="shared" si="82"/>
        <v/>
      </c>
      <c r="AI245" s="23" t="str">
        <f t="shared" si="98"/>
        <v/>
      </c>
      <c r="AJ245" s="23" t="str">
        <f t="shared" si="83"/>
        <v/>
      </c>
      <c r="AK245" s="23" t="str">
        <f t="shared" si="84"/>
        <v/>
      </c>
      <c r="AL245" s="23" t="str">
        <f t="shared" si="85"/>
        <v/>
      </c>
      <c r="AM245" s="23" t="str">
        <f t="shared" si="86"/>
        <v/>
      </c>
      <c r="AN245" s="19">
        <f t="shared" si="87"/>
        <v>0</v>
      </c>
      <c r="AO245" s="26">
        <f t="shared" si="88"/>
        <v>548.07381371152439</v>
      </c>
    </row>
    <row r="246" spans="1:41" x14ac:dyDescent="0.2">
      <c r="A246" s="12">
        <v>44800</v>
      </c>
      <c r="B246" s="6">
        <v>27</v>
      </c>
      <c r="C246" s="6">
        <v>239</v>
      </c>
      <c r="D246" s="6">
        <v>7</v>
      </c>
      <c r="E246" s="6" t="s">
        <v>10</v>
      </c>
      <c r="F246" s="6">
        <v>34</v>
      </c>
      <c r="G246" s="6">
        <v>8</v>
      </c>
      <c r="H246" s="6" t="s">
        <v>24</v>
      </c>
      <c r="I246" s="6">
        <v>3</v>
      </c>
      <c r="J246" s="14">
        <v>11.420557755740752</v>
      </c>
      <c r="K246" s="14">
        <f t="shared" si="76"/>
        <v>6.8523346534444514</v>
      </c>
      <c r="L246" s="14">
        <v>2.6480425683529232</v>
      </c>
      <c r="M246" s="14">
        <f t="shared" si="89"/>
        <v>18.145273854920784</v>
      </c>
      <c r="N246" s="16">
        <v>0.6426762848407418</v>
      </c>
      <c r="O246" s="14">
        <f t="shared" si="90"/>
        <v>11.661537188498334</v>
      </c>
      <c r="P246" s="14">
        <f t="shared" si="91"/>
        <v>6.4837366664224501</v>
      </c>
      <c r="Q246" s="14">
        <v>22.079243095934729</v>
      </c>
      <c r="R246" s="14">
        <v>19.565159912899134</v>
      </c>
      <c r="S246" s="14">
        <f t="shared" si="78"/>
        <v>12.987012987012987</v>
      </c>
      <c r="T246" s="14">
        <v>30.438577449112202</v>
      </c>
      <c r="U246" s="14">
        <f t="shared" si="92"/>
        <v>12.701691698444549</v>
      </c>
      <c r="V246" s="14">
        <f t="shared" si="93"/>
        <v>1.8536297978470464</v>
      </c>
      <c r="W246" s="14">
        <v>29.064384084379665</v>
      </c>
      <c r="X246" s="16">
        <f t="shared" si="94"/>
        <v>11.911355288730967</v>
      </c>
      <c r="Y246" s="16">
        <f t="shared" si="99"/>
        <v>0.23576397261854118</v>
      </c>
      <c r="Z246" s="16">
        <f t="shared" si="95"/>
        <v>0.9181089783439168</v>
      </c>
      <c r="AA246" s="16">
        <f t="shared" si="96"/>
        <v>3.6967115339876924</v>
      </c>
      <c r="AB246" s="16">
        <f t="shared" si="79"/>
        <v>0.71572427569017161</v>
      </c>
      <c r="AC246" s="14">
        <f t="shared" si="100"/>
        <v>1.8536297978470464</v>
      </c>
      <c r="AD246" s="16">
        <f t="shared" si="80"/>
        <v>7.3885367806109787</v>
      </c>
      <c r="AE246" s="16">
        <f t="shared" si="81"/>
        <v>1.2168040709921333</v>
      </c>
      <c r="AF246" s="23" t="str">
        <f t="shared" si="97"/>
        <v/>
      </c>
      <c r="AG246" s="23" t="str">
        <f t="shared" si="77"/>
        <v/>
      </c>
      <c r="AH246" s="23" t="str">
        <f t="shared" si="82"/>
        <v/>
      </c>
      <c r="AI246" s="23" t="str">
        <f t="shared" si="98"/>
        <v/>
      </c>
      <c r="AJ246" s="23" t="str">
        <f t="shared" si="83"/>
        <v/>
      </c>
      <c r="AK246" s="23" t="str">
        <f t="shared" si="84"/>
        <v/>
      </c>
      <c r="AL246" s="23" t="str">
        <f t="shared" si="85"/>
        <v/>
      </c>
      <c r="AM246" s="23" t="str">
        <f t="shared" si="86"/>
        <v/>
      </c>
      <c r="AN246" s="19">
        <f t="shared" si="87"/>
        <v>0</v>
      </c>
      <c r="AO246" s="26">
        <f t="shared" si="88"/>
        <v>6.4837366664224501</v>
      </c>
    </row>
    <row r="247" spans="1:41" x14ac:dyDescent="0.2">
      <c r="A247" s="12">
        <v>44801</v>
      </c>
      <c r="B247" s="6">
        <v>28</v>
      </c>
      <c r="C247" s="6">
        <v>240</v>
      </c>
      <c r="D247" s="6">
        <v>1</v>
      </c>
      <c r="E247" s="6" t="s">
        <v>12</v>
      </c>
      <c r="F247" s="6">
        <v>35</v>
      </c>
      <c r="G247" s="6">
        <v>8</v>
      </c>
      <c r="H247" s="6" t="s">
        <v>24</v>
      </c>
      <c r="I247" s="6">
        <v>3</v>
      </c>
      <c r="J247" s="14">
        <v>2.4804413942352377</v>
      </c>
      <c r="K247" s="14">
        <f t="shared" si="76"/>
        <v>1.4882648365411426</v>
      </c>
      <c r="L247" s="14">
        <v>61.504028761556746</v>
      </c>
      <c r="M247" s="14">
        <f t="shared" si="89"/>
        <v>91.534283311439978</v>
      </c>
      <c r="N247" s="16">
        <v>0.27578796835008662</v>
      </c>
      <c r="O247" s="14">
        <f t="shared" si="90"/>
        <v>25.244054028843269</v>
      </c>
      <c r="P247" s="14">
        <f t="shared" si="91"/>
        <v>66.290229282596712</v>
      </c>
      <c r="Q247" s="14">
        <v>16.297626849049017</v>
      </c>
      <c r="R247" s="14">
        <v>7.4632306816784046</v>
      </c>
      <c r="S247" s="14">
        <f t="shared" si="78"/>
        <v>28.571428571428573</v>
      </c>
      <c r="T247" s="14">
        <v>12.598175405378903</v>
      </c>
      <c r="U247" s="14">
        <f t="shared" si="92"/>
        <v>64.07399831800798</v>
      </c>
      <c r="V247" s="14">
        <f t="shared" si="93"/>
        <v>43.052820133089718</v>
      </c>
      <c r="W247" s="14">
        <v>16.818444093268134</v>
      </c>
      <c r="X247" s="16">
        <f t="shared" si="94"/>
        <v>0.37854957697702407</v>
      </c>
      <c r="Y247" s="16">
        <f t="shared" si="99"/>
        <v>8.8490042734502755E-2</v>
      </c>
      <c r="Z247" s="16">
        <f t="shared" si="95"/>
        <v>0.39398281192869516</v>
      </c>
      <c r="AA247" s="16">
        <f t="shared" si="96"/>
        <v>3.45683472520604E-2</v>
      </c>
      <c r="AB247" s="16">
        <f t="shared" si="79"/>
        <v>0.31213909737203033</v>
      </c>
      <c r="AC247" s="14">
        <f t="shared" si="100"/>
        <v>43.052820133089718</v>
      </c>
      <c r="AD247" s="16">
        <f t="shared" si="80"/>
        <v>0.12134539528479338</v>
      </c>
      <c r="AE247" s="16">
        <f t="shared" si="81"/>
        <v>0.17804942868889143</v>
      </c>
      <c r="AF247" s="23" t="str">
        <f t="shared" si="97"/>
        <v/>
      </c>
      <c r="AG247" s="23">
        <f t="shared" si="77"/>
        <v>1200</v>
      </c>
      <c r="AH247" s="23" t="str">
        <f t="shared" si="82"/>
        <v/>
      </c>
      <c r="AI247" s="23" t="str">
        <f t="shared" si="98"/>
        <v/>
      </c>
      <c r="AJ247" s="23" t="str">
        <f t="shared" si="83"/>
        <v/>
      </c>
      <c r="AK247" s="23" t="str">
        <f t="shared" si="84"/>
        <v/>
      </c>
      <c r="AL247" s="23" t="str">
        <f t="shared" si="85"/>
        <v/>
      </c>
      <c r="AM247" s="23" t="str">
        <f t="shared" si="86"/>
        <v/>
      </c>
      <c r="AN247" s="19">
        <f t="shared" si="87"/>
        <v>1200</v>
      </c>
      <c r="AO247" s="26">
        <f t="shared" si="88"/>
        <v>-1133.7097707174032</v>
      </c>
    </row>
    <row r="248" spans="1:41" x14ac:dyDescent="0.2">
      <c r="A248" s="12">
        <v>44802</v>
      </c>
      <c r="B248" s="6">
        <v>29</v>
      </c>
      <c r="C248" s="6">
        <v>241</v>
      </c>
      <c r="D248" s="6">
        <v>2</v>
      </c>
      <c r="E248" s="6" t="s">
        <v>13</v>
      </c>
      <c r="F248" s="6">
        <v>35</v>
      </c>
      <c r="G248" s="6">
        <v>8</v>
      </c>
      <c r="H248" s="6" t="s">
        <v>24</v>
      </c>
      <c r="I248" s="6">
        <v>3</v>
      </c>
      <c r="J248" s="14">
        <v>21.916993620943682</v>
      </c>
      <c r="K248" s="14">
        <f t="shared" si="76"/>
        <v>13.15019617256621</v>
      </c>
      <c r="L248" s="14">
        <v>72.677497664616297</v>
      </c>
      <c r="M248" s="14">
        <f t="shared" si="89"/>
        <v>955.72335162092691</v>
      </c>
      <c r="N248" s="16">
        <v>0.52451302619749041</v>
      </c>
      <c r="O248" s="14">
        <f t="shared" si="90"/>
        <v>501.28934736630055</v>
      </c>
      <c r="P248" s="14">
        <f t="shared" si="91"/>
        <v>454.43400425462636</v>
      </c>
      <c r="Q248" s="14">
        <v>40.655746525788977</v>
      </c>
      <c r="R248" s="14">
        <v>10.131775855168407</v>
      </c>
      <c r="S248" s="14">
        <f t="shared" si="78"/>
        <v>12.987012987012987</v>
      </c>
      <c r="T248" s="14">
        <v>27.77427428229943</v>
      </c>
      <c r="U248" s="14">
        <f t="shared" si="92"/>
        <v>669.00634613464877</v>
      </c>
      <c r="V248" s="14">
        <f t="shared" si="93"/>
        <v>50.874248365231402</v>
      </c>
      <c r="W248" s="14">
        <v>45.03993226292296</v>
      </c>
      <c r="X248" s="16">
        <f t="shared" si="94"/>
        <v>0.79914195948247213</v>
      </c>
      <c r="Y248" s="16">
        <f t="shared" si="99"/>
        <v>0.29196749444029468</v>
      </c>
      <c r="Z248" s="16">
        <f t="shared" si="95"/>
        <v>0.74930432313927209</v>
      </c>
      <c r="AA248" s="16">
        <f t="shared" si="96"/>
        <v>0.25848433333421683</v>
      </c>
      <c r="AB248" s="16">
        <f t="shared" si="79"/>
        <v>1.3588673924296963E-2</v>
      </c>
      <c r="AC248" s="14">
        <f t="shared" si="100"/>
        <v>50.874248365231402</v>
      </c>
      <c r="AD248" s="16">
        <f t="shared" si="80"/>
        <v>0.13940732937618949</v>
      </c>
      <c r="AE248" s="16">
        <f t="shared" si="81"/>
        <v>4.2539241566961795E-2</v>
      </c>
      <c r="AF248" s="23" t="str">
        <f t="shared" si="97"/>
        <v/>
      </c>
      <c r="AG248" s="23" t="str">
        <f t="shared" si="77"/>
        <v/>
      </c>
      <c r="AH248" s="23" t="str">
        <f t="shared" si="82"/>
        <v/>
      </c>
      <c r="AI248" s="23" t="str">
        <f t="shared" si="98"/>
        <v/>
      </c>
      <c r="AJ248" s="23" t="str">
        <f t="shared" si="83"/>
        <v/>
      </c>
      <c r="AK248" s="23" t="str">
        <f t="shared" si="84"/>
        <v/>
      </c>
      <c r="AL248" s="23" t="str">
        <f t="shared" si="85"/>
        <v/>
      </c>
      <c r="AM248" s="23" t="str">
        <f t="shared" si="86"/>
        <v/>
      </c>
      <c r="AN248" s="19">
        <f t="shared" si="87"/>
        <v>0</v>
      </c>
      <c r="AO248" s="26">
        <f t="shared" si="88"/>
        <v>454.43400425462636</v>
      </c>
    </row>
    <row r="249" spans="1:41" x14ac:dyDescent="0.2">
      <c r="A249" s="12">
        <v>44803</v>
      </c>
      <c r="B249" s="6">
        <v>30</v>
      </c>
      <c r="C249" s="6">
        <v>242</v>
      </c>
      <c r="D249" s="6">
        <v>3</v>
      </c>
      <c r="E249" s="6" t="s">
        <v>14</v>
      </c>
      <c r="F249" s="6">
        <v>35</v>
      </c>
      <c r="G249" s="6">
        <v>8</v>
      </c>
      <c r="H249" s="6" t="s">
        <v>24</v>
      </c>
      <c r="I249" s="6">
        <v>3</v>
      </c>
      <c r="J249" s="14">
        <v>8.6522729903513884</v>
      </c>
      <c r="K249" s="14">
        <f t="shared" si="76"/>
        <v>5.191363794210833</v>
      </c>
      <c r="L249" s="14">
        <v>15.588901527825815</v>
      </c>
      <c r="M249" s="14">
        <f t="shared" si="89"/>
        <v>80.927658983072874</v>
      </c>
      <c r="N249" s="16">
        <v>0.54544528391186464</v>
      </c>
      <c r="O249" s="14">
        <f t="shared" si="90"/>
        <v>44.14160993034475</v>
      </c>
      <c r="P249" s="14">
        <f t="shared" si="91"/>
        <v>36.786049052728124</v>
      </c>
      <c r="Q249" s="14">
        <v>41.502599584611929</v>
      </c>
      <c r="R249" s="14">
        <v>15.838750469377029</v>
      </c>
      <c r="S249" s="14">
        <f t="shared" si="78"/>
        <v>12.987012987012987</v>
      </c>
      <c r="T249" s="14">
        <v>29.025566613270524</v>
      </c>
      <c r="U249" s="14">
        <f t="shared" si="92"/>
        <v>56.649361288151006</v>
      </c>
      <c r="V249" s="14">
        <f t="shared" si="93"/>
        <v>10.91223106947807</v>
      </c>
      <c r="W249" s="14">
        <v>29.031290661022517</v>
      </c>
      <c r="X249" s="16">
        <f t="shared" si="94"/>
        <v>3.8033101865572014</v>
      </c>
      <c r="Y249" s="16">
        <f t="shared" si="99"/>
        <v>0.17881960036936184</v>
      </c>
      <c r="Z249" s="16">
        <f t="shared" si="95"/>
        <v>0.77920754844552109</v>
      </c>
      <c r="AA249" s="16">
        <f t="shared" si="96"/>
        <v>0.47573807419926045</v>
      </c>
      <c r="AB249" s="16">
        <f t="shared" si="79"/>
        <v>0.16047681534602895</v>
      </c>
      <c r="AC249" s="14">
        <f t="shared" si="100"/>
        <v>10.91223106947807</v>
      </c>
      <c r="AD249" s="16">
        <f t="shared" si="80"/>
        <v>1.0160273603053582</v>
      </c>
      <c r="AE249" s="16">
        <f t="shared" si="81"/>
        <v>0.51283578576383593</v>
      </c>
      <c r="AF249" s="23" t="str">
        <f t="shared" si="97"/>
        <v/>
      </c>
      <c r="AG249" s="23" t="str">
        <f t="shared" si="77"/>
        <v/>
      </c>
      <c r="AH249" s="23" t="str">
        <f t="shared" si="82"/>
        <v/>
      </c>
      <c r="AI249" s="23" t="str">
        <f t="shared" si="98"/>
        <v/>
      </c>
      <c r="AJ249" s="23" t="str">
        <f t="shared" si="83"/>
        <v/>
      </c>
      <c r="AK249" s="23" t="str">
        <f t="shared" si="84"/>
        <v/>
      </c>
      <c r="AL249" s="23" t="str">
        <f t="shared" si="85"/>
        <v/>
      </c>
      <c r="AM249" s="23" t="str">
        <f t="shared" si="86"/>
        <v/>
      </c>
      <c r="AN249" s="19">
        <f t="shared" si="87"/>
        <v>0</v>
      </c>
      <c r="AO249" s="26">
        <f t="shared" si="88"/>
        <v>36.786049052728124</v>
      </c>
    </row>
    <row r="250" spans="1:41" x14ac:dyDescent="0.2">
      <c r="A250" s="12">
        <v>44804</v>
      </c>
      <c r="B250" s="6">
        <v>31</v>
      </c>
      <c r="C250" s="6">
        <v>243</v>
      </c>
      <c r="D250" s="6">
        <v>4</v>
      </c>
      <c r="E250" s="6" t="s">
        <v>15</v>
      </c>
      <c r="F250" s="6">
        <v>35</v>
      </c>
      <c r="G250" s="6">
        <v>8</v>
      </c>
      <c r="H250" s="6" t="s">
        <v>24</v>
      </c>
      <c r="I250" s="6">
        <v>3</v>
      </c>
      <c r="J250" s="14">
        <v>26.978112753139438</v>
      </c>
      <c r="K250" s="14">
        <f t="shared" si="76"/>
        <v>16.186867651883663</v>
      </c>
      <c r="L250" s="14">
        <v>38.394875020541875</v>
      </c>
      <c r="M250" s="14">
        <f t="shared" si="89"/>
        <v>621.49276046812531</v>
      </c>
      <c r="N250" s="16">
        <v>0.41146680708562144</v>
      </c>
      <c r="O250" s="14">
        <f t="shared" si="90"/>
        <v>255.72364177664846</v>
      </c>
      <c r="P250" s="14">
        <f t="shared" si="91"/>
        <v>365.76911869147682</v>
      </c>
      <c r="Q250" s="14">
        <v>34.858132761700027</v>
      </c>
      <c r="R250" s="14">
        <v>7.6094068669661494</v>
      </c>
      <c r="S250" s="14">
        <f t="shared" si="78"/>
        <v>12.987012987012987</v>
      </c>
      <c r="T250" s="14">
        <v>38.079647906884531</v>
      </c>
      <c r="U250" s="14">
        <f t="shared" si="92"/>
        <v>435.04493232768772</v>
      </c>
      <c r="V250" s="14">
        <f t="shared" si="93"/>
        <v>26.876412514379311</v>
      </c>
      <c r="W250" s="14">
        <v>33.104694242975455</v>
      </c>
      <c r="X250" s="16">
        <f t="shared" si="94"/>
        <v>1.2969786329574442</v>
      </c>
      <c r="Y250" s="16">
        <f t="shared" si="99"/>
        <v>0.48895988988988726</v>
      </c>
      <c r="Z250" s="16">
        <f t="shared" si="95"/>
        <v>0.5878097244080307</v>
      </c>
      <c r="AA250" s="16">
        <f t="shared" si="96"/>
        <v>0.60227039762927548</v>
      </c>
      <c r="AB250" s="16">
        <f t="shared" si="79"/>
        <v>2.0896483133980216E-2</v>
      </c>
      <c r="AC250" s="14">
        <f t="shared" si="100"/>
        <v>26.876412514379311</v>
      </c>
      <c r="AD250" s="16">
        <f t="shared" si="80"/>
        <v>0.19818808793868958</v>
      </c>
      <c r="AE250" s="16">
        <f t="shared" si="81"/>
        <v>5.6087753516941903E-2</v>
      </c>
      <c r="AF250" s="23" t="str">
        <f t="shared" si="97"/>
        <v/>
      </c>
      <c r="AG250" s="23" t="str">
        <f t="shared" si="77"/>
        <v/>
      </c>
      <c r="AH250" s="23" t="str">
        <f t="shared" si="82"/>
        <v/>
      </c>
      <c r="AI250" s="23" t="str">
        <f t="shared" si="98"/>
        <v/>
      </c>
      <c r="AJ250" s="23" t="str">
        <f t="shared" si="83"/>
        <v/>
      </c>
      <c r="AK250" s="23" t="str">
        <f t="shared" si="84"/>
        <v/>
      </c>
      <c r="AL250" s="23" t="str">
        <f t="shared" si="85"/>
        <v/>
      </c>
      <c r="AM250" s="23" t="str">
        <f t="shared" si="86"/>
        <v/>
      </c>
      <c r="AN250" s="19">
        <f t="shared" si="87"/>
        <v>0</v>
      </c>
      <c r="AO250" s="26">
        <f t="shared" si="88"/>
        <v>365.76911869147682</v>
      </c>
    </row>
    <row r="251" spans="1:41" x14ac:dyDescent="0.2">
      <c r="A251" s="12">
        <v>44805</v>
      </c>
      <c r="B251" s="6">
        <v>1</v>
      </c>
      <c r="C251" s="6">
        <v>244</v>
      </c>
      <c r="D251" s="6">
        <v>5</v>
      </c>
      <c r="E251" s="6" t="s">
        <v>16</v>
      </c>
      <c r="F251" s="6">
        <v>35</v>
      </c>
      <c r="G251" s="6">
        <v>9</v>
      </c>
      <c r="H251" s="6" t="s">
        <v>25</v>
      </c>
      <c r="I251" s="6">
        <v>3</v>
      </c>
      <c r="J251" s="14">
        <v>19.238752520173509</v>
      </c>
      <c r="K251" s="14">
        <f t="shared" si="76"/>
        <v>11.543251512104106</v>
      </c>
      <c r="L251" s="14">
        <v>65.336648219782205</v>
      </c>
      <c r="M251" s="14">
        <f t="shared" si="89"/>
        <v>754.19736335881498</v>
      </c>
      <c r="N251" s="16">
        <v>0.56977346921394278</v>
      </c>
      <c r="O251" s="14">
        <f t="shared" si="90"/>
        <v>429.72164819296057</v>
      </c>
      <c r="P251" s="14">
        <f t="shared" si="91"/>
        <v>324.47571516585441</v>
      </c>
      <c r="Q251" s="14">
        <v>44.933110146996377</v>
      </c>
      <c r="R251" s="14">
        <v>13.904009902822336</v>
      </c>
      <c r="S251" s="14">
        <f t="shared" si="78"/>
        <v>12.987012987012987</v>
      </c>
      <c r="T251" s="14">
        <v>36.243163677338643</v>
      </c>
      <c r="U251" s="14">
        <f t="shared" si="92"/>
        <v>527.93815435117051</v>
      </c>
      <c r="V251" s="14">
        <f t="shared" si="93"/>
        <v>45.735653753847544</v>
      </c>
      <c r="W251" s="14">
        <v>30.136676238076689</v>
      </c>
      <c r="X251" s="16">
        <f t="shared" si="94"/>
        <v>0.98245256072711873</v>
      </c>
      <c r="Y251" s="16">
        <f t="shared" si="99"/>
        <v>0.38303001369207373</v>
      </c>
      <c r="Z251" s="16">
        <f t="shared" si="95"/>
        <v>0.81396209887706106</v>
      </c>
      <c r="AA251" s="16">
        <f t="shared" si="96"/>
        <v>0.25239065290791918</v>
      </c>
      <c r="AB251" s="16">
        <f t="shared" si="79"/>
        <v>1.7219647824245069E-2</v>
      </c>
      <c r="AC251" s="14">
        <f t="shared" si="100"/>
        <v>45.735653753847544</v>
      </c>
      <c r="AD251" s="16">
        <f t="shared" si="80"/>
        <v>0.21280568075747372</v>
      </c>
      <c r="AE251" s="16">
        <f t="shared" si="81"/>
        <v>5.9577389593205347E-2</v>
      </c>
      <c r="AF251" s="23">
        <f t="shared" si="97"/>
        <v>3000</v>
      </c>
      <c r="AG251" s="23" t="str">
        <f t="shared" si="77"/>
        <v/>
      </c>
      <c r="AH251" s="23" t="str">
        <f t="shared" si="82"/>
        <v/>
      </c>
      <c r="AI251" s="23" t="str">
        <f t="shared" si="98"/>
        <v/>
      </c>
      <c r="AJ251" s="23" t="str">
        <f t="shared" si="83"/>
        <v/>
      </c>
      <c r="AK251" s="23" t="str">
        <f t="shared" si="84"/>
        <v/>
      </c>
      <c r="AL251" s="23" t="str">
        <f t="shared" si="85"/>
        <v/>
      </c>
      <c r="AM251" s="23" t="str">
        <f t="shared" si="86"/>
        <v/>
      </c>
      <c r="AN251" s="19">
        <f t="shared" si="87"/>
        <v>3000</v>
      </c>
      <c r="AO251" s="26">
        <f t="shared" si="88"/>
        <v>-2675.5242848341454</v>
      </c>
    </row>
    <row r="252" spans="1:41" x14ac:dyDescent="0.2">
      <c r="A252" s="12">
        <v>44806</v>
      </c>
      <c r="B252" s="6">
        <v>2</v>
      </c>
      <c r="C252" s="6">
        <v>245</v>
      </c>
      <c r="D252" s="6">
        <v>6</v>
      </c>
      <c r="E252" s="6" t="s">
        <v>17</v>
      </c>
      <c r="F252" s="6">
        <v>35</v>
      </c>
      <c r="G252" s="6">
        <v>9</v>
      </c>
      <c r="H252" s="6" t="s">
        <v>25</v>
      </c>
      <c r="I252" s="6">
        <v>3</v>
      </c>
      <c r="J252" s="14">
        <v>9.2585196529079514</v>
      </c>
      <c r="K252" s="14">
        <f t="shared" si="76"/>
        <v>5.5551117917447712</v>
      </c>
      <c r="L252" s="14">
        <v>69.896731379854685</v>
      </c>
      <c r="M252" s="14">
        <f t="shared" si="89"/>
        <v>388.28415669264751</v>
      </c>
      <c r="N252" s="16">
        <v>0.75149852692271824</v>
      </c>
      <c r="O252" s="14">
        <f t="shared" si="90"/>
        <v>291.79497178195453</v>
      </c>
      <c r="P252" s="14">
        <f t="shared" si="91"/>
        <v>96.489184910692984</v>
      </c>
      <c r="Q252" s="14">
        <v>33.162885624072352</v>
      </c>
      <c r="R252" s="14">
        <v>17.16596580373</v>
      </c>
      <c r="S252" s="14">
        <f t="shared" si="78"/>
        <v>12.987012987012987</v>
      </c>
      <c r="T252" s="14">
        <v>33.01487951040594</v>
      </c>
      <c r="U252" s="14">
        <f t="shared" si="92"/>
        <v>271.79890968485324</v>
      </c>
      <c r="V252" s="14">
        <f t="shared" si="93"/>
        <v>48.927711965898276</v>
      </c>
      <c r="W252" s="14">
        <v>30.477889285632045</v>
      </c>
      <c r="X252" s="16">
        <f t="shared" si="94"/>
        <v>0.67779350988630493</v>
      </c>
      <c r="Y252" s="16">
        <f t="shared" si="99"/>
        <v>0.18226694570885441</v>
      </c>
      <c r="Z252" s="16">
        <f t="shared" si="95"/>
        <v>1.0735693241753119</v>
      </c>
      <c r="AA252" s="16">
        <f t="shared" si="96"/>
        <v>0.11353712586471615</v>
      </c>
      <c r="AB252" s="16">
        <f t="shared" si="79"/>
        <v>3.3447187486696922E-2</v>
      </c>
      <c r="AC252" s="14">
        <f t="shared" si="100"/>
        <v>48.927711965898276</v>
      </c>
      <c r="AD252" s="16">
        <f t="shared" si="80"/>
        <v>0.24559039406923533</v>
      </c>
      <c r="AE252" s="16">
        <f t="shared" si="81"/>
        <v>8.5408804486254014E-2</v>
      </c>
      <c r="AF252" s="23" t="str">
        <f t="shared" si="97"/>
        <v/>
      </c>
      <c r="AG252" s="23" t="str">
        <f t="shared" si="77"/>
        <v/>
      </c>
      <c r="AH252" s="23" t="str">
        <f t="shared" si="82"/>
        <v/>
      </c>
      <c r="AI252" s="23" t="str">
        <f t="shared" si="98"/>
        <v/>
      </c>
      <c r="AJ252" s="23" t="str">
        <f t="shared" si="83"/>
        <v/>
      </c>
      <c r="AK252" s="23" t="str">
        <f t="shared" si="84"/>
        <v/>
      </c>
      <c r="AL252" s="23" t="str">
        <f t="shared" si="85"/>
        <v/>
      </c>
      <c r="AM252" s="23" t="str">
        <f t="shared" si="86"/>
        <v/>
      </c>
      <c r="AN252" s="19">
        <f t="shared" si="87"/>
        <v>0</v>
      </c>
      <c r="AO252" s="26">
        <f t="shared" si="88"/>
        <v>96.489184910692984</v>
      </c>
    </row>
    <row r="253" spans="1:41" x14ac:dyDescent="0.2">
      <c r="A253" s="12">
        <v>44807</v>
      </c>
      <c r="B253" s="6">
        <v>3</v>
      </c>
      <c r="C253" s="6">
        <v>246</v>
      </c>
      <c r="D253" s="6">
        <v>7</v>
      </c>
      <c r="E253" s="6" t="s">
        <v>10</v>
      </c>
      <c r="F253" s="6">
        <v>35</v>
      </c>
      <c r="G253" s="6">
        <v>9</v>
      </c>
      <c r="H253" s="6" t="s">
        <v>25</v>
      </c>
      <c r="I253" s="6">
        <v>3</v>
      </c>
      <c r="J253" s="14">
        <v>17.38376199540248</v>
      </c>
      <c r="K253" s="14">
        <f t="shared" si="76"/>
        <v>10.430257197241488</v>
      </c>
      <c r="L253" s="14">
        <v>70.843645525148148</v>
      </c>
      <c r="M253" s="14">
        <f t="shared" si="89"/>
        <v>738.91744361750125</v>
      </c>
      <c r="N253" s="16">
        <v>0.36593374082188801</v>
      </c>
      <c r="O253" s="14">
        <f t="shared" si="90"/>
        <v>270.39482430149877</v>
      </c>
      <c r="P253" s="14">
        <f t="shared" si="91"/>
        <v>468.52261931600248</v>
      </c>
      <c r="Q253" s="14">
        <v>37.291972837422627</v>
      </c>
      <c r="R253" s="14">
        <v>7.2056413565368684</v>
      </c>
      <c r="S253" s="14">
        <f t="shared" si="78"/>
        <v>12.987012987012987</v>
      </c>
      <c r="T253" s="14">
        <v>35.695938783432887</v>
      </c>
      <c r="U253" s="14">
        <f t="shared" si="92"/>
        <v>517.24221053225085</v>
      </c>
      <c r="V253" s="14">
        <f t="shared" si="93"/>
        <v>49.5905518676037</v>
      </c>
      <c r="W253" s="14">
        <v>38.150194555918318</v>
      </c>
      <c r="X253" s="16">
        <f t="shared" si="94"/>
        <v>0.75199753648606926</v>
      </c>
      <c r="Y253" s="16">
        <f t="shared" si="99"/>
        <v>0.2733998428750718</v>
      </c>
      <c r="Z253" s="16">
        <f t="shared" si="95"/>
        <v>0.52276248688841154</v>
      </c>
      <c r="AA253" s="16">
        <f t="shared" si="96"/>
        <v>0.21032750805209977</v>
      </c>
      <c r="AB253" s="16">
        <f t="shared" si="79"/>
        <v>1.7575729331050522E-2</v>
      </c>
      <c r="AC253" s="14">
        <f t="shared" si="100"/>
        <v>49.5905518676037</v>
      </c>
      <c r="AD253" s="16">
        <f t="shared" si="80"/>
        <v>0.10171189389144299</v>
      </c>
      <c r="AE253" s="16">
        <f t="shared" si="81"/>
        <v>5.0468388802479974E-2</v>
      </c>
      <c r="AF253" s="23" t="str">
        <f t="shared" si="97"/>
        <v/>
      </c>
      <c r="AG253" s="23" t="str">
        <f t="shared" si="77"/>
        <v/>
      </c>
      <c r="AH253" s="23" t="str">
        <f t="shared" si="82"/>
        <v/>
      </c>
      <c r="AI253" s="23" t="str">
        <f t="shared" si="98"/>
        <v/>
      </c>
      <c r="AJ253" s="23" t="str">
        <f t="shared" si="83"/>
        <v/>
      </c>
      <c r="AK253" s="23" t="str">
        <f t="shared" si="84"/>
        <v/>
      </c>
      <c r="AL253" s="23" t="str">
        <f t="shared" si="85"/>
        <v/>
      </c>
      <c r="AM253" s="23" t="str">
        <f t="shared" si="86"/>
        <v/>
      </c>
      <c r="AN253" s="19">
        <f t="shared" si="87"/>
        <v>0</v>
      </c>
      <c r="AO253" s="26">
        <f t="shared" si="88"/>
        <v>468.52261931600248</v>
      </c>
    </row>
    <row r="254" spans="1:41" x14ac:dyDescent="0.2">
      <c r="A254" s="12">
        <v>44808</v>
      </c>
      <c r="B254" s="6">
        <v>4</v>
      </c>
      <c r="C254" s="6">
        <v>247</v>
      </c>
      <c r="D254" s="6">
        <v>1</v>
      </c>
      <c r="E254" s="6" t="s">
        <v>12</v>
      </c>
      <c r="F254" s="6">
        <v>36</v>
      </c>
      <c r="G254" s="6">
        <v>9</v>
      </c>
      <c r="H254" s="6" t="s">
        <v>25</v>
      </c>
      <c r="I254" s="6">
        <v>3</v>
      </c>
      <c r="J254" s="14">
        <v>7.2610183645875708</v>
      </c>
      <c r="K254" s="14">
        <f t="shared" ref="K254:K311" si="101">J254-(J254*0.4)</f>
        <v>4.3566110187525418</v>
      </c>
      <c r="L254" s="14">
        <v>24.711915272786257</v>
      </c>
      <c r="M254" s="14">
        <f t="shared" si="89"/>
        <v>107.66020237189983</v>
      </c>
      <c r="N254" s="16">
        <v>0.39085272663211129</v>
      </c>
      <c r="O254" s="14">
        <f t="shared" si="90"/>
        <v>42.079283646821942</v>
      </c>
      <c r="P254" s="14">
        <f t="shared" si="91"/>
        <v>65.580918725077879</v>
      </c>
      <c r="Q254" s="14">
        <v>21.737175587463181</v>
      </c>
      <c r="R254" s="14">
        <v>8.9769177142972794</v>
      </c>
      <c r="S254" s="14">
        <f t="shared" si="78"/>
        <v>28.571428571428573</v>
      </c>
      <c r="T254" s="14">
        <v>14.523547117848075</v>
      </c>
      <c r="U254" s="14">
        <f t="shared" si="92"/>
        <v>75.362141660329868</v>
      </c>
      <c r="V254" s="14">
        <f t="shared" si="93"/>
        <v>17.298340690950376</v>
      </c>
      <c r="W254" s="14">
        <v>12.241245174797459</v>
      </c>
      <c r="X254" s="16">
        <f t="shared" si="94"/>
        <v>1.2566046637545405</v>
      </c>
      <c r="Y254" s="16">
        <f t="shared" si="99"/>
        <v>0.35589606747866032</v>
      </c>
      <c r="Z254" s="16">
        <f t="shared" si="95"/>
        <v>0.55836103804587334</v>
      </c>
      <c r="AA254" s="16">
        <f t="shared" si="96"/>
        <v>0.25185138254513062</v>
      </c>
      <c r="AB254" s="16">
        <f t="shared" si="79"/>
        <v>0.26538523931742064</v>
      </c>
      <c r="AC254" s="14">
        <f t="shared" si="100"/>
        <v>17.298340690950376</v>
      </c>
      <c r="AD254" s="16">
        <f t="shared" si="80"/>
        <v>0.36326272630851147</v>
      </c>
      <c r="AE254" s="16">
        <f t="shared" si="81"/>
        <v>0.20190539408772984</v>
      </c>
      <c r="AF254" s="23" t="str">
        <f t="shared" si="97"/>
        <v/>
      </c>
      <c r="AG254" s="23">
        <f t="shared" ref="AG254:AG285" si="102">IF(E254=$AG$6,$AG$4,"")</f>
        <v>1200</v>
      </c>
      <c r="AH254" s="23" t="str">
        <f t="shared" si="82"/>
        <v/>
      </c>
      <c r="AI254" s="23" t="str">
        <f t="shared" si="98"/>
        <v/>
      </c>
      <c r="AJ254" s="23" t="str">
        <f t="shared" si="83"/>
        <v/>
      </c>
      <c r="AK254" s="23" t="str">
        <f t="shared" si="84"/>
        <v/>
      </c>
      <c r="AL254" s="23" t="str">
        <f t="shared" si="85"/>
        <v/>
      </c>
      <c r="AM254" s="23" t="str">
        <f t="shared" si="86"/>
        <v/>
      </c>
      <c r="AN254" s="19">
        <f t="shared" si="87"/>
        <v>1200</v>
      </c>
      <c r="AO254" s="26">
        <f t="shared" si="88"/>
        <v>-1134.4190812749221</v>
      </c>
    </row>
    <row r="255" spans="1:41" x14ac:dyDescent="0.2">
      <c r="A255" s="12">
        <v>44809</v>
      </c>
      <c r="B255" s="6">
        <v>5</v>
      </c>
      <c r="C255" s="6">
        <v>248</v>
      </c>
      <c r="D255" s="6">
        <v>2</v>
      </c>
      <c r="E255" s="6" t="s">
        <v>13</v>
      </c>
      <c r="F255" s="6">
        <v>36</v>
      </c>
      <c r="G255" s="6">
        <v>9</v>
      </c>
      <c r="H255" s="6" t="s">
        <v>25</v>
      </c>
      <c r="I255" s="6">
        <v>3</v>
      </c>
      <c r="J255" s="14">
        <v>23.111846320589699</v>
      </c>
      <c r="K255" s="14">
        <f t="shared" si="101"/>
        <v>13.867107792353819</v>
      </c>
      <c r="L255" s="14">
        <v>52.307536605070247</v>
      </c>
      <c r="M255" s="14">
        <f t="shared" si="89"/>
        <v>725.35424845500222</v>
      </c>
      <c r="N255" s="16">
        <v>0.77149546821072013</v>
      </c>
      <c r="O255" s="14">
        <f t="shared" si="90"/>
        <v>559.60751553042701</v>
      </c>
      <c r="P255" s="14">
        <f t="shared" si="91"/>
        <v>165.74673292457521</v>
      </c>
      <c r="Q255" s="14">
        <v>36.064822439868685</v>
      </c>
      <c r="R255" s="14">
        <v>20.829557917202749</v>
      </c>
      <c r="S255" s="14">
        <f t="shared" si="78"/>
        <v>12.987012987012987</v>
      </c>
      <c r="T255" s="14">
        <v>30.904014616089889</v>
      </c>
      <c r="U255" s="14">
        <f t="shared" si="92"/>
        <v>507.74797391850154</v>
      </c>
      <c r="V255" s="14">
        <f t="shared" si="93"/>
        <v>36.615275623549174</v>
      </c>
      <c r="W255" s="14">
        <v>32.265374041977651</v>
      </c>
      <c r="X255" s="16">
        <f t="shared" si="94"/>
        <v>0.98496656998188858</v>
      </c>
      <c r="Y255" s="16">
        <f t="shared" si="99"/>
        <v>0.42978295476483674</v>
      </c>
      <c r="Z255" s="16">
        <f t="shared" si="95"/>
        <v>1.1021363831581716</v>
      </c>
      <c r="AA255" s="16">
        <f t="shared" si="96"/>
        <v>0.37872465948160627</v>
      </c>
      <c r="AB255" s="16">
        <f t="shared" si="79"/>
        <v>1.7904372952492115E-2</v>
      </c>
      <c r="AC255" s="14">
        <f t="shared" si="100"/>
        <v>36.615275623549174</v>
      </c>
      <c r="AD255" s="16">
        <f t="shared" si="80"/>
        <v>0.39821332200116855</v>
      </c>
      <c r="AE255" s="16">
        <f t="shared" si="81"/>
        <v>4.9720288420018799E-2</v>
      </c>
      <c r="AF255" s="23" t="str">
        <f t="shared" si="97"/>
        <v/>
      </c>
      <c r="AG255" s="23" t="str">
        <f t="shared" si="102"/>
        <v/>
      </c>
      <c r="AH255" s="23" t="str">
        <f t="shared" si="82"/>
        <v/>
      </c>
      <c r="AI255" s="23" t="str">
        <f t="shared" si="98"/>
        <v/>
      </c>
      <c r="AJ255" s="23" t="str">
        <f t="shared" si="83"/>
        <v/>
      </c>
      <c r="AK255" s="23" t="str">
        <f t="shared" si="84"/>
        <v/>
      </c>
      <c r="AL255" s="23" t="str">
        <f t="shared" si="85"/>
        <v/>
      </c>
      <c r="AM255" s="23">
        <f t="shared" si="86"/>
        <v>1000</v>
      </c>
      <c r="AN255" s="19">
        <f t="shared" si="87"/>
        <v>1000</v>
      </c>
      <c r="AO255" s="26">
        <f t="shared" si="88"/>
        <v>-834.25326707542479</v>
      </c>
    </row>
    <row r="256" spans="1:41" x14ac:dyDescent="0.2">
      <c r="A256" s="12">
        <v>44810</v>
      </c>
      <c r="B256" s="6">
        <v>6</v>
      </c>
      <c r="C256" s="6">
        <v>249</v>
      </c>
      <c r="D256" s="6">
        <v>3</v>
      </c>
      <c r="E256" s="6" t="s">
        <v>14</v>
      </c>
      <c r="F256" s="6">
        <v>36</v>
      </c>
      <c r="G256" s="6">
        <v>9</v>
      </c>
      <c r="H256" s="6" t="s">
        <v>25</v>
      </c>
      <c r="I256" s="6">
        <v>3</v>
      </c>
      <c r="J256" s="14">
        <v>13.532986950590708</v>
      </c>
      <c r="K256" s="14">
        <f t="shared" si="101"/>
        <v>8.1197921703544242</v>
      </c>
      <c r="L256" s="14">
        <v>73.665359244407981</v>
      </c>
      <c r="M256" s="14">
        <f t="shared" si="89"/>
        <v>598.14740721908981</v>
      </c>
      <c r="N256" s="16">
        <v>0.90382172931622784</v>
      </c>
      <c r="O256" s="14">
        <f t="shared" si="90"/>
        <v>540.61862397877564</v>
      </c>
      <c r="P256" s="14">
        <f t="shared" si="91"/>
        <v>57.528783240314169</v>
      </c>
      <c r="Q256" s="14">
        <v>30.405603273950764</v>
      </c>
      <c r="R256" s="14">
        <v>26.834479082949791</v>
      </c>
      <c r="S256" s="14">
        <f t="shared" si="78"/>
        <v>12.987012987012987</v>
      </c>
      <c r="T256" s="14">
        <v>38.465574493639799</v>
      </c>
      <c r="U256" s="14">
        <f t="shared" si="92"/>
        <v>418.70318505336286</v>
      </c>
      <c r="V256" s="14">
        <f t="shared" si="93"/>
        <v>51.565751471085584</v>
      </c>
      <c r="W256" s="14">
        <v>33.023127308417919</v>
      </c>
      <c r="X256" s="16">
        <f t="shared" si="94"/>
        <v>0.58964724466393303</v>
      </c>
      <c r="Y256" s="16">
        <f t="shared" si="99"/>
        <v>0.24588198732724534</v>
      </c>
      <c r="Z256" s="16">
        <f t="shared" si="95"/>
        <v>1.2911738990231825</v>
      </c>
      <c r="AA256" s="16">
        <f t="shared" si="96"/>
        <v>0.15746482769493678</v>
      </c>
      <c r="AB256" s="16">
        <f t="shared" si="79"/>
        <v>2.1712060990771956E-2</v>
      </c>
      <c r="AC256" s="14">
        <f t="shared" si="100"/>
        <v>51.565751471085584</v>
      </c>
      <c r="AD256" s="16">
        <f t="shared" si="80"/>
        <v>0.36427541191943386</v>
      </c>
      <c r="AE256" s="16">
        <f t="shared" si="81"/>
        <v>5.083296008138305E-2</v>
      </c>
      <c r="AF256" s="23" t="str">
        <f t="shared" si="97"/>
        <v/>
      </c>
      <c r="AG256" s="23" t="str">
        <f t="shared" si="102"/>
        <v/>
      </c>
      <c r="AH256" s="23" t="str">
        <f t="shared" si="82"/>
        <v/>
      </c>
      <c r="AI256" s="23" t="str">
        <f t="shared" si="98"/>
        <v/>
      </c>
      <c r="AJ256" s="23" t="str">
        <f t="shared" si="83"/>
        <v/>
      </c>
      <c r="AK256" s="23" t="str">
        <f t="shared" si="84"/>
        <v/>
      </c>
      <c r="AL256" s="23" t="str">
        <f t="shared" si="85"/>
        <v/>
      </c>
      <c r="AM256" s="23" t="str">
        <f t="shared" si="86"/>
        <v/>
      </c>
      <c r="AN256" s="19">
        <f t="shared" si="87"/>
        <v>0</v>
      </c>
      <c r="AO256" s="26">
        <f t="shared" si="88"/>
        <v>57.528783240314169</v>
      </c>
    </row>
    <row r="257" spans="1:41" x14ac:dyDescent="0.2">
      <c r="A257" s="12">
        <v>44811</v>
      </c>
      <c r="B257" s="6">
        <v>7</v>
      </c>
      <c r="C257" s="6">
        <v>250</v>
      </c>
      <c r="D257" s="6">
        <v>4</v>
      </c>
      <c r="E257" s="6" t="s">
        <v>15</v>
      </c>
      <c r="F257" s="6">
        <v>36</v>
      </c>
      <c r="G257" s="6">
        <v>9</v>
      </c>
      <c r="H257" s="6" t="s">
        <v>25</v>
      </c>
      <c r="I257" s="6">
        <v>3</v>
      </c>
      <c r="J257" s="14">
        <v>9.0650215536079433</v>
      </c>
      <c r="K257" s="14">
        <f t="shared" si="101"/>
        <v>5.4390129321647658</v>
      </c>
      <c r="L257" s="14">
        <v>71.172520718819754</v>
      </c>
      <c r="M257" s="14">
        <f t="shared" si="89"/>
        <v>387.10826060442537</v>
      </c>
      <c r="N257" s="16">
        <v>0.62469670994530746</v>
      </c>
      <c r="O257" s="14">
        <f t="shared" si="90"/>
        <v>241.82525679223519</v>
      </c>
      <c r="P257" s="14">
        <f t="shared" si="91"/>
        <v>145.28300381219017</v>
      </c>
      <c r="Q257" s="14">
        <v>43.596966007804866</v>
      </c>
      <c r="R257" s="14">
        <v>15.3201463985693</v>
      </c>
      <c r="S257" s="14">
        <f t="shared" si="78"/>
        <v>12.987012987012987</v>
      </c>
      <c r="T257" s="14">
        <v>38.692477992767081</v>
      </c>
      <c r="U257" s="14">
        <f t="shared" si="92"/>
        <v>270.97578242309771</v>
      </c>
      <c r="V257" s="14">
        <f t="shared" si="93"/>
        <v>49.82076450317382</v>
      </c>
      <c r="W257" s="14">
        <v>30.496350518190653</v>
      </c>
      <c r="X257" s="16">
        <f t="shared" si="94"/>
        <v>0.87507621455763751</v>
      </c>
      <c r="Y257" s="16">
        <f t="shared" si="99"/>
        <v>0.17834963330843373</v>
      </c>
      <c r="Z257" s="16">
        <f t="shared" si="95"/>
        <v>0.89242387135043932</v>
      </c>
      <c r="AA257" s="16">
        <f t="shared" si="96"/>
        <v>0.10917160718836971</v>
      </c>
      <c r="AB257" s="16">
        <f t="shared" si="79"/>
        <v>3.3548788048943332E-2</v>
      </c>
      <c r="AC257" s="14">
        <f t="shared" si="100"/>
        <v>49.82076450317382</v>
      </c>
      <c r="AD257" s="16">
        <f t="shared" si="80"/>
        <v>0.21525367155526751</v>
      </c>
      <c r="AE257" s="16">
        <f t="shared" si="81"/>
        <v>0.11262215365730811</v>
      </c>
      <c r="AF257" s="23" t="str">
        <f t="shared" si="97"/>
        <v/>
      </c>
      <c r="AG257" s="23" t="str">
        <f t="shared" si="102"/>
        <v/>
      </c>
      <c r="AH257" s="23" t="str">
        <f t="shared" si="82"/>
        <v/>
      </c>
      <c r="AI257" s="23" t="str">
        <f t="shared" si="98"/>
        <v/>
      </c>
      <c r="AJ257" s="23" t="str">
        <f t="shared" si="83"/>
        <v/>
      </c>
      <c r="AK257" s="23" t="str">
        <f t="shared" si="84"/>
        <v/>
      </c>
      <c r="AL257" s="23" t="str">
        <f t="shared" si="85"/>
        <v/>
      </c>
      <c r="AM257" s="23" t="str">
        <f t="shared" si="86"/>
        <v/>
      </c>
      <c r="AN257" s="19">
        <f t="shared" si="87"/>
        <v>0</v>
      </c>
      <c r="AO257" s="26">
        <f t="shared" si="88"/>
        <v>145.28300381219017</v>
      </c>
    </row>
    <row r="258" spans="1:41" x14ac:dyDescent="0.2">
      <c r="A258" s="12">
        <v>44812</v>
      </c>
      <c r="B258" s="6">
        <v>8</v>
      </c>
      <c r="C258" s="6">
        <v>251</v>
      </c>
      <c r="D258" s="6">
        <v>5</v>
      </c>
      <c r="E258" s="6" t="s">
        <v>16</v>
      </c>
      <c r="F258" s="6">
        <v>36</v>
      </c>
      <c r="G258" s="6">
        <v>9</v>
      </c>
      <c r="H258" s="6" t="s">
        <v>25</v>
      </c>
      <c r="I258" s="6">
        <v>3</v>
      </c>
      <c r="J258" s="14">
        <v>13.681707662762335</v>
      </c>
      <c r="K258" s="14">
        <f t="shared" si="101"/>
        <v>8.2090245976574003</v>
      </c>
      <c r="L258" s="14">
        <v>69.516216290456299</v>
      </c>
      <c r="M258" s="14">
        <f t="shared" si="89"/>
        <v>570.66032946442783</v>
      </c>
      <c r="N258" s="16">
        <v>0.61054566827910217</v>
      </c>
      <c r="O258" s="14">
        <f t="shared" si="90"/>
        <v>348.41419221323173</v>
      </c>
      <c r="P258" s="14">
        <f t="shared" si="91"/>
        <v>222.2461372511961</v>
      </c>
      <c r="Q258" s="14">
        <v>36.002168390594001</v>
      </c>
      <c r="R258" s="14">
        <v>17.323677813917136</v>
      </c>
      <c r="S258" s="14">
        <f t="shared" si="78"/>
        <v>12.987012987012987</v>
      </c>
      <c r="T258" s="14">
        <v>34.339975235473368</v>
      </c>
      <c r="U258" s="14">
        <f t="shared" si="92"/>
        <v>399.46223062509944</v>
      </c>
      <c r="V258" s="14">
        <f t="shared" si="93"/>
        <v>48.661351403319401</v>
      </c>
      <c r="W258" s="14">
        <v>34.400872745552988</v>
      </c>
      <c r="X258" s="16">
        <f t="shared" si="94"/>
        <v>0.73985138826494112</v>
      </c>
      <c r="Y258" s="16">
        <f t="shared" si="99"/>
        <v>0.23862838185460233</v>
      </c>
      <c r="Z258" s="16">
        <f t="shared" si="95"/>
        <v>0.87220809754157469</v>
      </c>
      <c r="AA258" s="16">
        <f t="shared" si="96"/>
        <v>0.16869701232953072</v>
      </c>
      <c r="AB258" s="16">
        <f t="shared" si="79"/>
        <v>2.2757868939657096E-2</v>
      </c>
      <c r="AC258" s="14">
        <f t="shared" si="100"/>
        <v>48.661351403319401</v>
      </c>
      <c r="AD258" s="16">
        <f t="shared" si="80"/>
        <v>0.24920340516714024</v>
      </c>
      <c r="AE258" s="16">
        <f t="shared" si="81"/>
        <v>6.3088612492798485E-2</v>
      </c>
      <c r="AF258" s="23" t="str">
        <f t="shared" si="97"/>
        <v/>
      </c>
      <c r="AG258" s="23" t="str">
        <f t="shared" si="102"/>
        <v/>
      </c>
      <c r="AH258" s="23" t="str">
        <f t="shared" si="82"/>
        <v/>
      </c>
      <c r="AI258" s="23" t="str">
        <f t="shared" si="98"/>
        <v/>
      </c>
      <c r="AJ258" s="23" t="str">
        <f t="shared" si="83"/>
        <v/>
      </c>
      <c r="AK258" s="23" t="str">
        <f t="shared" si="84"/>
        <v/>
      </c>
      <c r="AL258" s="23" t="str">
        <f t="shared" si="85"/>
        <v/>
      </c>
      <c r="AM258" s="23" t="str">
        <f t="shared" si="86"/>
        <v/>
      </c>
      <c r="AN258" s="19">
        <f t="shared" si="87"/>
        <v>0</v>
      </c>
      <c r="AO258" s="26">
        <f t="shared" si="88"/>
        <v>222.2461372511961</v>
      </c>
    </row>
    <row r="259" spans="1:41" x14ac:dyDescent="0.2">
      <c r="A259" s="12">
        <v>44813</v>
      </c>
      <c r="B259" s="6">
        <v>9</v>
      </c>
      <c r="C259" s="6">
        <v>252</v>
      </c>
      <c r="D259" s="6">
        <v>6</v>
      </c>
      <c r="E259" s="6" t="s">
        <v>17</v>
      </c>
      <c r="F259" s="6">
        <v>36</v>
      </c>
      <c r="G259" s="6">
        <v>9</v>
      </c>
      <c r="H259" s="6" t="s">
        <v>25</v>
      </c>
      <c r="I259" s="6">
        <v>3</v>
      </c>
      <c r="J259" s="14">
        <v>30.050511296272543</v>
      </c>
      <c r="K259" s="14">
        <f t="shared" si="101"/>
        <v>18.030306777763524</v>
      </c>
      <c r="L259" s="14">
        <v>30.881148382064907</v>
      </c>
      <c r="M259" s="14">
        <f t="shared" si="89"/>
        <v>556.79657897826598</v>
      </c>
      <c r="N259" s="16">
        <v>0.58842707209582101</v>
      </c>
      <c r="O259" s="14">
        <f t="shared" si="90"/>
        <v>327.63418072115064</v>
      </c>
      <c r="P259" s="14">
        <f t="shared" si="91"/>
        <v>229.16239825711534</v>
      </c>
      <c r="Q259" s="14">
        <v>46.929945030813805</v>
      </c>
      <c r="R259" s="14">
        <v>8.9142688790800477</v>
      </c>
      <c r="S259" s="14">
        <f t="shared" si="78"/>
        <v>12.987012987012987</v>
      </c>
      <c r="T259" s="14">
        <v>38.052217681834385</v>
      </c>
      <c r="U259" s="14">
        <f t="shared" si="92"/>
        <v>389.75760528478617</v>
      </c>
      <c r="V259" s="14">
        <f t="shared" si="93"/>
        <v>21.616803867445434</v>
      </c>
      <c r="W259" s="14">
        <v>29.277056202327177</v>
      </c>
      <c r="X259" s="16">
        <f t="shared" si="94"/>
        <v>2.1709937009462146</v>
      </c>
      <c r="Y259" s="16">
        <f t="shared" si="99"/>
        <v>0.61585108329061888</v>
      </c>
      <c r="Z259" s="16">
        <f t="shared" si="95"/>
        <v>0.84061010299403016</v>
      </c>
      <c r="AA259" s="16">
        <f t="shared" si="96"/>
        <v>0.8340875408004641</v>
      </c>
      <c r="AB259" s="16">
        <f t="shared" si="79"/>
        <v>2.3324520080285769E-2</v>
      </c>
      <c r="AC259" s="14">
        <f t="shared" si="100"/>
        <v>21.616803867445434</v>
      </c>
      <c r="AD259" s="16">
        <f t="shared" si="80"/>
        <v>0.2886637753490171</v>
      </c>
      <c r="AE259" s="16">
        <f t="shared" si="81"/>
        <v>8.4285620283320151E-2</v>
      </c>
      <c r="AF259" s="23" t="str">
        <f t="shared" si="97"/>
        <v/>
      </c>
      <c r="AG259" s="23" t="str">
        <f t="shared" si="102"/>
        <v/>
      </c>
      <c r="AH259" s="23" t="str">
        <f t="shared" si="82"/>
        <v/>
      </c>
      <c r="AI259" s="23" t="str">
        <f t="shared" si="98"/>
        <v/>
      </c>
      <c r="AJ259" s="23" t="str">
        <f t="shared" si="83"/>
        <v/>
      </c>
      <c r="AK259" s="23" t="str">
        <f t="shared" si="84"/>
        <v/>
      </c>
      <c r="AL259" s="23" t="str">
        <f t="shared" si="85"/>
        <v/>
      </c>
      <c r="AM259" s="23" t="str">
        <f t="shared" si="86"/>
        <v/>
      </c>
      <c r="AN259" s="19">
        <f t="shared" si="87"/>
        <v>0</v>
      </c>
      <c r="AO259" s="26">
        <f t="shared" si="88"/>
        <v>229.16239825711534</v>
      </c>
    </row>
    <row r="260" spans="1:41" x14ac:dyDescent="0.2">
      <c r="A260" s="12">
        <v>44814</v>
      </c>
      <c r="B260" s="6">
        <v>10</v>
      </c>
      <c r="C260" s="6">
        <v>253</v>
      </c>
      <c r="D260" s="6">
        <v>7</v>
      </c>
      <c r="E260" s="6" t="s">
        <v>10</v>
      </c>
      <c r="F260" s="6">
        <v>36</v>
      </c>
      <c r="G260" s="6">
        <v>9</v>
      </c>
      <c r="H260" s="6" t="s">
        <v>25</v>
      </c>
      <c r="I260" s="6">
        <v>3</v>
      </c>
      <c r="J260" s="14">
        <v>15.4645484805738</v>
      </c>
      <c r="K260" s="14">
        <f t="shared" si="101"/>
        <v>9.2787290883442797</v>
      </c>
      <c r="L260" s="14">
        <v>16.703969102051168</v>
      </c>
      <c r="M260" s="14">
        <f t="shared" si="89"/>
        <v>154.99160399800624</v>
      </c>
      <c r="N260" s="16">
        <v>0.28265579692555826</v>
      </c>
      <c r="O260" s="14">
        <f t="shared" si="90"/>
        <v>43.809275344826993</v>
      </c>
      <c r="P260" s="14">
        <f t="shared" si="91"/>
        <v>111.18232865317924</v>
      </c>
      <c r="Q260" s="14">
        <v>34.224697909645137</v>
      </c>
      <c r="R260" s="14">
        <v>16.420553749073253</v>
      </c>
      <c r="S260" s="14">
        <f t="shared" si="78"/>
        <v>12.987012987012987</v>
      </c>
      <c r="T260" s="14">
        <v>36.836966396923366</v>
      </c>
      <c r="U260" s="14">
        <f t="shared" si="92"/>
        <v>108.49412279860437</v>
      </c>
      <c r="V260" s="14">
        <f t="shared" si="93"/>
        <v>11.692778371435816</v>
      </c>
      <c r="W260" s="14">
        <v>29.802785106218828</v>
      </c>
      <c r="X260" s="16">
        <f t="shared" si="94"/>
        <v>2.9269944937340422</v>
      </c>
      <c r="Y260" s="16">
        <f t="shared" si="99"/>
        <v>0.3113376503328249</v>
      </c>
      <c r="Z260" s="16">
        <f t="shared" si="95"/>
        <v>0.40379399560794038</v>
      </c>
      <c r="AA260" s="16">
        <f t="shared" si="96"/>
        <v>0.79354356967982942</v>
      </c>
      <c r="AB260" s="16">
        <f t="shared" si="79"/>
        <v>8.3791719370683124E-2</v>
      </c>
      <c r="AC260" s="14">
        <f t="shared" si="100"/>
        <v>11.692778371435816</v>
      </c>
      <c r="AD260" s="16">
        <f t="shared" si="80"/>
        <v>0.98303305332724111</v>
      </c>
      <c r="AE260" s="16">
        <f t="shared" si="81"/>
        <v>0.22081646377493708</v>
      </c>
      <c r="AF260" s="23" t="str">
        <f t="shared" si="97"/>
        <v/>
      </c>
      <c r="AG260" s="23" t="str">
        <f t="shared" si="102"/>
        <v/>
      </c>
      <c r="AH260" s="23" t="str">
        <f t="shared" si="82"/>
        <v/>
      </c>
      <c r="AI260" s="23">
        <f t="shared" si="98"/>
        <v>300</v>
      </c>
      <c r="AJ260" s="23" t="str">
        <f t="shared" si="83"/>
        <v/>
      </c>
      <c r="AK260" s="23" t="str">
        <f t="shared" si="84"/>
        <v/>
      </c>
      <c r="AL260" s="23" t="str">
        <f t="shared" si="85"/>
        <v/>
      </c>
      <c r="AM260" s="23" t="str">
        <f t="shared" si="86"/>
        <v/>
      </c>
      <c r="AN260" s="19">
        <f t="shared" si="87"/>
        <v>300</v>
      </c>
      <c r="AO260" s="26">
        <f t="shared" si="88"/>
        <v>-188.81767134682076</v>
      </c>
    </row>
    <row r="261" spans="1:41" x14ac:dyDescent="0.2">
      <c r="A261" s="12">
        <v>44815</v>
      </c>
      <c r="B261" s="6">
        <v>11</v>
      </c>
      <c r="C261" s="6">
        <v>254</v>
      </c>
      <c r="D261" s="6">
        <v>1</v>
      </c>
      <c r="E261" s="6" t="s">
        <v>12</v>
      </c>
      <c r="F261" s="6">
        <v>37</v>
      </c>
      <c r="G261" s="6">
        <v>9</v>
      </c>
      <c r="H261" s="6" t="s">
        <v>25</v>
      </c>
      <c r="I261" s="6">
        <v>3</v>
      </c>
      <c r="J261" s="14">
        <v>10.015005866335585</v>
      </c>
      <c r="K261" s="14">
        <f t="shared" si="101"/>
        <v>6.0090035198013512</v>
      </c>
      <c r="L261" s="14">
        <v>45.345945335478213</v>
      </c>
      <c r="M261" s="14">
        <f t="shared" si="89"/>
        <v>272.48394512960823</v>
      </c>
      <c r="N261" s="16">
        <v>0.26317216218872802</v>
      </c>
      <c r="O261" s="14">
        <f t="shared" si="90"/>
        <v>71.710189001473722</v>
      </c>
      <c r="P261" s="14">
        <f t="shared" si="91"/>
        <v>200.77375612813449</v>
      </c>
      <c r="Q261" s="14">
        <v>19.027024684989811</v>
      </c>
      <c r="R261" s="14">
        <v>7.4294183587977534</v>
      </c>
      <c r="S261" s="14">
        <f t="shared" si="78"/>
        <v>28.571428571428573</v>
      </c>
      <c r="T261" s="14">
        <v>17.787473515076343</v>
      </c>
      <c r="U261" s="14">
        <f t="shared" si="92"/>
        <v>190.73876159072574</v>
      </c>
      <c r="V261" s="14">
        <f t="shared" si="93"/>
        <v>31.742161734834745</v>
      </c>
      <c r="W261" s="14">
        <v>17.737280554181197</v>
      </c>
      <c r="X261" s="16">
        <f t="shared" si="94"/>
        <v>0.59942435061406096</v>
      </c>
      <c r="Y261" s="16">
        <f t="shared" si="99"/>
        <v>0.33877817410881811</v>
      </c>
      <c r="Z261" s="16">
        <f t="shared" si="95"/>
        <v>0.37596023169818293</v>
      </c>
      <c r="AA261" s="16">
        <f t="shared" si="96"/>
        <v>0.18930668837235812</v>
      </c>
      <c r="AB261" s="16">
        <f t="shared" si="79"/>
        <v>0.10485545692550231</v>
      </c>
      <c r="AC261" s="14">
        <f t="shared" si="100"/>
        <v>31.742161734834745</v>
      </c>
      <c r="AD261" s="16">
        <f t="shared" si="80"/>
        <v>0.16383864761961531</v>
      </c>
      <c r="AE261" s="16">
        <f t="shared" si="81"/>
        <v>6.9828057854709649E-2</v>
      </c>
      <c r="AF261" s="23" t="str">
        <f t="shared" si="97"/>
        <v/>
      </c>
      <c r="AG261" s="23">
        <f t="shared" si="102"/>
        <v>1200</v>
      </c>
      <c r="AH261" s="23" t="str">
        <f t="shared" si="82"/>
        <v/>
      </c>
      <c r="AI261" s="23" t="str">
        <f t="shared" si="98"/>
        <v/>
      </c>
      <c r="AJ261" s="23" t="str">
        <f t="shared" si="83"/>
        <v/>
      </c>
      <c r="AK261" s="23" t="str">
        <f t="shared" si="84"/>
        <v/>
      </c>
      <c r="AL261" s="23" t="str">
        <f t="shared" si="85"/>
        <v/>
      </c>
      <c r="AM261" s="23" t="str">
        <f t="shared" si="86"/>
        <v/>
      </c>
      <c r="AN261" s="19">
        <f t="shared" si="87"/>
        <v>1200</v>
      </c>
      <c r="AO261" s="26">
        <f t="shared" si="88"/>
        <v>-999.22624387186556</v>
      </c>
    </row>
    <row r="262" spans="1:41" x14ac:dyDescent="0.2">
      <c r="A262" s="12">
        <v>44816</v>
      </c>
      <c r="B262" s="6">
        <v>12</v>
      </c>
      <c r="C262" s="6">
        <v>255</v>
      </c>
      <c r="D262" s="6">
        <v>2</v>
      </c>
      <c r="E262" s="6" t="s">
        <v>13</v>
      </c>
      <c r="F262" s="6">
        <v>37</v>
      </c>
      <c r="G262" s="6">
        <v>9</v>
      </c>
      <c r="H262" s="6" t="s">
        <v>25</v>
      </c>
      <c r="I262" s="6">
        <v>3</v>
      </c>
      <c r="J262" s="14">
        <v>4.5377060429834248</v>
      </c>
      <c r="K262" s="14">
        <f t="shared" si="101"/>
        <v>2.7226236257900549</v>
      </c>
      <c r="L262" s="14">
        <v>133.70358416042913</v>
      </c>
      <c r="M262" s="14">
        <f t="shared" si="89"/>
        <v>364.02453708799334</v>
      </c>
      <c r="N262" s="16">
        <v>0.50523502065250803</v>
      </c>
      <c r="O262" s="14">
        <f t="shared" si="90"/>
        <v>183.91794451367198</v>
      </c>
      <c r="P262" s="14">
        <f t="shared" si="91"/>
        <v>180.10659257432135</v>
      </c>
      <c r="Q262" s="14">
        <v>45.663203092804018</v>
      </c>
      <c r="R262" s="14">
        <v>17.769643591666032</v>
      </c>
      <c r="S262" s="14">
        <f t="shared" si="78"/>
        <v>12.987012987012987</v>
      </c>
      <c r="T262" s="14">
        <v>34.605445738966381</v>
      </c>
      <c r="U262" s="14">
        <f t="shared" si="92"/>
        <v>254.81717596159532</v>
      </c>
      <c r="V262" s="14">
        <f t="shared" si="93"/>
        <v>93.592508912300389</v>
      </c>
      <c r="W262" s="14">
        <v>30.882365004332058</v>
      </c>
      <c r="X262" s="16">
        <f t="shared" si="94"/>
        <v>0.48789378149475737</v>
      </c>
      <c r="Y262" s="16">
        <f t="shared" si="99"/>
        <v>8.8161111540781795E-2</v>
      </c>
      <c r="Z262" s="16">
        <f t="shared" si="95"/>
        <v>0.72176431521786866</v>
      </c>
      <c r="AA262" s="16">
        <f t="shared" si="96"/>
        <v>2.9090187424521904E-2</v>
      </c>
      <c r="AB262" s="16">
        <f t="shared" si="79"/>
        <v>3.5676202189287361E-2</v>
      </c>
      <c r="AC262" s="14">
        <f t="shared" si="100"/>
        <v>93.592508912300389</v>
      </c>
      <c r="AD262" s="16">
        <f t="shared" si="80"/>
        <v>0.13290327034423008</v>
      </c>
      <c r="AE262" s="16">
        <f t="shared" si="81"/>
        <v>0.12543990429350135</v>
      </c>
      <c r="AF262" s="23" t="str">
        <f t="shared" si="97"/>
        <v/>
      </c>
      <c r="AG262" s="23" t="str">
        <f t="shared" si="102"/>
        <v/>
      </c>
      <c r="AH262" s="23" t="str">
        <f t="shared" si="82"/>
        <v/>
      </c>
      <c r="AI262" s="23" t="str">
        <f t="shared" si="98"/>
        <v/>
      </c>
      <c r="AJ262" s="23" t="str">
        <f t="shared" si="83"/>
        <v/>
      </c>
      <c r="AK262" s="23">
        <f t="shared" si="84"/>
        <v>480</v>
      </c>
      <c r="AL262" s="23" t="str">
        <f t="shared" si="85"/>
        <v/>
      </c>
      <c r="AM262" s="23" t="str">
        <f t="shared" si="86"/>
        <v/>
      </c>
      <c r="AN262" s="19">
        <f t="shared" si="87"/>
        <v>480</v>
      </c>
      <c r="AO262" s="26">
        <f t="shared" si="88"/>
        <v>-299.89340742567867</v>
      </c>
    </row>
    <row r="263" spans="1:41" x14ac:dyDescent="0.2">
      <c r="A263" s="12">
        <v>44817</v>
      </c>
      <c r="B263" s="6">
        <v>13</v>
      </c>
      <c r="C263" s="6">
        <v>256</v>
      </c>
      <c r="D263" s="6">
        <v>3</v>
      </c>
      <c r="E263" s="6" t="s">
        <v>14</v>
      </c>
      <c r="F263" s="6">
        <v>37</v>
      </c>
      <c r="G263" s="6">
        <v>9</v>
      </c>
      <c r="H263" s="6" t="s">
        <v>25</v>
      </c>
      <c r="I263" s="6">
        <v>3</v>
      </c>
      <c r="J263" s="14">
        <v>1.2301846212962171</v>
      </c>
      <c r="K263" s="14">
        <f t="shared" si="101"/>
        <v>0.7381107727777303</v>
      </c>
      <c r="L263" s="14">
        <v>69.09762408567542</v>
      </c>
      <c r="M263" s="14">
        <f t="shared" si="89"/>
        <v>51.001700710982995</v>
      </c>
      <c r="N263" s="16">
        <v>0.42816207174340393</v>
      </c>
      <c r="O263" s="14">
        <f t="shared" si="90"/>
        <v>21.836993838851516</v>
      </c>
      <c r="P263" s="14">
        <f t="shared" si="91"/>
        <v>29.164706872131479</v>
      </c>
      <c r="Q263" s="14">
        <v>38.248181802657918</v>
      </c>
      <c r="R263" s="14">
        <v>13.174312897335799</v>
      </c>
      <c r="S263" s="14">
        <f t="shared" si="78"/>
        <v>12.987012987012987</v>
      </c>
      <c r="T263" s="14">
        <v>30.124447661446695</v>
      </c>
      <c r="U263" s="14">
        <f t="shared" si="92"/>
        <v>35.701190497688096</v>
      </c>
      <c r="V263" s="14">
        <f t="shared" si="93"/>
        <v>48.368336859972793</v>
      </c>
      <c r="W263" s="14">
        <v>40.736933145684986</v>
      </c>
      <c r="X263" s="16">
        <f t="shared" si="94"/>
        <v>0.79076900893630253</v>
      </c>
      <c r="Y263" s="16">
        <f t="shared" si="99"/>
        <v>1.8118957805146257E-2</v>
      </c>
      <c r="Z263" s="16">
        <f t="shared" si="95"/>
        <v>0.61166010249057701</v>
      </c>
      <c r="AA263" s="16">
        <f t="shared" si="96"/>
        <v>1.5260205760528304E-2</v>
      </c>
      <c r="AB263" s="16">
        <f t="shared" si="79"/>
        <v>0.25463882196023102</v>
      </c>
      <c r="AC263" s="14">
        <f t="shared" si="100"/>
        <v>48.368336859972793</v>
      </c>
      <c r="AD263" s="16">
        <f t="shared" si="80"/>
        <v>0.19066231396032843</v>
      </c>
      <c r="AE263" s="16">
        <f t="shared" si="81"/>
        <v>0.74993934063891599</v>
      </c>
      <c r="AF263" s="23" t="str">
        <f t="shared" si="97"/>
        <v/>
      </c>
      <c r="AG263" s="23" t="str">
        <f t="shared" si="102"/>
        <v/>
      </c>
      <c r="AH263" s="23" t="str">
        <f t="shared" si="82"/>
        <v/>
      </c>
      <c r="AI263" s="23" t="str">
        <f t="shared" si="98"/>
        <v/>
      </c>
      <c r="AJ263" s="23" t="str">
        <f t="shared" si="83"/>
        <v/>
      </c>
      <c r="AK263" s="23" t="str">
        <f t="shared" si="84"/>
        <v/>
      </c>
      <c r="AL263" s="23" t="str">
        <f t="shared" si="85"/>
        <v/>
      </c>
      <c r="AM263" s="23" t="str">
        <f t="shared" si="86"/>
        <v/>
      </c>
      <c r="AN263" s="19">
        <f t="shared" si="87"/>
        <v>0</v>
      </c>
      <c r="AO263" s="26">
        <f t="shared" si="88"/>
        <v>29.164706872131479</v>
      </c>
    </row>
    <row r="264" spans="1:41" x14ac:dyDescent="0.2">
      <c r="A264" s="12">
        <v>44818</v>
      </c>
      <c r="B264" s="6">
        <v>14</v>
      </c>
      <c r="C264" s="6">
        <v>257</v>
      </c>
      <c r="D264" s="6">
        <v>4</v>
      </c>
      <c r="E264" s="6" t="s">
        <v>15</v>
      </c>
      <c r="F264" s="6">
        <v>37</v>
      </c>
      <c r="G264" s="6">
        <v>9</v>
      </c>
      <c r="H264" s="6" t="s">
        <v>25</v>
      </c>
      <c r="I264" s="6">
        <v>3</v>
      </c>
      <c r="J264" s="14">
        <v>7.1115461990086475</v>
      </c>
      <c r="K264" s="14">
        <f t="shared" si="101"/>
        <v>4.2669277194051887</v>
      </c>
      <c r="L264" s="14">
        <v>36.322920033005225</v>
      </c>
      <c r="M264" s="14">
        <f t="shared" si="89"/>
        <v>154.98727433856803</v>
      </c>
      <c r="N264" s="16">
        <v>0.49644807946457636</v>
      </c>
      <c r="O264" s="14">
        <f t="shared" si="90"/>
        <v>76.943134686831513</v>
      </c>
      <c r="P264" s="14">
        <f t="shared" si="91"/>
        <v>78.044139651736515</v>
      </c>
      <c r="Q264" s="14">
        <v>31.169591452423237</v>
      </c>
      <c r="R264" s="14">
        <v>16.30918697416444</v>
      </c>
      <c r="S264" s="14">
        <f t="shared" ref="S264:S327" si="103">IF(E264=$AG$6,$S$2/5,$S$2/11)</f>
        <v>12.987012987012987</v>
      </c>
      <c r="T264" s="14">
        <v>28.878737010597039</v>
      </c>
      <c r="U264" s="14">
        <f t="shared" si="92"/>
        <v>108.49109203699761</v>
      </c>
      <c r="V264" s="14">
        <f t="shared" si="93"/>
        <v>25.426044023103657</v>
      </c>
      <c r="W264" s="14">
        <v>30.299347458194234</v>
      </c>
      <c r="X264" s="16">
        <f t="shared" si="94"/>
        <v>1.2258922946920348</v>
      </c>
      <c r="Y264" s="16">
        <f t="shared" si="99"/>
        <v>0.14082572983766453</v>
      </c>
      <c r="Z264" s="16">
        <f t="shared" si="95"/>
        <v>0.7092115420922519</v>
      </c>
      <c r="AA264" s="16">
        <f t="shared" si="96"/>
        <v>0.16781720803786848</v>
      </c>
      <c r="AB264" s="16">
        <f t="shared" ref="AB264:AB327" si="104">S264/M264</f>
        <v>8.3794060140982909E-2</v>
      </c>
      <c r="AC264" s="14">
        <f t="shared" si="100"/>
        <v>25.426044023103657</v>
      </c>
      <c r="AD264" s="16">
        <f t="shared" ref="AD264:AD327" si="105">R264/L264</f>
        <v>0.449005392720214</v>
      </c>
      <c r="AE264" s="16">
        <f t="shared" ref="AE264:AE327" si="106">Q264/M264</f>
        <v>0.20111064979653492</v>
      </c>
      <c r="AF264" s="23" t="str">
        <f t="shared" si="97"/>
        <v/>
      </c>
      <c r="AG264" s="23" t="str">
        <f t="shared" si="102"/>
        <v/>
      </c>
      <c r="AH264" s="23" t="str">
        <f t="shared" ref="AH264:AH327" si="107">IF(B264=$AH$6,$AH$5,"")</f>
        <v/>
      </c>
      <c r="AI264" s="23" t="str">
        <f t="shared" si="98"/>
        <v/>
      </c>
      <c r="AJ264" s="23" t="str">
        <f t="shared" ref="AJ264:AJ327" si="108">IF($B264=$AJ$6,$AJ$5,"")</f>
        <v/>
      </c>
      <c r="AK264" s="23" t="str">
        <f t="shared" ref="AK264:AK327" si="109">IF($B264=$AK$6,$AK$5,"")</f>
        <v/>
      </c>
      <c r="AL264" s="23" t="str">
        <f t="shared" ref="AL264:AL327" si="110">IF($B264=$AL$6,$AL$5,"")</f>
        <v/>
      </c>
      <c r="AM264" s="23" t="str">
        <f t="shared" ref="AM264:AM327" si="111">IF($B264=$AM$6,$AM$5,"")</f>
        <v/>
      </c>
      <c r="AN264" s="19">
        <f t="shared" ref="AN264:AN327" si="112">SUM(AF264:AM264)</f>
        <v>0</v>
      </c>
      <c r="AO264" s="26">
        <f t="shared" ref="AO264:AO327" si="113">P264-AN264</f>
        <v>78.044139651736515</v>
      </c>
    </row>
    <row r="265" spans="1:41" x14ac:dyDescent="0.2">
      <c r="A265" s="12">
        <v>44819</v>
      </c>
      <c r="B265" s="6">
        <v>15</v>
      </c>
      <c r="C265" s="6">
        <v>258</v>
      </c>
      <c r="D265" s="6">
        <v>5</v>
      </c>
      <c r="E265" s="6" t="s">
        <v>16</v>
      </c>
      <c r="F265" s="6">
        <v>37</v>
      </c>
      <c r="G265" s="6">
        <v>9</v>
      </c>
      <c r="H265" s="6" t="s">
        <v>25</v>
      </c>
      <c r="I265" s="6">
        <v>3</v>
      </c>
      <c r="J265" s="14">
        <v>14.472650092857414</v>
      </c>
      <c r="K265" s="14">
        <f t="shared" si="101"/>
        <v>8.683590055714447</v>
      </c>
      <c r="L265" s="14">
        <v>90.998260864252813</v>
      </c>
      <c r="M265" s="14">
        <f t="shared" ref="M265:M328" si="114">K265*L265</f>
        <v>790.19159312813485</v>
      </c>
      <c r="N265" s="16">
        <v>0.76466966358126831</v>
      </c>
      <c r="O265" s="14">
        <f t="shared" ref="O265:O328" si="115">M265*N265</f>
        <v>604.23553968203737</v>
      </c>
      <c r="P265" s="14">
        <f t="shared" ref="P265:P328" si="116">M265-O265</f>
        <v>185.95605344609748</v>
      </c>
      <c r="Q265" s="14">
        <v>40.907929483211191</v>
      </c>
      <c r="R265" s="14">
        <v>23.307938480501974</v>
      </c>
      <c r="S265" s="14">
        <f t="shared" si="103"/>
        <v>12.987012987012987</v>
      </c>
      <c r="T265" s="14">
        <v>35.032682973884711</v>
      </c>
      <c r="U265" s="14">
        <f t="shared" ref="U265:U328" si="117">M265*0.7</f>
        <v>553.1341151896944</v>
      </c>
      <c r="V265" s="14">
        <f t="shared" ref="V265:V328" si="118">U265/K265</f>
        <v>63.698782604976969</v>
      </c>
      <c r="W265" s="14">
        <v>36.61251734610353</v>
      </c>
      <c r="X265" s="16">
        <f t="shared" ref="X265:X328" si="119">Q265/V265</f>
        <v>0.64220896868466892</v>
      </c>
      <c r="Y265" s="16">
        <f t="shared" si="99"/>
        <v>0.2371754439506901</v>
      </c>
      <c r="Z265" s="16">
        <f t="shared" ref="Z265:Z328" si="120">O265/U265</f>
        <v>1.0923852336875262</v>
      </c>
      <c r="AA265" s="16">
        <f t="shared" ref="AA265:AA328" si="121">K265/V265</f>
        <v>0.13632270038134092</v>
      </c>
      <c r="AB265" s="16">
        <f t="shared" si="104"/>
        <v>1.6435271015224604E-2</v>
      </c>
      <c r="AC265" s="14">
        <f t="shared" si="100"/>
        <v>63.698782604976969</v>
      </c>
      <c r="AD265" s="16">
        <f t="shared" si="105"/>
        <v>0.25613608720799319</v>
      </c>
      <c r="AE265" s="16">
        <f t="shared" si="106"/>
        <v>5.1769633895077008E-2</v>
      </c>
      <c r="AF265" s="23" t="str">
        <f t="shared" ref="AF265:AF328" si="122">IF(B265=$AF$6,$AF$5, "")</f>
        <v/>
      </c>
      <c r="AG265" s="23" t="str">
        <f t="shared" si="102"/>
        <v/>
      </c>
      <c r="AH265" s="23">
        <f t="shared" si="107"/>
        <v>300</v>
      </c>
      <c r="AI265" s="23" t="str">
        <f t="shared" ref="AI265:AI328" si="123">IF(B265=$AI$6,$AI$5,"")</f>
        <v/>
      </c>
      <c r="AJ265" s="23" t="str">
        <f t="shared" si="108"/>
        <v/>
      </c>
      <c r="AK265" s="23" t="str">
        <f t="shared" si="109"/>
        <v/>
      </c>
      <c r="AL265" s="23" t="str">
        <f t="shared" si="110"/>
        <v/>
      </c>
      <c r="AM265" s="23" t="str">
        <f t="shared" si="111"/>
        <v/>
      </c>
      <c r="AN265" s="19">
        <f t="shared" si="112"/>
        <v>300</v>
      </c>
      <c r="AO265" s="26">
        <f t="shared" si="113"/>
        <v>-114.04394655390252</v>
      </c>
    </row>
    <row r="266" spans="1:41" x14ac:dyDescent="0.2">
      <c r="A266" s="12">
        <v>44820</v>
      </c>
      <c r="B266" s="6">
        <v>16</v>
      </c>
      <c r="C266" s="6">
        <v>259</v>
      </c>
      <c r="D266" s="6">
        <v>6</v>
      </c>
      <c r="E266" s="6" t="s">
        <v>17</v>
      </c>
      <c r="F266" s="6">
        <v>37</v>
      </c>
      <c r="G266" s="6">
        <v>9</v>
      </c>
      <c r="H266" s="6" t="s">
        <v>25</v>
      </c>
      <c r="I266" s="6">
        <v>3</v>
      </c>
      <c r="J266" s="14">
        <v>13.194071679123983</v>
      </c>
      <c r="K266" s="14">
        <f t="shared" si="101"/>
        <v>7.9164430074743892</v>
      </c>
      <c r="L266" s="14">
        <v>31.161838168315221</v>
      </c>
      <c r="M266" s="14">
        <f t="shared" si="114"/>
        <v>246.69091586760757</v>
      </c>
      <c r="N266" s="16">
        <v>0.45745683920824937</v>
      </c>
      <c r="O266" s="14">
        <f t="shared" si="115"/>
        <v>112.85044663418392</v>
      </c>
      <c r="P266" s="14">
        <f t="shared" si="116"/>
        <v>133.84046923342365</v>
      </c>
      <c r="Q266" s="14">
        <v>38.32948727508095</v>
      </c>
      <c r="R266" s="14">
        <v>5.7491166397810254</v>
      </c>
      <c r="S266" s="14">
        <f t="shared" si="103"/>
        <v>12.987012987012987</v>
      </c>
      <c r="T266" s="14">
        <v>37.953801114125923</v>
      </c>
      <c r="U266" s="14">
        <f t="shared" si="117"/>
        <v>172.68364110732529</v>
      </c>
      <c r="V266" s="14">
        <f t="shared" si="118"/>
        <v>21.813286717820652</v>
      </c>
      <c r="W266" s="14">
        <v>38.590076114166024</v>
      </c>
      <c r="X266" s="16">
        <f t="shared" si="119"/>
        <v>1.7571624015635925</v>
      </c>
      <c r="Y266" s="16">
        <f t="shared" ref="Y266:Y329" si="124">K266/W266</f>
        <v>0.20514193815151205</v>
      </c>
      <c r="Z266" s="16">
        <f t="shared" si="120"/>
        <v>0.65350977029749913</v>
      </c>
      <c r="AA266" s="16">
        <f t="shared" si="121"/>
        <v>0.36291839509939355</v>
      </c>
      <c r="AB266" s="16">
        <f t="shared" si="104"/>
        <v>5.2644877260023509E-2</v>
      </c>
      <c r="AC266" s="14">
        <f t="shared" ref="AC266:AC329" si="125">U266/K266</f>
        <v>21.813286717820652</v>
      </c>
      <c r="AD266" s="16">
        <f t="shared" si="105"/>
        <v>0.18449221797277096</v>
      </c>
      <c r="AE266" s="16">
        <f t="shared" si="106"/>
        <v>0.15537453878379276</v>
      </c>
      <c r="AF266" s="23" t="str">
        <f t="shared" si="122"/>
        <v/>
      </c>
      <c r="AG266" s="23" t="str">
        <f t="shared" si="102"/>
        <v/>
      </c>
      <c r="AH266" s="23" t="str">
        <f t="shared" si="107"/>
        <v/>
      </c>
      <c r="AI266" s="23" t="str">
        <f t="shared" si="123"/>
        <v/>
      </c>
      <c r="AJ266" s="23" t="str">
        <f t="shared" si="108"/>
        <v/>
      </c>
      <c r="AK266" s="23" t="str">
        <f t="shared" si="109"/>
        <v/>
      </c>
      <c r="AL266" s="23" t="str">
        <f t="shared" si="110"/>
        <v/>
      </c>
      <c r="AM266" s="23" t="str">
        <f t="shared" si="111"/>
        <v/>
      </c>
      <c r="AN266" s="19">
        <f t="shared" si="112"/>
        <v>0</v>
      </c>
      <c r="AO266" s="26">
        <f t="shared" si="113"/>
        <v>133.84046923342365</v>
      </c>
    </row>
    <row r="267" spans="1:41" x14ac:dyDescent="0.2">
      <c r="A267" s="12">
        <v>44821</v>
      </c>
      <c r="B267" s="6">
        <v>17</v>
      </c>
      <c r="C267" s="6">
        <v>260</v>
      </c>
      <c r="D267" s="6">
        <v>7</v>
      </c>
      <c r="E267" s="6" t="s">
        <v>10</v>
      </c>
      <c r="F267" s="6">
        <v>37</v>
      </c>
      <c r="G267" s="6">
        <v>9</v>
      </c>
      <c r="H267" s="6" t="s">
        <v>25</v>
      </c>
      <c r="I267" s="6">
        <v>3</v>
      </c>
      <c r="J267" s="14">
        <v>25.615950892500479</v>
      </c>
      <c r="K267" s="14">
        <f t="shared" si="101"/>
        <v>15.369570535500287</v>
      </c>
      <c r="L267" s="14">
        <v>57.89273973891423</v>
      </c>
      <c r="M267" s="14">
        <f t="shared" si="114"/>
        <v>889.78654691060274</v>
      </c>
      <c r="N267" s="16">
        <v>0.76892469886394088</v>
      </c>
      <c r="O267" s="14">
        <f t="shared" si="115"/>
        <v>684.17885263642097</v>
      </c>
      <c r="P267" s="14">
        <f t="shared" si="116"/>
        <v>205.60769427418177</v>
      </c>
      <c r="Q267" s="14">
        <v>41.400538953282016</v>
      </c>
      <c r="R267" s="14">
        <v>6.0230076725670223</v>
      </c>
      <c r="S267" s="14">
        <f t="shared" si="103"/>
        <v>12.987012987012987</v>
      </c>
      <c r="T267" s="14">
        <v>38.351233009201842</v>
      </c>
      <c r="U267" s="14">
        <f t="shared" si="117"/>
        <v>622.85058283742183</v>
      </c>
      <c r="V267" s="14">
        <f t="shared" si="118"/>
        <v>40.524917817239952</v>
      </c>
      <c r="W267" s="14">
        <v>26.621761903291695</v>
      </c>
      <c r="X267" s="16">
        <f t="shared" si="119"/>
        <v>1.021606981166278</v>
      </c>
      <c r="Y267" s="16">
        <f t="shared" si="124"/>
        <v>0.57733107941288775</v>
      </c>
      <c r="Z267" s="16">
        <f t="shared" si="120"/>
        <v>1.0984638555199155</v>
      </c>
      <c r="AA267" s="16">
        <f t="shared" si="121"/>
        <v>0.37926222589307323</v>
      </c>
      <c r="AB267" s="16">
        <f t="shared" si="104"/>
        <v>1.459564997032687E-2</v>
      </c>
      <c r="AC267" s="14">
        <f t="shared" si="125"/>
        <v>40.524917817239952</v>
      </c>
      <c r="AD267" s="16">
        <f t="shared" si="105"/>
        <v>0.10403735770201403</v>
      </c>
      <c r="AE267" s="16">
        <f t="shared" si="106"/>
        <v>4.6528618686164008E-2</v>
      </c>
      <c r="AF267" s="23" t="str">
        <f t="shared" si="122"/>
        <v/>
      </c>
      <c r="AG267" s="23" t="str">
        <f t="shared" si="102"/>
        <v/>
      </c>
      <c r="AH267" s="23" t="str">
        <f t="shared" si="107"/>
        <v/>
      </c>
      <c r="AI267" s="23" t="str">
        <f t="shared" si="123"/>
        <v/>
      </c>
      <c r="AJ267" s="23" t="str">
        <f t="shared" si="108"/>
        <v/>
      </c>
      <c r="AK267" s="23" t="str">
        <f t="shared" si="109"/>
        <v/>
      </c>
      <c r="AL267" s="23" t="str">
        <f t="shared" si="110"/>
        <v/>
      </c>
      <c r="AM267" s="23" t="str">
        <f t="shared" si="111"/>
        <v/>
      </c>
      <c r="AN267" s="19">
        <f t="shared" si="112"/>
        <v>0</v>
      </c>
      <c r="AO267" s="26">
        <f t="shared" si="113"/>
        <v>205.60769427418177</v>
      </c>
    </row>
    <row r="268" spans="1:41" x14ac:dyDescent="0.2">
      <c r="A268" s="12">
        <v>44822</v>
      </c>
      <c r="B268" s="6">
        <v>18</v>
      </c>
      <c r="C268" s="6">
        <v>261</v>
      </c>
      <c r="D268" s="6">
        <v>1</v>
      </c>
      <c r="E268" s="6" t="s">
        <v>12</v>
      </c>
      <c r="F268" s="6">
        <v>38</v>
      </c>
      <c r="G268" s="6">
        <v>9</v>
      </c>
      <c r="H268" s="6" t="s">
        <v>25</v>
      </c>
      <c r="I268" s="6">
        <v>3</v>
      </c>
      <c r="J268" s="14">
        <v>7.3750648175642244</v>
      </c>
      <c r="K268" s="14">
        <f t="shared" si="101"/>
        <v>4.4250388905385343</v>
      </c>
      <c r="L268" s="14">
        <v>44.798293967093159</v>
      </c>
      <c r="M268" s="14">
        <f t="shared" si="114"/>
        <v>198.23419303416503</v>
      </c>
      <c r="N268" s="16">
        <v>0.19149280585271122</v>
      </c>
      <c r="O268" s="14">
        <f t="shared" si="115"/>
        <v>37.960421840060242</v>
      </c>
      <c r="P268" s="14">
        <f t="shared" si="116"/>
        <v>160.2737711941048</v>
      </c>
      <c r="Q268" s="14">
        <v>18.907677113878165</v>
      </c>
      <c r="R268" s="14">
        <v>6.2286905813594737</v>
      </c>
      <c r="S268" s="14">
        <f t="shared" si="103"/>
        <v>28.571428571428573</v>
      </c>
      <c r="T268" s="14">
        <v>12.764747417917564</v>
      </c>
      <c r="U268" s="14">
        <f t="shared" si="117"/>
        <v>138.7639351239155</v>
      </c>
      <c r="V268" s="14">
        <f t="shared" si="118"/>
        <v>31.358805776965209</v>
      </c>
      <c r="W268" s="14">
        <v>12.635944057385194</v>
      </c>
      <c r="X268" s="16">
        <f t="shared" si="119"/>
        <v>0.60294633821058674</v>
      </c>
      <c r="Y268" s="16">
        <f t="shared" si="124"/>
        <v>0.35019456167600549</v>
      </c>
      <c r="Z268" s="16">
        <f t="shared" si="120"/>
        <v>0.27356115121815894</v>
      </c>
      <c r="AA268" s="16">
        <f t="shared" si="121"/>
        <v>0.14110993007868214</v>
      </c>
      <c r="AB268" s="16">
        <f t="shared" si="104"/>
        <v>0.14412966872220867</v>
      </c>
      <c r="AC268" s="14">
        <f t="shared" si="125"/>
        <v>31.358805776965209</v>
      </c>
      <c r="AD268" s="16">
        <f t="shared" si="105"/>
        <v>0.13903856664574757</v>
      </c>
      <c r="AE268" s="16">
        <f t="shared" si="106"/>
        <v>9.538050335554113E-2</v>
      </c>
      <c r="AF268" s="23" t="str">
        <f t="shared" si="122"/>
        <v/>
      </c>
      <c r="AG268" s="23">
        <f t="shared" si="102"/>
        <v>1200</v>
      </c>
      <c r="AH268" s="23" t="str">
        <f t="shared" si="107"/>
        <v/>
      </c>
      <c r="AI268" s="23" t="str">
        <f t="shared" si="123"/>
        <v/>
      </c>
      <c r="AJ268" s="23" t="str">
        <f t="shared" si="108"/>
        <v/>
      </c>
      <c r="AK268" s="23" t="str">
        <f t="shared" si="109"/>
        <v/>
      </c>
      <c r="AL268" s="23" t="str">
        <f t="shared" si="110"/>
        <v/>
      </c>
      <c r="AM268" s="23" t="str">
        <f t="shared" si="111"/>
        <v/>
      </c>
      <c r="AN268" s="19">
        <f t="shared" si="112"/>
        <v>1200</v>
      </c>
      <c r="AO268" s="26">
        <f t="shared" si="113"/>
        <v>-1039.7262288058953</v>
      </c>
    </row>
    <row r="269" spans="1:41" x14ac:dyDescent="0.2">
      <c r="A269" s="12">
        <v>44823</v>
      </c>
      <c r="B269" s="6">
        <v>19</v>
      </c>
      <c r="C269" s="6">
        <v>262</v>
      </c>
      <c r="D269" s="6">
        <v>2</v>
      </c>
      <c r="E269" s="6" t="s">
        <v>13</v>
      </c>
      <c r="F269" s="6">
        <v>38</v>
      </c>
      <c r="G269" s="6">
        <v>9</v>
      </c>
      <c r="H269" s="6" t="s">
        <v>25</v>
      </c>
      <c r="I269" s="6">
        <v>3</v>
      </c>
      <c r="J269" s="14">
        <v>15.517459944893746</v>
      </c>
      <c r="K269" s="14">
        <f t="shared" si="101"/>
        <v>9.3104759669362469</v>
      </c>
      <c r="L269" s="14">
        <v>80.853444310039606</v>
      </c>
      <c r="M269" s="14">
        <f t="shared" si="114"/>
        <v>752.78405009264202</v>
      </c>
      <c r="N269" s="16">
        <v>0.60194685860296837</v>
      </c>
      <c r="O269" s="14">
        <f t="shared" si="115"/>
        <v>453.13599415968542</v>
      </c>
      <c r="P269" s="14">
        <f t="shared" si="116"/>
        <v>299.64805593295659</v>
      </c>
      <c r="Q269" s="14">
        <v>37.070613171796708</v>
      </c>
      <c r="R269" s="14">
        <v>7.7752941974805383</v>
      </c>
      <c r="S269" s="14">
        <f t="shared" si="103"/>
        <v>12.987012987012987</v>
      </c>
      <c r="T269" s="14">
        <v>33.470163825516522</v>
      </c>
      <c r="U269" s="14">
        <f t="shared" si="117"/>
        <v>526.94883506484939</v>
      </c>
      <c r="V269" s="14">
        <f t="shared" si="118"/>
        <v>56.597411017027724</v>
      </c>
      <c r="W269" s="14">
        <v>27.201199744572911</v>
      </c>
      <c r="X269" s="16">
        <f t="shared" si="119"/>
        <v>0.65498779017725306</v>
      </c>
      <c r="Y269" s="16">
        <f t="shared" si="124"/>
        <v>0.34228181309516836</v>
      </c>
      <c r="Z269" s="16">
        <f t="shared" si="120"/>
        <v>0.85992408371852624</v>
      </c>
      <c r="AA269" s="16">
        <f t="shared" si="121"/>
        <v>0.16450356649944864</v>
      </c>
      <c r="AB269" s="16">
        <f t="shared" si="104"/>
        <v>1.725197682577723E-2</v>
      </c>
      <c r="AC269" s="14">
        <f t="shared" si="125"/>
        <v>56.597411017027724</v>
      </c>
      <c r="AD269" s="16">
        <f t="shared" si="105"/>
        <v>9.6165281069109348E-2</v>
      </c>
      <c r="AE269" s="16">
        <f t="shared" si="106"/>
        <v>4.9244684670503552E-2</v>
      </c>
      <c r="AF269" s="23" t="str">
        <f t="shared" si="122"/>
        <v/>
      </c>
      <c r="AG269" s="23" t="str">
        <f t="shared" si="102"/>
        <v/>
      </c>
      <c r="AH269" s="23" t="str">
        <f t="shared" si="107"/>
        <v/>
      </c>
      <c r="AI269" s="23" t="str">
        <f t="shared" si="123"/>
        <v/>
      </c>
      <c r="AJ269" s="23" t="str">
        <f t="shared" si="108"/>
        <v/>
      </c>
      <c r="AK269" s="23" t="str">
        <f t="shared" si="109"/>
        <v/>
      </c>
      <c r="AL269" s="23" t="str">
        <f t="shared" si="110"/>
        <v/>
      </c>
      <c r="AM269" s="23" t="str">
        <f t="shared" si="111"/>
        <v/>
      </c>
      <c r="AN269" s="19">
        <f t="shared" si="112"/>
        <v>0</v>
      </c>
      <c r="AO269" s="26">
        <f t="shared" si="113"/>
        <v>299.64805593295659</v>
      </c>
    </row>
    <row r="270" spans="1:41" x14ac:dyDescent="0.2">
      <c r="A270" s="12">
        <v>44824</v>
      </c>
      <c r="B270" s="6">
        <v>20</v>
      </c>
      <c r="C270" s="6">
        <v>263</v>
      </c>
      <c r="D270" s="6">
        <v>3</v>
      </c>
      <c r="E270" s="6" t="s">
        <v>14</v>
      </c>
      <c r="F270" s="6">
        <v>38</v>
      </c>
      <c r="G270" s="6">
        <v>9</v>
      </c>
      <c r="H270" s="6" t="s">
        <v>25</v>
      </c>
      <c r="I270" s="6">
        <v>3</v>
      </c>
      <c r="J270" s="14">
        <v>7.5483984233942163</v>
      </c>
      <c r="K270" s="14">
        <f t="shared" si="101"/>
        <v>4.5290390540365291</v>
      </c>
      <c r="L270" s="14">
        <v>36.220927620409775</v>
      </c>
      <c r="M270" s="14">
        <f t="shared" si="114"/>
        <v>164.04599576626629</v>
      </c>
      <c r="N270" s="16">
        <v>0.718082218342594</v>
      </c>
      <c r="O270" s="14">
        <f t="shared" si="115"/>
        <v>117.79851255006028</v>
      </c>
      <c r="P270" s="14">
        <f t="shared" si="116"/>
        <v>46.247483216206007</v>
      </c>
      <c r="Q270" s="14">
        <v>29.557065993223699</v>
      </c>
      <c r="R270" s="14">
        <v>14.686957446737686</v>
      </c>
      <c r="S270" s="14">
        <f t="shared" si="103"/>
        <v>12.987012987012987</v>
      </c>
      <c r="T270" s="14">
        <v>31.849324279734695</v>
      </c>
      <c r="U270" s="14">
        <f t="shared" si="117"/>
        <v>114.83219703638639</v>
      </c>
      <c r="V270" s="14">
        <f t="shared" si="118"/>
        <v>25.35464933428684</v>
      </c>
      <c r="W270" s="14">
        <v>34.862180991859837</v>
      </c>
      <c r="X270" s="16">
        <f t="shared" si="119"/>
        <v>1.1657454064353385</v>
      </c>
      <c r="Y270" s="16">
        <f t="shared" si="124"/>
        <v>0.1299126711290392</v>
      </c>
      <c r="Z270" s="16">
        <f t="shared" si="120"/>
        <v>1.0258317404894202</v>
      </c>
      <c r="AA270" s="16">
        <f t="shared" si="121"/>
        <v>0.17862755640291797</v>
      </c>
      <c r="AB270" s="16">
        <f t="shared" si="104"/>
        <v>7.9166900273000024E-2</v>
      </c>
      <c r="AC270" s="14">
        <f t="shared" si="125"/>
        <v>25.35464933428684</v>
      </c>
      <c r="AD270" s="16">
        <f t="shared" si="105"/>
        <v>0.40548264253900212</v>
      </c>
      <c r="AE270" s="16">
        <f t="shared" si="106"/>
        <v>0.1801754797802976</v>
      </c>
      <c r="AF270" s="23" t="str">
        <f t="shared" si="122"/>
        <v/>
      </c>
      <c r="AG270" s="23" t="str">
        <f t="shared" si="102"/>
        <v/>
      </c>
      <c r="AH270" s="23" t="str">
        <f t="shared" si="107"/>
        <v/>
      </c>
      <c r="AI270" s="23" t="str">
        <f t="shared" si="123"/>
        <v/>
      </c>
      <c r="AJ270" s="23">
        <f t="shared" si="108"/>
        <v>100</v>
      </c>
      <c r="AK270" s="23" t="str">
        <f t="shared" si="109"/>
        <v/>
      </c>
      <c r="AL270" s="23" t="str">
        <f t="shared" si="110"/>
        <v/>
      </c>
      <c r="AM270" s="23" t="str">
        <f t="shared" si="111"/>
        <v/>
      </c>
      <c r="AN270" s="19">
        <f t="shared" si="112"/>
        <v>100</v>
      </c>
      <c r="AO270" s="26">
        <f t="shared" si="113"/>
        <v>-53.752516783793993</v>
      </c>
    </row>
    <row r="271" spans="1:41" x14ac:dyDescent="0.2">
      <c r="A271" s="12">
        <v>44825</v>
      </c>
      <c r="B271" s="6">
        <v>21</v>
      </c>
      <c r="C271" s="6">
        <v>264</v>
      </c>
      <c r="D271" s="6">
        <v>4</v>
      </c>
      <c r="E271" s="6" t="s">
        <v>15</v>
      </c>
      <c r="F271" s="6">
        <v>38</v>
      </c>
      <c r="G271" s="6">
        <v>9</v>
      </c>
      <c r="H271" s="6" t="s">
        <v>25</v>
      </c>
      <c r="I271" s="6">
        <v>3</v>
      </c>
      <c r="J271" s="14">
        <v>10.439374881440926</v>
      </c>
      <c r="K271" s="14">
        <f t="shared" si="101"/>
        <v>6.263624928864556</v>
      </c>
      <c r="L271" s="14">
        <v>34.645184657937982</v>
      </c>
      <c r="M271" s="14">
        <f t="shared" si="114"/>
        <v>217.0044422885762</v>
      </c>
      <c r="N271" s="16">
        <v>0.66037626221219159</v>
      </c>
      <c r="O271" s="14">
        <f t="shared" si="115"/>
        <v>143.30458248197118</v>
      </c>
      <c r="P271" s="14">
        <f t="shared" si="116"/>
        <v>73.699859806605019</v>
      </c>
      <c r="Q271" s="14">
        <v>28.839684700337401</v>
      </c>
      <c r="R271" s="14">
        <v>11.94518937237167</v>
      </c>
      <c r="S271" s="14">
        <f t="shared" si="103"/>
        <v>12.987012987012987</v>
      </c>
      <c r="T271" s="14">
        <v>40.720794145766817</v>
      </c>
      <c r="U271" s="14">
        <f t="shared" si="117"/>
        <v>151.90310960200333</v>
      </c>
      <c r="V271" s="14">
        <f t="shared" si="118"/>
        <v>24.251629260556584</v>
      </c>
      <c r="W271" s="14">
        <v>40.414660768322854</v>
      </c>
      <c r="X271" s="16">
        <f t="shared" si="119"/>
        <v>1.1891854518509788</v>
      </c>
      <c r="Y271" s="16">
        <f t="shared" si="124"/>
        <v>0.15498397882814857</v>
      </c>
      <c r="Z271" s="16">
        <f t="shared" si="120"/>
        <v>0.94339466030313079</v>
      </c>
      <c r="AA271" s="16">
        <f t="shared" si="121"/>
        <v>0.25827645893679652</v>
      </c>
      <c r="AB271" s="16">
        <f t="shared" si="104"/>
        <v>5.9846760969725382E-2</v>
      </c>
      <c r="AC271" s="14">
        <f t="shared" si="125"/>
        <v>24.251629260556584</v>
      </c>
      <c r="AD271" s="16">
        <f t="shared" si="105"/>
        <v>0.34478642530874093</v>
      </c>
      <c r="AE271" s="16">
        <f t="shared" si="106"/>
        <v>0.13289905218615708</v>
      </c>
      <c r="AF271" s="23" t="str">
        <f t="shared" si="122"/>
        <v/>
      </c>
      <c r="AG271" s="23" t="str">
        <f t="shared" si="102"/>
        <v/>
      </c>
      <c r="AH271" s="23" t="str">
        <f t="shared" si="107"/>
        <v/>
      </c>
      <c r="AI271" s="23" t="str">
        <f t="shared" si="123"/>
        <v/>
      </c>
      <c r="AJ271" s="23" t="str">
        <f t="shared" si="108"/>
        <v/>
      </c>
      <c r="AK271" s="23" t="str">
        <f t="shared" si="109"/>
        <v/>
      </c>
      <c r="AL271" s="23" t="str">
        <f t="shared" si="110"/>
        <v/>
      </c>
      <c r="AM271" s="23" t="str">
        <f t="shared" si="111"/>
        <v/>
      </c>
      <c r="AN271" s="19">
        <f t="shared" si="112"/>
        <v>0</v>
      </c>
      <c r="AO271" s="26">
        <f t="shared" si="113"/>
        <v>73.699859806605019</v>
      </c>
    </row>
    <row r="272" spans="1:41" x14ac:dyDescent="0.2">
      <c r="A272" s="12">
        <v>44826</v>
      </c>
      <c r="B272" s="6">
        <v>22</v>
      </c>
      <c r="C272" s="6">
        <v>265</v>
      </c>
      <c r="D272" s="6">
        <v>5</v>
      </c>
      <c r="E272" s="6" t="s">
        <v>16</v>
      </c>
      <c r="F272" s="6">
        <v>38</v>
      </c>
      <c r="G272" s="6">
        <v>9</v>
      </c>
      <c r="H272" s="6" t="s">
        <v>25</v>
      </c>
      <c r="I272" s="6">
        <v>3</v>
      </c>
      <c r="J272" s="14">
        <v>11.402937443698178</v>
      </c>
      <c r="K272" s="14">
        <f t="shared" si="101"/>
        <v>6.8417624662189072</v>
      </c>
      <c r="L272" s="14">
        <v>64.646626586572879</v>
      </c>
      <c r="M272" s="14">
        <f t="shared" si="114"/>
        <v>442.29686334768365</v>
      </c>
      <c r="N272" s="16">
        <v>0.50690592477528662</v>
      </c>
      <c r="O272" s="14">
        <f t="shared" si="115"/>
        <v>224.20290054046615</v>
      </c>
      <c r="P272" s="14">
        <f t="shared" si="116"/>
        <v>218.09396280721751</v>
      </c>
      <c r="Q272" s="14">
        <v>29.989457445150212</v>
      </c>
      <c r="R272" s="14">
        <v>13.224401339115218</v>
      </c>
      <c r="S272" s="14">
        <f t="shared" si="103"/>
        <v>12.987012987012987</v>
      </c>
      <c r="T272" s="14">
        <v>26.857989951812545</v>
      </c>
      <c r="U272" s="14">
        <f t="shared" si="117"/>
        <v>309.60780434337852</v>
      </c>
      <c r="V272" s="14">
        <f t="shared" si="118"/>
        <v>45.252638610601011</v>
      </c>
      <c r="W272" s="14">
        <v>33.506875512848147</v>
      </c>
      <c r="X272" s="16">
        <f t="shared" si="119"/>
        <v>0.66271179683486559</v>
      </c>
      <c r="Y272" s="16">
        <f t="shared" si="124"/>
        <v>0.20418980765889216</v>
      </c>
      <c r="Z272" s="16">
        <f t="shared" si="120"/>
        <v>0.72415132110755243</v>
      </c>
      <c r="AA272" s="16">
        <f t="shared" si="121"/>
        <v>0.15119035433695432</v>
      </c>
      <c r="AB272" s="16">
        <f t="shared" si="104"/>
        <v>2.9362661287525498E-2</v>
      </c>
      <c r="AC272" s="14">
        <f t="shared" si="125"/>
        <v>45.252638610601011</v>
      </c>
      <c r="AD272" s="16">
        <f t="shared" si="105"/>
        <v>0.20456444577824157</v>
      </c>
      <c r="AE272" s="16">
        <f t="shared" si="106"/>
        <v>6.7803911649212623E-2</v>
      </c>
      <c r="AF272" s="23" t="str">
        <f t="shared" si="122"/>
        <v/>
      </c>
      <c r="AG272" s="23" t="str">
        <f t="shared" si="102"/>
        <v/>
      </c>
      <c r="AH272" s="23" t="str">
        <f t="shared" si="107"/>
        <v/>
      </c>
      <c r="AI272" s="23" t="str">
        <f t="shared" si="123"/>
        <v/>
      </c>
      <c r="AJ272" s="23" t="str">
        <f t="shared" si="108"/>
        <v/>
      </c>
      <c r="AK272" s="23" t="str">
        <f t="shared" si="109"/>
        <v/>
      </c>
      <c r="AL272" s="23" t="str">
        <f t="shared" si="110"/>
        <v/>
      </c>
      <c r="AM272" s="23" t="str">
        <f t="shared" si="111"/>
        <v/>
      </c>
      <c r="AN272" s="19">
        <f t="shared" si="112"/>
        <v>0</v>
      </c>
      <c r="AO272" s="26">
        <f t="shared" si="113"/>
        <v>218.09396280721751</v>
      </c>
    </row>
    <row r="273" spans="1:41" x14ac:dyDescent="0.2">
      <c r="A273" s="12">
        <v>44827</v>
      </c>
      <c r="B273" s="6">
        <v>23</v>
      </c>
      <c r="C273" s="6">
        <v>266</v>
      </c>
      <c r="D273" s="6">
        <v>6</v>
      </c>
      <c r="E273" s="6" t="s">
        <v>17</v>
      </c>
      <c r="F273" s="6">
        <v>38</v>
      </c>
      <c r="G273" s="6">
        <v>9</v>
      </c>
      <c r="H273" s="6" t="s">
        <v>25</v>
      </c>
      <c r="I273" s="6">
        <v>3</v>
      </c>
      <c r="J273" s="14">
        <v>28.775035494762854</v>
      </c>
      <c r="K273" s="14">
        <f t="shared" si="101"/>
        <v>17.265021296857711</v>
      </c>
      <c r="L273" s="14">
        <v>50.668370080441548</v>
      </c>
      <c r="M273" s="14">
        <f t="shared" si="114"/>
        <v>874.79048851589141</v>
      </c>
      <c r="N273" s="16">
        <v>0.85968229029045395</v>
      </c>
      <c r="O273" s="14">
        <f t="shared" si="115"/>
        <v>752.04189069164659</v>
      </c>
      <c r="P273" s="14">
        <f t="shared" si="116"/>
        <v>122.74859782424483</v>
      </c>
      <c r="Q273" s="14">
        <v>39.902658893420352</v>
      </c>
      <c r="R273" s="14">
        <v>17.734068974601964</v>
      </c>
      <c r="S273" s="14">
        <f t="shared" si="103"/>
        <v>12.987012987012987</v>
      </c>
      <c r="T273" s="14">
        <v>34.017404994013688</v>
      </c>
      <c r="U273" s="14">
        <f t="shared" si="117"/>
        <v>612.35334196112399</v>
      </c>
      <c r="V273" s="14">
        <f t="shared" si="118"/>
        <v>35.467859056309088</v>
      </c>
      <c r="W273" s="14">
        <v>34.272576017729605</v>
      </c>
      <c r="X273" s="16">
        <f t="shared" si="119"/>
        <v>1.1250371450408252</v>
      </c>
      <c r="Y273" s="16">
        <f t="shared" si="124"/>
        <v>0.50375616025846182</v>
      </c>
      <c r="Z273" s="16">
        <f t="shared" si="120"/>
        <v>1.2281175575577914</v>
      </c>
      <c r="AA273" s="16">
        <f t="shared" si="121"/>
        <v>0.48677934773135334</v>
      </c>
      <c r="AB273" s="16">
        <f t="shared" si="104"/>
        <v>1.4845855273353335E-2</v>
      </c>
      <c r="AC273" s="14">
        <f t="shared" si="125"/>
        <v>35.467859056309088</v>
      </c>
      <c r="AD273" s="16">
        <f t="shared" si="105"/>
        <v>0.35000275213998794</v>
      </c>
      <c r="AE273" s="16">
        <f t="shared" si="106"/>
        <v>4.56139606194352E-2</v>
      </c>
      <c r="AF273" s="23" t="str">
        <f t="shared" si="122"/>
        <v/>
      </c>
      <c r="AG273" s="23" t="str">
        <f t="shared" si="102"/>
        <v/>
      </c>
      <c r="AH273" s="23" t="str">
        <f t="shared" si="107"/>
        <v/>
      </c>
      <c r="AI273" s="23" t="str">
        <f t="shared" si="123"/>
        <v/>
      </c>
      <c r="AJ273" s="23" t="str">
        <f t="shared" si="108"/>
        <v/>
      </c>
      <c r="AK273" s="23" t="str">
        <f t="shared" si="109"/>
        <v/>
      </c>
      <c r="AL273" s="23" t="str">
        <f t="shared" si="110"/>
        <v/>
      </c>
      <c r="AM273" s="23" t="str">
        <f t="shared" si="111"/>
        <v/>
      </c>
      <c r="AN273" s="19">
        <f t="shared" si="112"/>
        <v>0</v>
      </c>
      <c r="AO273" s="26">
        <f t="shared" si="113"/>
        <v>122.74859782424483</v>
      </c>
    </row>
    <row r="274" spans="1:41" x14ac:dyDescent="0.2">
      <c r="A274" s="12">
        <v>44828</v>
      </c>
      <c r="B274" s="6">
        <v>24</v>
      </c>
      <c r="C274" s="6">
        <v>267</v>
      </c>
      <c r="D274" s="6">
        <v>7</v>
      </c>
      <c r="E274" s="6" t="s">
        <v>10</v>
      </c>
      <c r="F274" s="6">
        <v>38</v>
      </c>
      <c r="G274" s="6">
        <v>9</v>
      </c>
      <c r="H274" s="6" t="s">
        <v>25</v>
      </c>
      <c r="I274" s="6">
        <v>3</v>
      </c>
      <c r="J274" s="14">
        <v>9.0275980199937536</v>
      </c>
      <c r="K274" s="14">
        <f t="shared" si="101"/>
        <v>5.4165588119962518</v>
      </c>
      <c r="L274" s="14">
        <v>32.424570477704677</v>
      </c>
      <c r="M274" s="14">
        <f t="shared" si="114"/>
        <v>175.62959294620478</v>
      </c>
      <c r="N274" s="16">
        <v>0.59623869395001861</v>
      </c>
      <c r="O274" s="14">
        <f t="shared" si="115"/>
        <v>104.71715911721854</v>
      </c>
      <c r="P274" s="14">
        <f t="shared" si="116"/>
        <v>70.912433828986238</v>
      </c>
      <c r="Q274" s="14">
        <v>28.819168149104065</v>
      </c>
      <c r="R274" s="14">
        <v>11.014273828806569</v>
      </c>
      <c r="S274" s="14">
        <f t="shared" si="103"/>
        <v>12.987012987012987</v>
      </c>
      <c r="T274" s="14">
        <v>37.775133039709317</v>
      </c>
      <c r="U274" s="14">
        <f t="shared" si="117"/>
        <v>122.94071506234334</v>
      </c>
      <c r="V274" s="14">
        <f t="shared" si="118"/>
        <v>22.697199334393272</v>
      </c>
      <c r="W274" s="14">
        <v>40.086359575792464</v>
      </c>
      <c r="X274" s="16">
        <f t="shared" si="119"/>
        <v>1.2697235339266779</v>
      </c>
      <c r="Y274" s="16">
        <f t="shared" si="124"/>
        <v>0.13512224281067489</v>
      </c>
      <c r="Z274" s="16">
        <f t="shared" si="120"/>
        <v>0.8517695627857409</v>
      </c>
      <c r="AA274" s="16">
        <f t="shared" si="121"/>
        <v>0.23864436894592944</v>
      </c>
      <c r="AB274" s="16">
        <f t="shared" si="104"/>
        <v>7.39454710857919E-2</v>
      </c>
      <c r="AC274" s="14">
        <f t="shared" si="125"/>
        <v>22.697199334393272</v>
      </c>
      <c r="AD274" s="16">
        <f t="shared" si="105"/>
        <v>0.33968912051988626</v>
      </c>
      <c r="AE274" s="16">
        <f t="shared" si="106"/>
        <v>0.16409061631163352</v>
      </c>
      <c r="AF274" s="23" t="str">
        <f t="shared" si="122"/>
        <v/>
      </c>
      <c r="AG274" s="23" t="str">
        <f t="shared" si="102"/>
        <v/>
      </c>
      <c r="AH274" s="23" t="str">
        <f t="shared" si="107"/>
        <v/>
      </c>
      <c r="AI274" s="23" t="str">
        <f t="shared" si="123"/>
        <v/>
      </c>
      <c r="AJ274" s="23" t="str">
        <f t="shared" si="108"/>
        <v/>
      </c>
      <c r="AK274" s="23" t="str">
        <f t="shared" si="109"/>
        <v/>
      </c>
      <c r="AL274" s="23" t="str">
        <f t="shared" si="110"/>
        <v/>
      </c>
      <c r="AM274" s="23" t="str">
        <f t="shared" si="111"/>
        <v/>
      </c>
      <c r="AN274" s="19">
        <f t="shared" si="112"/>
        <v>0</v>
      </c>
      <c r="AO274" s="26">
        <f t="shared" si="113"/>
        <v>70.912433828986238</v>
      </c>
    </row>
    <row r="275" spans="1:41" x14ac:dyDescent="0.2">
      <c r="A275" s="12">
        <v>44829</v>
      </c>
      <c r="B275" s="6">
        <v>25</v>
      </c>
      <c r="C275" s="6">
        <v>268</v>
      </c>
      <c r="D275" s="6">
        <v>1</v>
      </c>
      <c r="E275" s="6" t="s">
        <v>12</v>
      </c>
      <c r="F275" s="6">
        <v>39</v>
      </c>
      <c r="G275" s="6">
        <v>9</v>
      </c>
      <c r="H275" s="6" t="s">
        <v>25</v>
      </c>
      <c r="I275" s="6">
        <v>3</v>
      </c>
      <c r="J275" s="14">
        <v>2.5619692149372537</v>
      </c>
      <c r="K275" s="14">
        <f t="shared" si="101"/>
        <v>1.5371815289623523</v>
      </c>
      <c r="L275" s="14">
        <v>15.589600571331811</v>
      </c>
      <c r="M275" s="14">
        <f t="shared" si="114"/>
        <v>23.964046042152194</v>
      </c>
      <c r="N275" s="16">
        <v>0.28813804095547635</v>
      </c>
      <c r="O275" s="14">
        <f t="shared" si="115"/>
        <v>6.9049532799525695</v>
      </c>
      <c r="P275" s="14">
        <f t="shared" si="116"/>
        <v>17.059092762199626</v>
      </c>
      <c r="Q275" s="14">
        <v>22.348574912253486</v>
      </c>
      <c r="R275" s="14">
        <v>3.1389309648440715</v>
      </c>
      <c r="S275" s="14">
        <f t="shared" si="103"/>
        <v>28.571428571428573</v>
      </c>
      <c r="T275" s="14">
        <v>16.439653390782027</v>
      </c>
      <c r="U275" s="14">
        <f t="shared" si="117"/>
        <v>16.774832229506536</v>
      </c>
      <c r="V275" s="14">
        <f t="shared" si="118"/>
        <v>10.912720399932269</v>
      </c>
      <c r="W275" s="14">
        <v>18.472181068904728</v>
      </c>
      <c r="X275" s="16">
        <f t="shared" si="119"/>
        <v>2.0479380111665093</v>
      </c>
      <c r="Y275" s="16">
        <f t="shared" si="124"/>
        <v>8.3216027562114867E-2</v>
      </c>
      <c r="Z275" s="16">
        <f t="shared" si="120"/>
        <v>0.41162577279353763</v>
      </c>
      <c r="AA275" s="16">
        <f t="shared" si="121"/>
        <v>0.14086144175121476</v>
      </c>
      <c r="AB275" s="16">
        <f t="shared" si="104"/>
        <v>1.1922622966577556</v>
      </c>
      <c r="AC275" s="14">
        <f t="shared" si="125"/>
        <v>10.912720399932269</v>
      </c>
      <c r="AD275" s="16">
        <f t="shared" si="105"/>
        <v>0.20134774784521078</v>
      </c>
      <c r="AE275" s="16">
        <f t="shared" si="106"/>
        <v>0.93258771381689332</v>
      </c>
      <c r="AF275" s="23" t="str">
        <f t="shared" si="122"/>
        <v/>
      </c>
      <c r="AG275" s="23">
        <f t="shared" si="102"/>
        <v>1200</v>
      </c>
      <c r="AH275" s="23" t="str">
        <f t="shared" si="107"/>
        <v/>
      </c>
      <c r="AI275" s="23" t="str">
        <f t="shared" si="123"/>
        <v/>
      </c>
      <c r="AJ275" s="23" t="str">
        <f t="shared" si="108"/>
        <v/>
      </c>
      <c r="AK275" s="23" t="str">
        <f t="shared" si="109"/>
        <v/>
      </c>
      <c r="AL275" s="23">
        <f t="shared" si="110"/>
        <v>83</v>
      </c>
      <c r="AM275" s="23" t="str">
        <f t="shared" si="111"/>
        <v/>
      </c>
      <c r="AN275" s="19">
        <f t="shared" si="112"/>
        <v>1283</v>
      </c>
      <c r="AO275" s="26">
        <f t="shared" si="113"/>
        <v>-1265.9409072378003</v>
      </c>
    </row>
    <row r="276" spans="1:41" x14ac:dyDescent="0.2">
      <c r="A276" s="12">
        <v>44830</v>
      </c>
      <c r="B276" s="6">
        <v>26</v>
      </c>
      <c r="C276" s="6">
        <v>269</v>
      </c>
      <c r="D276" s="6">
        <v>2</v>
      </c>
      <c r="E276" s="6" t="s">
        <v>13</v>
      </c>
      <c r="F276" s="6">
        <v>39</v>
      </c>
      <c r="G276" s="6">
        <v>9</v>
      </c>
      <c r="H276" s="6" t="s">
        <v>25</v>
      </c>
      <c r="I276" s="6">
        <v>3</v>
      </c>
      <c r="J276" s="14">
        <v>1.643906908402001</v>
      </c>
      <c r="K276" s="14">
        <f t="shared" si="101"/>
        <v>0.9863441450412006</v>
      </c>
      <c r="L276" s="14">
        <v>42.536733220306523</v>
      </c>
      <c r="M276" s="14">
        <f t="shared" si="114"/>
        <v>41.955857761028874</v>
      </c>
      <c r="N276" s="16">
        <v>0.27762959198846454</v>
      </c>
      <c r="O276" s="14">
        <f t="shared" si="115"/>
        <v>11.6481876717205</v>
      </c>
      <c r="P276" s="14">
        <f t="shared" si="116"/>
        <v>30.307670089308374</v>
      </c>
      <c r="Q276" s="14">
        <v>42.441261045627655</v>
      </c>
      <c r="R276" s="14">
        <v>9.1314635374850592</v>
      </c>
      <c r="S276" s="14">
        <f t="shared" si="103"/>
        <v>12.987012987012987</v>
      </c>
      <c r="T276" s="14">
        <v>33.526087664837924</v>
      </c>
      <c r="U276" s="14">
        <f t="shared" si="117"/>
        <v>29.369100432720209</v>
      </c>
      <c r="V276" s="14">
        <f t="shared" si="118"/>
        <v>29.775713254214565</v>
      </c>
      <c r="W276" s="14">
        <v>29.487851680300221</v>
      </c>
      <c r="X276" s="16">
        <f t="shared" si="119"/>
        <v>1.4253650511502143</v>
      </c>
      <c r="Y276" s="16">
        <f t="shared" si="124"/>
        <v>3.3449169364214548E-2</v>
      </c>
      <c r="Z276" s="16">
        <f t="shared" si="120"/>
        <v>0.39661370284066366</v>
      </c>
      <c r="AA276" s="16">
        <f t="shared" si="121"/>
        <v>3.3125794053030441E-2</v>
      </c>
      <c r="AB276" s="16">
        <f t="shared" si="104"/>
        <v>0.30953992314932732</v>
      </c>
      <c r="AC276" s="14">
        <f t="shared" si="125"/>
        <v>29.775713254214565</v>
      </c>
      <c r="AD276" s="16">
        <f t="shared" si="105"/>
        <v>0.21467242183811636</v>
      </c>
      <c r="AE276" s="16">
        <f t="shared" si="106"/>
        <v>1.0115693805466577</v>
      </c>
      <c r="AF276" s="23" t="str">
        <f t="shared" si="122"/>
        <v/>
      </c>
      <c r="AG276" s="23" t="str">
        <f t="shared" si="102"/>
        <v/>
      </c>
      <c r="AH276" s="23" t="str">
        <f t="shared" si="107"/>
        <v/>
      </c>
      <c r="AI276" s="23" t="str">
        <f t="shared" si="123"/>
        <v/>
      </c>
      <c r="AJ276" s="23" t="str">
        <f t="shared" si="108"/>
        <v/>
      </c>
      <c r="AK276" s="23" t="str">
        <f t="shared" si="109"/>
        <v/>
      </c>
      <c r="AL276" s="23" t="str">
        <f t="shared" si="110"/>
        <v/>
      </c>
      <c r="AM276" s="23" t="str">
        <f t="shared" si="111"/>
        <v/>
      </c>
      <c r="AN276" s="19">
        <f t="shared" si="112"/>
        <v>0</v>
      </c>
      <c r="AO276" s="26">
        <f t="shared" si="113"/>
        <v>30.307670089308374</v>
      </c>
    </row>
    <row r="277" spans="1:41" x14ac:dyDescent="0.2">
      <c r="A277" s="12">
        <v>44831</v>
      </c>
      <c r="B277" s="6">
        <v>27</v>
      </c>
      <c r="C277" s="6">
        <v>270</v>
      </c>
      <c r="D277" s="6">
        <v>3</v>
      </c>
      <c r="E277" s="6" t="s">
        <v>14</v>
      </c>
      <c r="F277" s="6">
        <v>39</v>
      </c>
      <c r="G277" s="6">
        <v>9</v>
      </c>
      <c r="H277" s="6" t="s">
        <v>25</v>
      </c>
      <c r="I277" s="6">
        <v>3</v>
      </c>
      <c r="J277" s="14">
        <v>23.061786643204861</v>
      </c>
      <c r="K277" s="14">
        <f t="shared" si="101"/>
        <v>13.837071985922917</v>
      </c>
      <c r="L277" s="14">
        <v>63.572803953301069</v>
      </c>
      <c r="M277" s="14">
        <f t="shared" si="114"/>
        <v>879.66146464879182</v>
      </c>
      <c r="N277" s="16">
        <v>0.75552943524840555</v>
      </c>
      <c r="O277" s="14">
        <f t="shared" si="115"/>
        <v>664.61012959588697</v>
      </c>
      <c r="P277" s="14">
        <f t="shared" si="116"/>
        <v>215.05133505290485</v>
      </c>
      <c r="Q277" s="14">
        <v>49.255763988114204</v>
      </c>
      <c r="R277" s="14">
        <v>17.721045274142821</v>
      </c>
      <c r="S277" s="14">
        <f t="shared" si="103"/>
        <v>12.987012987012987</v>
      </c>
      <c r="T277" s="14">
        <v>26.404376806861968</v>
      </c>
      <c r="U277" s="14">
        <f t="shared" si="117"/>
        <v>615.76302525415429</v>
      </c>
      <c r="V277" s="14">
        <f t="shared" si="118"/>
        <v>44.500962767310746</v>
      </c>
      <c r="W277" s="14">
        <v>30.08050881315604</v>
      </c>
      <c r="X277" s="16">
        <f t="shared" si="119"/>
        <v>1.1068471539743003</v>
      </c>
      <c r="Y277" s="16">
        <f t="shared" si="124"/>
        <v>0.46000126101161964</v>
      </c>
      <c r="Z277" s="16">
        <f t="shared" si="120"/>
        <v>1.0793277646405794</v>
      </c>
      <c r="AA277" s="16">
        <f t="shared" si="121"/>
        <v>0.31093871065835166</v>
      </c>
      <c r="AB277" s="16">
        <f t="shared" si="104"/>
        <v>1.4763648868258769E-2</v>
      </c>
      <c r="AC277" s="14">
        <f t="shared" si="125"/>
        <v>44.500962767310746</v>
      </c>
      <c r="AD277" s="16">
        <f t="shared" si="105"/>
        <v>0.27875198468766993</v>
      </c>
      <c r="AE277" s="16">
        <f t="shared" si="106"/>
        <v>5.5993999927892439E-2</v>
      </c>
      <c r="AF277" s="23" t="str">
        <f t="shared" si="122"/>
        <v/>
      </c>
      <c r="AG277" s="23" t="str">
        <f t="shared" si="102"/>
        <v/>
      </c>
      <c r="AH277" s="23" t="str">
        <f t="shared" si="107"/>
        <v/>
      </c>
      <c r="AI277" s="23" t="str">
        <f t="shared" si="123"/>
        <v/>
      </c>
      <c r="AJ277" s="23" t="str">
        <f t="shared" si="108"/>
        <v/>
      </c>
      <c r="AK277" s="23" t="str">
        <f t="shared" si="109"/>
        <v/>
      </c>
      <c r="AL277" s="23" t="str">
        <f t="shared" si="110"/>
        <v/>
      </c>
      <c r="AM277" s="23" t="str">
        <f t="shared" si="111"/>
        <v/>
      </c>
      <c r="AN277" s="19">
        <f t="shared" si="112"/>
        <v>0</v>
      </c>
      <c r="AO277" s="26">
        <f t="shared" si="113"/>
        <v>215.05133505290485</v>
      </c>
    </row>
    <row r="278" spans="1:41" x14ac:dyDescent="0.2">
      <c r="A278" s="12">
        <v>44832</v>
      </c>
      <c r="B278" s="6">
        <v>28</v>
      </c>
      <c r="C278" s="6">
        <v>271</v>
      </c>
      <c r="D278" s="6">
        <v>4</v>
      </c>
      <c r="E278" s="6" t="s">
        <v>15</v>
      </c>
      <c r="F278" s="6">
        <v>39</v>
      </c>
      <c r="G278" s="6">
        <v>9</v>
      </c>
      <c r="H278" s="6" t="s">
        <v>25</v>
      </c>
      <c r="I278" s="6">
        <v>3</v>
      </c>
      <c r="J278" s="14">
        <v>22.171831805741277</v>
      </c>
      <c r="K278" s="14">
        <f t="shared" si="101"/>
        <v>13.303099083444765</v>
      </c>
      <c r="L278" s="14">
        <v>66.791617907511608</v>
      </c>
      <c r="M278" s="14">
        <f t="shared" si="114"/>
        <v>888.5355109672106</v>
      </c>
      <c r="N278" s="16">
        <v>0.50715118673757154</v>
      </c>
      <c r="O278" s="14">
        <f t="shared" si="115"/>
        <v>450.62183884549535</v>
      </c>
      <c r="P278" s="14">
        <f t="shared" si="116"/>
        <v>437.91367212171525</v>
      </c>
      <c r="Q278" s="14">
        <v>35.563121251085867</v>
      </c>
      <c r="R278" s="14">
        <v>14.683779033470909</v>
      </c>
      <c r="S278" s="14">
        <f t="shared" si="103"/>
        <v>12.987012987012987</v>
      </c>
      <c r="T278" s="14">
        <v>39.494092467102789</v>
      </c>
      <c r="U278" s="14">
        <f t="shared" si="117"/>
        <v>621.97485767704734</v>
      </c>
      <c r="V278" s="14">
        <f t="shared" si="118"/>
        <v>46.754132535258115</v>
      </c>
      <c r="W278" s="14">
        <v>26.888454696069346</v>
      </c>
      <c r="X278" s="16">
        <f t="shared" si="119"/>
        <v>0.76064123795403737</v>
      </c>
      <c r="Y278" s="16">
        <f t="shared" si="124"/>
        <v>0.4947513434228506</v>
      </c>
      <c r="Z278" s="16">
        <f t="shared" si="120"/>
        <v>0.72450169533938802</v>
      </c>
      <c r="AA278" s="16">
        <f t="shared" si="121"/>
        <v>0.2845331174396758</v>
      </c>
      <c r="AB278" s="16">
        <f t="shared" si="104"/>
        <v>1.4616200283178376E-2</v>
      </c>
      <c r="AC278" s="14">
        <f t="shared" si="125"/>
        <v>46.754132535258115</v>
      </c>
      <c r="AD278" s="16">
        <f t="shared" si="105"/>
        <v>0.21984463759814871</v>
      </c>
      <c r="AE278" s="16">
        <f t="shared" si="106"/>
        <v>4.0024423123363774E-2</v>
      </c>
      <c r="AF278" s="23" t="str">
        <f t="shared" si="122"/>
        <v/>
      </c>
      <c r="AG278" s="23" t="str">
        <f t="shared" si="102"/>
        <v/>
      </c>
      <c r="AH278" s="23" t="str">
        <f t="shared" si="107"/>
        <v/>
      </c>
      <c r="AI278" s="23" t="str">
        <f t="shared" si="123"/>
        <v/>
      </c>
      <c r="AJ278" s="23" t="str">
        <f t="shared" si="108"/>
        <v/>
      </c>
      <c r="AK278" s="23" t="str">
        <f t="shared" si="109"/>
        <v/>
      </c>
      <c r="AL278" s="23" t="str">
        <f t="shared" si="110"/>
        <v/>
      </c>
      <c r="AM278" s="23" t="str">
        <f t="shared" si="111"/>
        <v/>
      </c>
      <c r="AN278" s="19">
        <f t="shared" si="112"/>
        <v>0</v>
      </c>
      <c r="AO278" s="26">
        <f t="shared" si="113"/>
        <v>437.91367212171525</v>
      </c>
    </row>
    <row r="279" spans="1:41" x14ac:dyDescent="0.2">
      <c r="A279" s="12">
        <v>44833</v>
      </c>
      <c r="B279" s="6">
        <v>29</v>
      </c>
      <c r="C279" s="6">
        <v>272</v>
      </c>
      <c r="D279" s="6">
        <v>5</v>
      </c>
      <c r="E279" s="6" t="s">
        <v>16</v>
      </c>
      <c r="F279" s="6">
        <v>39</v>
      </c>
      <c r="G279" s="6">
        <v>9</v>
      </c>
      <c r="H279" s="6" t="s">
        <v>25</v>
      </c>
      <c r="I279" s="6">
        <v>3</v>
      </c>
      <c r="J279" s="14">
        <v>26.097562255478529</v>
      </c>
      <c r="K279" s="14">
        <f t="shared" si="101"/>
        <v>15.658537353287116</v>
      </c>
      <c r="L279" s="14">
        <v>59.356186629295941</v>
      </c>
      <c r="M279" s="14">
        <f t="shared" si="114"/>
        <v>929.43106548351182</v>
      </c>
      <c r="N279" s="16">
        <v>0.50401449234396356</v>
      </c>
      <c r="O279" s="14">
        <f t="shared" si="115"/>
        <v>468.44672663838134</v>
      </c>
      <c r="P279" s="14">
        <f t="shared" si="116"/>
        <v>460.98433884513048</v>
      </c>
      <c r="Q279" s="14">
        <v>27.731078091733721</v>
      </c>
      <c r="R279" s="14">
        <v>17.117319846295032</v>
      </c>
      <c r="S279" s="14">
        <f t="shared" si="103"/>
        <v>12.987012987012987</v>
      </c>
      <c r="T279" s="14">
        <v>37.929614325188268</v>
      </c>
      <c r="U279" s="14">
        <f t="shared" si="117"/>
        <v>650.60174583845821</v>
      </c>
      <c r="V279" s="14">
        <f t="shared" si="118"/>
        <v>41.549330640507158</v>
      </c>
      <c r="W279" s="14">
        <v>33.633445127675238</v>
      </c>
      <c r="X279" s="16">
        <f t="shared" si="119"/>
        <v>0.66742538722629186</v>
      </c>
      <c r="Y279" s="16">
        <f t="shared" si="124"/>
        <v>0.46556447886459623</v>
      </c>
      <c r="Z279" s="16">
        <f t="shared" si="120"/>
        <v>0.72002070334851942</v>
      </c>
      <c r="AA279" s="16">
        <f t="shared" si="121"/>
        <v>0.37686617598651129</v>
      </c>
      <c r="AB279" s="16">
        <f t="shared" si="104"/>
        <v>1.3973078229590742E-2</v>
      </c>
      <c r="AC279" s="14">
        <f t="shared" si="125"/>
        <v>41.549330640507158</v>
      </c>
      <c r="AD279" s="16">
        <f t="shared" si="105"/>
        <v>0.28838307880524416</v>
      </c>
      <c r="AE279" s="16">
        <f t="shared" si="106"/>
        <v>2.9836616314634766E-2</v>
      </c>
      <c r="AF279" s="23" t="str">
        <f t="shared" si="122"/>
        <v/>
      </c>
      <c r="AG279" s="23" t="str">
        <f t="shared" si="102"/>
        <v/>
      </c>
      <c r="AH279" s="23" t="str">
        <f t="shared" si="107"/>
        <v/>
      </c>
      <c r="AI279" s="23" t="str">
        <f t="shared" si="123"/>
        <v/>
      </c>
      <c r="AJ279" s="23" t="str">
        <f t="shared" si="108"/>
        <v/>
      </c>
      <c r="AK279" s="23" t="str">
        <f t="shared" si="109"/>
        <v/>
      </c>
      <c r="AL279" s="23" t="str">
        <f t="shared" si="110"/>
        <v/>
      </c>
      <c r="AM279" s="23" t="str">
        <f t="shared" si="111"/>
        <v/>
      </c>
      <c r="AN279" s="19">
        <f t="shared" si="112"/>
        <v>0</v>
      </c>
      <c r="AO279" s="26">
        <f t="shared" si="113"/>
        <v>460.98433884513048</v>
      </c>
    </row>
    <row r="280" spans="1:41" x14ac:dyDescent="0.2">
      <c r="A280" s="12">
        <v>44834</v>
      </c>
      <c r="B280" s="6">
        <v>30</v>
      </c>
      <c r="C280" s="6">
        <v>273</v>
      </c>
      <c r="D280" s="6">
        <v>6</v>
      </c>
      <c r="E280" s="6" t="s">
        <v>17</v>
      </c>
      <c r="F280" s="6">
        <v>39</v>
      </c>
      <c r="G280" s="6">
        <v>9</v>
      </c>
      <c r="H280" s="6" t="s">
        <v>25</v>
      </c>
      <c r="I280" s="6">
        <v>3</v>
      </c>
      <c r="J280" s="14">
        <v>24.438487669449437</v>
      </c>
      <c r="K280" s="14">
        <f t="shared" si="101"/>
        <v>14.663092601669661</v>
      </c>
      <c r="L280" s="14">
        <v>75.284985985624829</v>
      </c>
      <c r="M280" s="14">
        <f t="shared" si="114"/>
        <v>1103.9107210226196</v>
      </c>
      <c r="N280" s="16">
        <v>0.60252266708608904</v>
      </c>
      <c r="O280" s="14">
        <f t="shared" si="115"/>
        <v>665.13123185547636</v>
      </c>
      <c r="P280" s="14">
        <f t="shared" si="116"/>
        <v>438.7794891671432</v>
      </c>
      <c r="Q280" s="14">
        <v>57.38020531250875</v>
      </c>
      <c r="R280" s="14">
        <v>15.877413136078212</v>
      </c>
      <c r="S280" s="14">
        <f t="shared" si="103"/>
        <v>12.987012987012987</v>
      </c>
      <c r="T280" s="14">
        <v>34.869880516922294</v>
      </c>
      <c r="U280" s="14">
        <f t="shared" si="117"/>
        <v>772.73750471583367</v>
      </c>
      <c r="V280" s="14">
        <f t="shared" si="118"/>
        <v>52.699490189937379</v>
      </c>
      <c r="W280" s="14">
        <v>31.207175706562648</v>
      </c>
      <c r="X280" s="16">
        <f t="shared" si="119"/>
        <v>1.0888189829863881</v>
      </c>
      <c r="Y280" s="16">
        <f t="shared" si="124"/>
        <v>0.46986285268314482</v>
      </c>
      <c r="Z280" s="16">
        <f t="shared" si="120"/>
        <v>0.86074666726584159</v>
      </c>
      <c r="AA280" s="16">
        <f t="shared" si="121"/>
        <v>0.27823974290494147</v>
      </c>
      <c r="AB280" s="16">
        <f t="shared" si="104"/>
        <v>1.1764550103274953E-2</v>
      </c>
      <c r="AC280" s="14">
        <f t="shared" si="125"/>
        <v>52.699490189937379</v>
      </c>
      <c r="AD280" s="16">
        <f t="shared" si="105"/>
        <v>0.21089747083316054</v>
      </c>
      <c r="AE280" s="16">
        <f t="shared" si="106"/>
        <v>5.1979027125811386E-2</v>
      </c>
      <c r="AF280" s="23" t="str">
        <f t="shared" si="122"/>
        <v/>
      </c>
      <c r="AG280" s="23" t="str">
        <f t="shared" si="102"/>
        <v/>
      </c>
      <c r="AH280" s="23" t="str">
        <f t="shared" si="107"/>
        <v/>
      </c>
      <c r="AI280" s="23" t="str">
        <f t="shared" si="123"/>
        <v/>
      </c>
      <c r="AJ280" s="23" t="str">
        <f t="shared" si="108"/>
        <v/>
      </c>
      <c r="AK280" s="23" t="str">
        <f t="shared" si="109"/>
        <v/>
      </c>
      <c r="AL280" s="23" t="str">
        <f t="shared" si="110"/>
        <v/>
      </c>
      <c r="AM280" s="23" t="str">
        <f t="shared" si="111"/>
        <v/>
      </c>
      <c r="AN280" s="19">
        <f t="shared" si="112"/>
        <v>0</v>
      </c>
      <c r="AO280" s="26">
        <f t="shared" si="113"/>
        <v>438.7794891671432</v>
      </c>
    </row>
    <row r="281" spans="1:41" x14ac:dyDescent="0.2">
      <c r="A281" s="12">
        <v>44835</v>
      </c>
      <c r="B281" s="6">
        <v>1</v>
      </c>
      <c r="C281" s="6">
        <v>274</v>
      </c>
      <c r="D281" s="6">
        <v>7</v>
      </c>
      <c r="E281" s="6" t="s">
        <v>10</v>
      </c>
      <c r="F281" s="6">
        <v>39</v>
      </c>
      <c r="G281" s="6">
        <v>10</v>
      </c>
      <c r="H281" s="6" t="s">
        <v>26</v>
      </c>
      <c r="I281" s="6">
        <v>4</v>
      </c>
      <c r="J281" s="14">
        <v>20.187420411645714</v>
      </c>
      <c r="K281" s="14">
        <f t="shared" si="101"/>
        <v>12.112452246987429</v>
      </c>
      <c r="L281" s="14">
        <v>100.03146751370534</v>
      </c>
      <c r="M281" s="14">
        <f t="shared" si="114"/>
        <v>1211.6263734558302</v>
      </c>
      <c r="N281" s="16">
        <v>0.53356174506473075</v>
      </c>
      <c r="O281" s="14">
        <f t="shared" si="115"/>
        <v>646.47748218754396</v>
      </c>
      <c r="P281" s="14">
        <f t="shared" si="116"/>
        <v>565.14889126828621</v>
      </c>
      <c r="Q281" s="14">
        <v>42.359685910835786</v>
      </c>
      <c r="R281" s="14">
        <v>18.08148098450938</v>
      </c>
      <c r="S281" s="14">
        <f t="shared" si="103"/>
        <v>12.987012987012987</v>
      </c>
      <c r="T281" s="14">
        <v>29.911660942882786</v>
      </c>
      <c r="U281" s="14">
        <f t="shared" si="117"/>
        <v>848.13846141908107</v>
      </c>
      <c r="V281" s="14">
        <f t="shared" si="118"/>
        <v>70.022027259593727</v>
      </c>
      <c r="W281" s="14">
        <v>36.964830662688946</v>
      </c>
      <c r="X281" s="16">
        <f t="shared" si="119"/>
        <v>0.60494800805745141</v>
      </c>
      <c r="Y281" s="16">
        <f t="shared" si="124"/>
        <v>0.3276750367806589</v>
      </c>
      <c r="Z281" s="16">
        <f t="shared" si="120"/>
        <v>0.76223106437818688</v>
      </c>
      <c r="AA281" s="16">
        <f t="shared" si="121"/>
        <v>0.17298059940599478</v>
      </c>
      <c r="AB281" s="16">
        <f t="shared" si="104"/>
        <v>1.0718661521019151E-2</v>
      </c>
      <c r="AC281" s="14">
        <f t="shared" si="125"/>
        <v>70.022027259593727</v>
      </c>
      <c r="AD281" s="16">
        <f t="shared" si="105"/>
        <v>0.1807579298187546</v>
      </c>
      <c r="AE281" s="16">
        <f t="shared" si="106"/>
        <v>3.4961013426949815E-2</v>
      </c>
      <c r="AF281" s="23">
        <f t="shared" si="122"/>
        <v>3000</v>
      </c>
      <c r="AG281" s="23" t="str">
        <f t="shared" si="102"/>
        <v/>
      </c>
      <c r="AH281" s="23" t="str">
        <f t="shared" si="107"/>
        <v/>
      </c>
      <c r="AI281" s="23" t="str">
        <f t="shared" si="123"/>
        <v/>
      </c>
      <c r="AJ281" s="23" t="str">
        <f t="shared" si="108"/>
        <v/>
      </c>
      <c r="AK281" s="23" t="str">
        <f t="shared" si="109"/>
        <v/>
      </c>
      <c r="AL281" s="23" t="str">
        <f t="shared" si="110"/>
        <v/>
      </c>
      <c r="AM281" s="23" t="str">
        <f t="shared" si="111"/>
        <v/>
      </c>
      <c r="AN281" s="19">
        <f t="shared" si="112"/>
        <v>3000</v>
      </c>
      <c r="AO281" s="26">
        <f t="shared" si="113"/>
        <v>-2434.8511087317138</v>
      </c>
    </row>
    <row r="282" spans="1:41" x14ac:dyDescent="0.2">
      <c r="A282" s="12">
        <v>44836</v>
      </c>
      <c r="B282" s="6">
        <v>2</v>
      </c>
      <c r="C282" s="6">
        <v>275</v>
      </c>
      <c r="D282" s="6">
        <v>1</v>
      </c>
      <c r="E282" s="6" t="s">
        <v>12</v>
      </c>
      <c r="F282" s="6">
        <v>40</v>
      </c>
      <c r="G282" s="6">
        <v>10</v>
      </c>
      <c r="H282" s="6" t="s">
        <v>26</v>
      </c>
      <c r="I282" s="6">
        <v>4</v>
      </c>
      <c r="J282" s="14">
        <v>5.1113973605569711</v>
      </c>
      <c r="K282" s="14">
        <f t="shared" si="101"/>
        <v>3.0668384163341824</v>
      </c>
      <c r="L282" s="14">
        <v>8.6745226090677363</v>
      </c>
      <c r="M282" s="14">
        <f t="shared" si="114"/>
        <v>26.603359180848358</v>
      </c>
      <c r="N282" s="16">
        <v>0.28479634421455341</v>
      </c>
      <c r="O282" s="14">
        <f t="shared" si="115"/>
        <v>7.5765394385322882</v>
      </c>
      <c r="P282" s="14">
        <f t="shared" si="116"/>
        <v>19.026819742316071</v>
      </c>
      <c r="Q282" s="14">
        <v>14.355430737484147</v>
      </c>
      <c r="R282" s="14">
        <v>7.8798364285797549</v>
      </c>
      <c r="S282" s="14">
        <f t="shared" si="103"/>
        <v>28.571428571428573</v>
      </c>
      <c r="T282" s="14">
        <v>16.634006944765741</v>
      </c>
      <c r="U282" s="14">
        <f t="shared" si="117"/>
        <v>18.622351426593848</v>
      </c>
      <c r="V282" s="14">
        <f t="shared" si="118"/>
        <v>6.0721658263474154</v>
      </c>
      <c r="W282" s="14">
        <v>15.667904446510217</v>
      </c>
      <c r="X282" s="16">
        <f t="shared" si="119"/>
        <v>2.3641368085165348</v>
      </c>
      <c r="Y282" s="16">
        <f t="shared" si="124"/>
        <v>0.19574017870764288</v>
      </c>
      <c r="Z282" s="16">
        <f t="shared" si="120"/>
        <v>0.40685192030650491</v>
      </c>
      <c r="AA282" s="16">
        <f t="shared" si="121"/>
        <v>0.50506499724151555</v>
      </c>
      <c r="AB282" s="16">
        <f t="shared" si="104"/>
        <v>1.0739782287342503</v>
      </c>
      <c r="AC282" s="14">
        <f t="shared" si="125"/>
        <v>6.0721658263474154</v>
      </c>
      <c r="AD282" s="16">
        <f t="shared" si="105"/>
        <v>0.90838848242123749</v>
      </c>
      <c r="AE282" s="16">
        <f t="shared" si="106"/>
        <v>0.53960970266561525</v>
      </c>
      <c r="AF282" s="23" t="str">
        <f t="shared" si="122"/>
        <v/>
      </c>
      <c r="AG282" s="23">
        <f t="shared" si="102"/>
        <v>1200</v>
      </c>
      <c r="AH282" s="23" t="str">
        <f t="shared" si="107"/>
        <v/>
      </c>
      <c r="AI282" s="23" t="str">
        <f t="shared" si="123"/>
        <v/>
      </c>
      <c r="AJ282" s="23" t="str">
        <f t="shared" si="108"/>
        <v/>
      </c>
      <c r="AK282" s="23" t="str">
        <f t="shared" si="109"/>
        <v/>
      </c>
      <c r="AL282" s="23" t="str">
        <f t="shared" si="110"/>
        <v/>
      </c>
      <c r="AM282" s="23" t="str">
        <f t="shared" si="111"/>
        <v/>
      </c>
      <c r="AN282" s="19">
        <f t="shared" si="112"/>
        <v>1200</v>
      </c>
      <c r="AO282" s="26">
        <f t="shared" si="113"/>
        <v>-1180.9731802576839</v>
      </c>
    </row>
    <row r="283" spans="1:41" x14ac:dyDescent="0.2">
      <c r="A283" s="12">
        <v>44837</v>
      </c>
      <c r="B283" s="6">
        <v>3</v>
      </c>
      <c r="C283" s="6">
        <v>276</v>
      </c>
      <c r="D283" s="6">
        <v>2</v>
      </c>
      <c r="E283" s="6" t="s">
        <v>13</v>
      </c>
      <c r="F283" s="6">
        <v>40</v>
      </c>
      <c r="G283" s="6">
        <v>10</v>
      </c>
      <c r="H283" s="6" t="s">
        <v>26</v>
      </c>
      <c r="I283" s="6">
        <v>4</v>
      </c>
      <c r="J283" s="14">
        <v>13.955314017811398</v>
      </c>
      <c r="K283" s="14">
        <f t="shared" si="101"/>
        <v>8.3731884106868382</v>
      </c>
      <c r="L283" s="14">
        <v>69.33722967555444</v>
      </c>
      <c r="M283" s="14">
        <f t="shared" si="114"/>
        <v>580.57368794848401</v>
      </c>
      <c r="N283" s="16">
        <v>0.47968749996631865</v>
      </c>
      <c r="O283" s="14">
        <f t="shared" si="115"/>
        <v>278.49394091823393</v>
      </c>
      <c r="P283" s="14">
        <f t="shared" si="116"/>
        <v>302.07974703025008</v>
      </c>
      <c r="Q283" s="14">
        <v>37.595833979584221</v>
      </c>
      <c r="R283" s="14">
        <v>8.5711262306154268</v>
      </c>
      <c r="S283" s="14">
        <f t="shared" si="103"/>
        <v>12.987012987012987</v>
      </c>
      <c r="T283" s="14">
        <v>43.534767788284078</v>
      </c>
      <c r="U283" s="14">
        <f t="shared" si="117"/>
        <v>406.40158156393881</v>
      </c>
      <c r="V283" s="14">
        <f t="shared" si="118"/>
        <v>48.536060772888113</v>
      </c>
      <c r="W283" s="14">
        <v>30.747146219783012</v>
      </c>
      <c r="X283" s="16">
        <f t="shared" si="119"/>
        <v>0.7745959062377179</v>
      </c>
      <c r="Y283" s="16">
        <f t="shared" si="124"/>
        <v>0.27232408337458802</v>
      </c>
      <c r="Z283" s="16">
        <f t="shared" si="120"/>
        <v>0.68526785709474092</v>
      </c>
      <c r="AA283" s="16">
        <f t="shared" si="121"/>
        <v>0.17251479162816691</v>
      </c>
      <c r="AB283" s="16">
        <f t="shared" si="104"/>
        <v>2.2369275867295872E-2</v>
      </c>
      <c r="AC283" s="14">
        <f t="shared" si="125"/>
        <v>48.536060772888113</v>
      </c>
      <c r="AD283" s="16">
        <f t="shared" si="105"/>
        <v>0.12361506611558878</v>
      </c>
      <c r="AE283" s="16">
        <f t="shared" si="106"/>
        <v>6.4756351794778899E-2</v>
      </c>
      <c r="AF283" s="23" t="str">
        <f t="shared" si="122"/>
        <v/>
      </c>
      <c r="AG283" s="23" t="str">
        <f t="shared" si="102"/>
        <v/>
      </c>
      <c r="AH283" s="23" t="str">
        <f t="shared" si="107"/>
        <v/>
      </c>
      <c r="AI283" s="23" t="str">
        <f t="shared" si="123"/>
        <v/>
      </c>
      <c r="AJ283" s="23" t="str">
        <f t="shared" si="108"/>
        <v/>
      </c>
      <c r="AK283" s="23" t="str">
        <f t="shared" si="109"/>
        <v/>
      </c>
      <c r="AL283" s="23" t="str">
        <f t="shared" si="110"/>
        <v/>
      </c>
      <c r="AM283" s="23" t="str">
        <f t="shared" si="111"/>
        <v/>
      </c>
      <c r="AN283" s="19">
        <f t="shared" si="112"/>
        <v>0</v>
      </c>
      <c r="AO283" s="26">
        <f t="shared" si="113"/>
        <v>302.07974703025008</v>
      </c>
    </row>
    <row r="284" spans="1:41" x14ac:dyDescent="0.2">
      <c r="A284" s="12">
        <v>44838</v>
      </c>
      <c r="B284" s="6">
        <v>4</v>
      </c>
      <c r="C284" s="6">
        <v>277</v>
      </c>
      <c r="D284" s="6">
        <v>3</v>
      </c>
      <c r="E284" s="6" t="s">
        <v>14</v>
      </c>
      <c r="F284" s="6">
        <v>40</v>
      </c>
      <c r="G284" s="6">
        <v>10</v>
      </c>
      <c r="H284" s="6" t="s">
        <v>26</v>
      </c>
      <c r="I284" s="6">
        <v>4</v>
      </c>
      <c r="J284" s="14">
        <v>6.957773417567136</v>
      </c>
      <c r="K284" s="14">
        <f t="shared" si="101"/>
        <v>4.1746640505402812</v>
      </c>
      <c r="L284" s="14">
        <v>27.321101470874595</v>
      </c>
      <c r="M284" s="14">
        <f t="shared" si="114"/>
        <v>114.05642013162337</v>
      </c>
      <c r="N284" s="16">
        <v>0.49072420050857396</v>
      </c>
      <c r="O284" s="14">
        <f t="shared" si="115"/>
        <v>55.970245581960896</v>
      </c>
      <c r="P284" s="14">
        <f t="shared" si="116"/>
        <v>58.086174549662474</v>
      </c>
      <c r="Q284" s="14">
        <v>41.795451029286255</v>
      </c>
      <c r="R284" s="14">
        <v>13.65715537857287</v>
      </c>
      <c r="S284" s="14">
        <f t="shared" si="103"/>
        <v>12.987012987012987</v>
      </c>
      <c r="T284" s="14">
        <v>43.731360407617402</v>
      </c>
      <c r="U284" s="14">
        <f t="shared" si="117"/>
        <v>79.839494092136349</v>
      </c>
      <c r="V284" s="14">
        <f t="shared" si="118"/>
        <v>19.124771029612212</v>
      </c>
      <c r="W284" s="14">
        <v>35.306680080747029</v>
      </c>
      <c r="X284" s="16">
        <f t="shared" si="119"/>
        <v>2.1854092247468717</v>
      </c>
      <c r="Y284" s="16">
        <f t="shared" si="124"/>
        <v>0.11824006224863814</v>
      </c>
      <c r="Z284" s="16">
        <f t="shared" si="120"/>
        <v>0.70103457215510567</v>
      </c>
      <c r="AA284" s="16">
        <f t="shared" si="121"/>
        <v>0.21828570099356268</v>
      </c>
      <c r="AB284" s="16">
        <f t="shared" si="104"/>
        <v>0.11386481332682295</v>
      </c>
      <c r="AC284" s="14">
        <f t="shared" si="125"/>
        <v>19.124771029612212</v>
      </c>
      <c r="AD284" s="16">
        <f t="shared" si="105"/>
        <v>0.49987572401251662</v>
      </c>
      <c r="AE284" s="16">
        <f t="shared" si="106"/>
        <v>0.36644540466072384</v>
      </c>
      <c r="AF284" s="23" t="str">
        <f t="shared" si="122"/>
        <v/>
      </c>
      <c r="AG284" s="23" t="str">
        <f t="shared" si="102"/>
        <v/>
      </c>
      <c r="AH284" s="23" t="str">
        <f t="shared" si="107"/>
        <v/>
      </c>
      <c r="AI284" s="23" t="str">
        <f t="shared" si="123"/>
        <v/>
      </c>
      <c r="AJ284" s="23" t="str">
        <f t="shared" si="108"/>
        <v/>
      </c>
      <c r="AK284" s="23" t="str">
        <f t="shared" si="109"/>
        <v/>
      </c>
      <c r="AL284" s="23" t="str">
        <f t="shared" si="110"/>
        <v/>
      </c>
      <c r="AM284" s="23" t="str">
        <f t="shared" si="111"/>
        <v/>
      </c>
      <c r="AN284" s="19">
        <f t="shared" si="112"/>
        <v>0</v>
      </c>
      <c r="AO284" s="26">
        <f t="shared" si="113"/>
        <v>58.086174549662474</v>
      </c>
    </row>
    <row r="285" spans="1:41" x14ac:dyDescent="0.2">
      <c r="A285" s="12">
        <v>44839</v>
      </c>
      <c r="B285" s="6">
        <v>5</v>
      </c>
      <c r="C285" s="6">
        <v>278</v>
      </c>
      <c r="D285" s="6">
        <v>4</v>
      </c>
      <c r="E285" s="6" t="s">
        <v>15</v>
      </c>
      <c r="F285" s="6">
        <v>40</v>
      </c>
      <c r="G285" s="6">
        <v>10</v>
      </c>
      <c r="H285" s="6" t="s">
        <v>26</v>
      </c>
      <c r="I285" s="6">
        <v>4</v>
      </c>
      <c r="J285" s="14">
        <v>15.329344088434178</v>
      </c>
      <c r="K285" s="14">
        <f t="shared" si="101"/>
        <v>9.1976064530605068</v>
      </c>
      <c r="L285" s="14">
        <v>69.548842543177983</v>
      </c>
      <c r="M285" s="14">
        <f t="shared" si="114"/>
        <v>639.68288297802292</v>
      </c>
      <c r="N285" s="16">
        <v>0.62836629938781985</v>
      </c>
      <c r="O285" s="14">
        <f t="shared" si="115"/>
        <v>401.95516595863205</v>
      </c>
      <c r="P285" s="14">
        <f t="shared" si="116"/>
        <v>237.72771701939087</v>
      </c>
      <c r="Q285" s="14">
        <v>41.842220540901309</v>
      </c>
      <c r="R285" s="14">
        <v>15.405999996847992</v>
      </c>
      <c r="S285" s="14">
        <f t="shared" si="103"/>
        <v>12.987012987012987</v>
      </c>
      <c r="T285" s="14">
        <v>37.879189393556082</v>
      </c>
      <c r="U285" s="14">
        <f t="shared" si="117"/>
        <v>447.77801808461601</v>
      </c>
      <c r="V285" s="14">
        <f t="shared" si="118"/>
        <v>48.684189780224585</v>
      </c>
      <c r="W285" s="14">
        <v>35.622562532196746</v>
      </c>
      <c r="X285" s="16">
        <f t="shared" si="119"/>
        <v>0.85946219357434039</v>
      </c>
      <c r="Y285" s="16">
        <f t="shared" si="124"/>
        <v>0.25819609256766501</v>
      </c>
      <c r="Z285" s="16">
        <f t="shared" si="120"/>
        <v>0.89766614198259975</v>
      </c>
      <c r="AA285" s="16">
        <f t="shared" si="121"/>
        <v>0.18892388873228316</v>
      </c>
      <c r="AB285" s="16">
        <f t="shared" si="104"/>
        <v>2.0302267471270091E-2</v>
      </c>
      <c r="AC285" s="14">
        <f t="shared" si="125"/>
        <v>48.684189780224585</v>
      </c>
      <c r="AD285" s="16">
        <f t="shared" si="105"/>
        <v>0.22151339164679112</v>
      </c>
      <c r="AE285" s="16">
        <f t="shared" si="106"/>
        <v>6.5410880382020239E-2</v>
      </c>
      <c r="AF285" s="23" t="str">
        <f t="shared" si="122"/>
        <v/>
      </c>
      <c r="AG285" s="23" t="str">
        <f t="shared" si="102"/>
        <v/>
      </c>
      <c r="AH285" s="23" t="str">
        <f t="shared" si="107"/>
        <v/>
      </c>
      <c r="AI285" s="23" t="str">
        <f t="shared" si="123"/>
        <v/>
      </c>
      <c r="AJ285" s="23" t="str">
        <f t="shared" si="108"/>
        <v/>
      </c>
      <c r="AK285" s="23" t="str">
        <f t="shared" si="109"/>
        <v/>
      </c>
      <c r="AL285" s="23" t="str">
        <f t="shared" si="110"/>
        <v/>
      </c>
      <c r="AM285" s="23">
        <f t="shared" si="111"/>
        <v>1000</v>
      </c>
      <c r="AN285" s="19">
        <f t="shared" si="112"/>
        <v>1000</v>
      </c>
      <c r="AO285" s="26">
        <f t="shared" si="113"/>
        <v>-762.27228298060913</v>
      </c>
    </row>
    <row r="286" spans="1:41" x14ac:dyDescent="0.2">
      <c r="A286" s="12">
        <v>44840</v>
      </c>
      <c r="B286" s="6">
        <v>6</v>
      </c>
      <c r="C286" s="6">
        <v>279</v>
      </c>
      <c r="D286" s="6">
        <v>5</v>
      </c>
      <c r="E286" s="6" t="s">
        <v>16</v>
      </c>
      <c r="F286" s="6">
        <v>40</v>
      </c>
      <c r="G286" s="6">
        <v>10</v>
      </c>
      <c r="H286" s="6" t="s">
        <v>26</v>
      </c>
      <c r="I286" s="6">
        <v>4</v>
      </c>
      <c r="J286" s="14">
        <v>16.052381473462148</v>
      </c>
      <c r="K286" s="14">
        <f t="shared" si="101"/>
        <v>9.6314288840772875</v>
      </c>
      <c r="L286" s="14">
        <v>41.643951038423971</v>
      </c>
      <c r="M286" s="14">
        <f t="shared" si="114"/>
        <v>401.09075287857701</v>
      </c>
      <c r="N286" s="16">
        <v>0.56263845405265789</v>
      </c>
      <c r="O286" s="14">
        <f t="shared" si="115"/>
        <v>225.6690811344192</v>
      </c>
      <c r="P286" s="14">
        <f t="shared" si="116"/>
        <v>175.42167174415781</v>
      </c>
      <c r="Q286" s="14">
        <v>39.36729852234977</v>
      </c>
      <c r="R286" s="14">
        <v>13.293259293848806</v>
      </c>
      <c r="S286" s="14">
        <f t="shared" si="103"/>
        <v>12.987012987012987</v>
      </c>
      <c r="T286" s="14">
        <v>42.493817761730526</v>
      </c>
      <c r="U286" s="14">
        <f t="shared" si="117"/>
        <v>280.76352701500389</v>
      </c>
      <c r="V286" s="14">
        <f t="shared" si="118"/>
        <v>29.150765726896779</v>
      </c>
      <c r="W286" s="14">
        <v>31.817519523694834</v>
      </c>
      <c r="X286" s="16">
        <f t="shared" si="119"/>
        <v>1.3504721931206911</v>
      </c>
      <c r="Y286" s="16">
        <f t="shared" si="124"/>
        <v>0.30270835150756059</v>
      </c>
      <c r="Z286" s="16">
        <f t="shared" si="120"/>
        <v>0.80376922007522555</v>
      </c>
      <c r="AA286" s="16">
        <f t="shared" si="121"/>
        <v>0.33040054502549748</v>
      </c>
      <c r="AB286" s="16">
        <f t="shared" si="104"/>
        <v>3.237923809962423E-2</v>
      </c>
      <c r="AC286" s="14">
        <f t="shared" si="125"/>
        <v>29.150765726896779</v>
      </c>
      <c r="AD286" s="16">
        <f t="shared" si="105"/>
        <v>0.31921224961539801</v>
      </c>
      <c r="AE286" s="16">
        <f t="shared" si="106"/>
        <v>9.8150601178949415E-2</v>
      </c>
      <c r="AF286" s="23" t="str">
        <f t="shared" si="122"/>
        <v/>
      </c>
      <c r="AG286" s="23" t="str">
        <f t="shared" ref="AG286:AG311" si="126">IF(E286=$AG$6,$AG$4,"")</f>
        <v/>
      </c>
      <c r="AH286" s="23" t="str">
        <f t="shared" si="107"/>
        <v/>
      </c>
      <c r="AI286" s="23" t="str">
        <f t="shared" si="123"/>
        <v/>
      </c>
      <c r="AJ286" s="23" t="str">
        <f t="shared" si="108"/>
        <v/>
      </c>
      <c r="AK286" s="23" t="str">
        <f t="shared" si="109"/>
        <v/>
      </c>
      <c r="AL286" s="23" t="str">
        <f t="shared" si="110"/>
        <v/>
      </c>
      <c r="AM286" s="23" t="str">
        <f t="shared" si="111"/>
        <v/>
      </c>
      <c r="AN286" s="19">
        <f t="shared" si="112"/>
        <v>0</v>
      </c>
      <c r="AO286" s="26">
        <f t="shared" si="113"/>
        <v>175.42167174415781</v>
      </c>
    </row>
    <row r="287" spans="1:41" x14ac:dyDescent="0.2">
      <c r="A287" s="12">
        <v>44841</v>
      </c>
      <c r="B287" s="6">
        <v>7</v>
      </c>
      <c r="C287" s="6">
        <v>280</v>
      </c>
      <c r="D287" s="6">
        <v>6</v>
      </c>
      <c r="E287" s="6" t="s">
        <v>17</v>
      </c>
      <c r="F287" s="6">
        <v>40</v>
      </c>
      <c r="G287" s="6">
        <v>10</v>
      </c>
      <c r="H287" s="6" t="s">
        <v>26</v>
      </c>
      <c r="I287" s="6">
        <v>4</v>
      </c>
      <c r="J287" s="14">
        <v>16.899203747504032</v>
      </c>
      <c r="K287" s="14">
        <f t="shared" si="101"/>
        <v>10.13952224850242</v>
      </c>
      <c r="L287" s="14">
        <v>88.364187470534503</v>
      </c>
      <c r="M287" s="14">
        <f t="shared" si="114"/>
        <v>895.97064482832332</v>
      </c>
      <c r="N287" s="16">
        <v>0.80420856982076616</v>
      </c>
      <c r="O287" s="14">
        <f t="shared" si="115"/>
        <v>720.54727087877552</v>
      </c>
      <c r="P287" s="14">
        <f t="shared" si="116"/>
        <v>175.42337394954779</v>
      </c>
      <c r="Q287" s="14">
        <v>41.530239663694928</v>
      </c>
      <c r="R287" s="14">
        <v>11.358676180235387</v>
      </c>
      <c r="S287" s="14">
        <f t="shared" si="103"/>
        <v>12.987012987012987</v>
      </c>
      <c r="T287" s="14">
        <v>35.622054665187662</v>
      </c>
      <c r="U287" s="14">
        <f t="shared" si="117"/>
        <v>627.17945137982633</v>
      </c>
      <c r="V287" s="14">
        <f t="shared" si="118"/>
        <v>61.854931229374152</v>
      </c>
      <c r="W287" s="14">
        <v>30.552696445060292</v>
      </c>
      <c r="X287" s="16">
        <f t="shared" si="119"/>
        <v>0.67141356134873087</v>
      </c>
      <c r="Y287" s="16">
        <f t="shared" si="124"/>
        <v>0.33186996331846713</v>
      </c>
      <c r="Z287" s="16">
        <f t="shared" si="120"/>
        <v>1.1488693854582372</v>
      </c>
      <c r="AA287" s="16">
        <f t="shared" si="121"/>
        <v>0.16392423444627943</v>
      </c>
      <c r="AB287" s="16">
        <f t="shared" si="104"/>
        <v>1.4494909026290057E-2</v>
      </c>
      <c r="AC287" s="14">
        <f t="shared" si="125"/>
        <v>61.854931229374152</v>
      </c>
      <c r="AD287" s="16">
        <f t="shared" si="105"/>
        <v>0.12854388757915072</v>
      </c>
      <c r="AE287" s="16">
        <f t="shared" si="106"/>
        <v>4.6352232523926638E-2</v>
      </c>
      <c r="AF287" s="23" t="str">
        <f t="shared" si="122"/>
        <v/>
      </c>
      <c r="AG287" s="23" t="str">
        <f t="shared" si="126"/>
        <v/>
      </c>
      <c r="AH287" s="23" t="str">
        <f t="shared" si="107"/>
        <v/>
      </c>
      <c r="AI287" s="23" t="str">
        <f t="shared" si="123"/>
        <v/>
      </c>
      <c r="AJ287" s="23" t="str">
        <f t="shared" si="108"/>
        <v/>
      </c>
      <c r="AK287" s="23" t="str">
        <f t="shared" si="109"/>
        <v/>
      </c>
      <c r="AL287" s="23" t="str">
        <f t="shared" si="110"/>
        <v/>
      </c>
      <c r="AM287" s="23" t="str">
        <f t="shared" si="111"/>
        <v/>
      </c>
      <c r="AN287" s="19">
        <f t="shared" si="112"/>
        <v>0</v>
      </c>
      <c r="AO287" s="26">
        <f t="shared" si="113"/>
        <v>175.42337394954779</v>
      </c>
    </row>
    <row r="288" spans="1:41" x14ac:dyDescent="0.2">
      <c r="A288" s="12">
        <v>44842</v>
      </c>
      <c r="B288" s="6">
        <v>8</v>
      </c>
      <c r="C288" s="6">
        <v>281</v>
      </c>
      <c r="D288" s="6">
        <v>7</v>
      </c>
      <c r="E288" s="6" t="s">
        <v>10</v>
      </c>
      <c r="F288" s="6">
        <v>40</v>
      </c>
      <c r="G288" s="6">
        <v>10</v>
      </c>
      <c r="H288" s="6" t="s">
        <v>26</v>
      </c>
      <c r="I288" s="6">
        <v>4</v>
      </c>
      <c r="J288" s="14">
        <v>15.129784898696691</v>
      </c>
      <c r="K288" s="14">
        <f t="shared" si="101"/>
        <v>9.0778709392180144</v>
      </c>
      <c r="L288" s="14">
        <v>40.13515993008258</v>
      </c>
      <c r="M288" s="14">
        <f t="shared" si="114"/>
        <v>364.34180197016394</v>
      </c>
      <c r="N288" s="16">
        <v>0.71567615226118408</v>
      </c>
      <c r="O288" s="14">
        <f t="shared" si="115"/>
        <v>260.75073894191326</v>
      </c>
      <c r="P288" s="14">
        <f t="shared" si="116"/>
        <v>103.59106302825069</v>
      </c>
      <c r="Q288" s="14">
        <v>27.255178555790277</v>
      </c>
      <c r="R288" s="14">
        <v>11.759602766042256</v>
      </c>
      <c r="S288" s="14">
        <f t="shared" si="103"/>
        <v>12.987012987012987</v>
      </c>
      <c r="T288" s="14">
        <v>33.287168313498285</v>
      </c>
      <c r="U288" s="14">
        <f t="shared" si="117"/>
        <v>255.03926137911475</v>
      </c>
      <c r="V288" s="14">
        <f t="shared" si="118"/>
        <v>28.094611951057804</v>
      </c>
      <c r="W288" s="14">
        <v>39.3211852355427</v>
      </c>
      <c r="X288" s="16">
        <f t="shared" si="119"/>
        <v>0.97012119630874916</v>
      </c>
      <c r="Y288" s="16">
        <f t="shared" si="124"/>
        <v>0.2308646314916383</v>
      </c>
      <c r="Z288" s="16">
        <f t="shared" si="120"/>
        <v>1.022394503230263</v>
      </c>
      <c r="AA288" s="16">
        <f t="shared" si="121"/>
        <v>0.32311786171071211</v>
      </c>
      <c r="AB288" s="16">
        <f t="shared" si="104"/>
        <v>3.5645135740083149E-2</v>
      </c>
      <c r="AC288" s="14">
        <f t="shared" si="125"/>
        <v>28.094611951057804</v>
      </c>
      <c r="AD288" s="16">
        <f t="shared" si="105"/>
        <v>0.29300002258688046</v>
      </c>
      <c r="AE288" s="16">
        <f t="shared" si="106"/>
        <v>7.4806619521583781E-2</v>
      </c>
      <c r="AF288" s="23" t="str">
        <f t="shared" si="122"/>
        <v/>
      </c>
      <c r="AG288" s="23" t="str">
        <f t="shared" si="126"/>
        <v/>
      </c>
      <c r="AH288" s="23" t="str">
        <f t="shared" si="107"/>
        <v/>
      </c>
      <c r="AI288" s="23" t="str">
        <f t="shared" si="123"/>
        <v/>
      </c>
      <c r="AJ288" s="23" t="str">
        <f t="shared" si="108"/>
        <v/>
      </c>
      <c r="AK288" s="23" t="str">
        <f t="shared" si="109"/>
        <v/>
      </c>
      <c r="AL288" s="23" t="str">
        <f t="shared" si="110"/>
        <v/>
      </c>
      <c r="AM288" s="23" t="str">
        <f t="shared" si="111"/>
        <v/>
      </c>
      <c r="AN288" s="19">
        <f t="shared" si="112"/>
        <v>0</v>
      </c>
      <c r="AO288" s="26">
        <f t="shared" si="113"/>
        <v>103.59106302825069</v>
      </c>
    </row>
    <row r="289" spans="1:41" x14ac:dyDescent="0.2">
      <c r="A289" s="12">
        <v>44843</v>
      </c>
      <c r="B289" s="6">
        <v>9</v>
      </c>
      <c r="C289" s="6">
        <v>282</v>
      </c>
      <c r="D289" s="6">
        <v>1</v>
      </c>
      <c r="E289" s="6" t="s">
        <v>12</v>
      </c>
      <c r="F289" s="6">
        <v>41</v>
      </c>
      <c r="G289" s="6">
        <v>10</v>
      </c>
      <c r="H289" s="6" t="s">
        <v>26</v>
      </c>
      <c r="I289" s="6">
        <v>4</v>
      </c>
      <c r="J289" s="14">
        <v>6.5107204808721217</v>
      </c>
      <c r="K289" s="14">
        <f t="shared" si="101"/>
        <v>3.906432288523273</v>
      </c>
      <c r="L289" s="14">
        <v>49.541327171795643</v>
      </c>
      <c r="M289" s="14">
        <f t="shared" si="114"/>
        <v>193.52984008019786</v>
      </c>
      <c r="N289" s="16">
        <v>0.24535822527792725</v>
      </c>
      <c r="O289" s="14">
        <f t="shared" si="115"/>
        <v>47.484138100398418</v>
      </c>
      <c r="P289" s="14">
        <f t="shared" si="116"/>
        <v>146.04570197979945</v>
      </c>
      <c r="Q289" s="14">
        <v>21.68554746225643</v>
      </c>
      <c r="R289" s="14">
        <v>6.706505952643484</v>
      </c>
      <c r="S289" s="14">
        <f t="shared" si="103"/>
        <v>28.571428571428573</v>
      </c>
      <c r="T289" s="14">
        <v>16.568699167749472</v>
      </c>
      <c r="U289" s="14">
        <f t="shared" si="117"/>
        <v>135.47088805613848</v>
      </c>
      <c r="V289" s="14">
        <f t="shared" si="118"/>
        <v>34.678929020256945</v>
      </c>
      <c r="W289" s="14">
        <v>15.636043671622984</v>
      </c>
      <c r="X289" s="16">
        <f t="shared" si="119"/>
        <v>0.62532344783742566</v>
      </c>
      <c r="Y289" s="16">
        <f t="shared" si="124"/>
        <v>0.24983508428112458</v>
      </c>
      <c r="Z289" s="16">
        <f t="shared" si="120"/>
        <v>0.35051175039703897</v>
      </c>
      <c r="AA289" s="16">
        <f t="shared" si="121"/>
        <v>0.11264570155097395</v>
      </c>
      <c r="AB289" s="16">
        <f t="shared" si="104"/>
        <v>0.1476331947548177</v>
      </c>
      <c r="AC289" s="14">
        <f t="shared" si="125"/>
        <v>34.678929020256945</v>
      </c>
      <c r="AD289" s="16">
        <f t="shared" si="105"/>
        <v>0.13537194773541639</v>
      </c>
      <c r="AE289" s="16">
        <f t="shared" si="106"/>
        <v>0.11205273281510511</v>
      </c>
      <c r="AF289" s="23" t="str">
        <f t="shared" si="122"/>
        <v/>
      </c>
      <c r="AG289" s="23">
        <f t="shared" si="126"/>
        <v>1200</v>
      </c>
      <c r="AH289" s="23" t="str">
        <f t="shared" si="107"/>
        <v/>
      </c>
      <c r="AI289" s="23" t="str">
        <f t="shared" si="123"/>
        <v/>
      </c>
      <c r="AJ289" s="23" t="str">
        <f t="shared" si="108"/>
        <v/>
      </c>
      <c r="AK289" s="23" t="str">
        <f t="shared" si="109"/>
        <v/>
      </c>
      <c r="AL289" s="23" t="str">
        <f t="shared" si="110"/>
        <v/>
      </c>
      <c r="AM289" s="23" t="str">
        <f t="shared" si="111"/>
        <v/>
      </c>
      <c r="AN289" s="19">
        <f t="shared" si="112"/>
        <v>1200</v>
      </c>
      <c r="AO289" s="26">
        <f t="shared" si="113"/>
        <v>-1053.9542980202004</v>
      </c>
    </row>
    <row r="290" spans="1:41" x14ac:dyDescent="0.2">
      <c r="A290" s="12">
        <v>44844</v>
      </c>
      <c r="B290" s="6">
        <v>10</v>
      </c>
      <c r="C290" s="6">
        <v>283</v>
      </c>
      <c r="D290" s="6">
        <v>2</v>
      </c>
      <c r="E290" s="6" t="s">
        <v>13</v>
      </c>
      <c r="F290" s="6">
        <v>41</v>
      </c>
      <c r="G290" s="6">
        <v>10</v>
      </c>
      <c r="H290" s="6" t="s">
        <v>26</v>
      </c>
      <c r="I290" s="6">
        <v>4</v>
      </c>
      <c r="J290" s="14">
        <v>11.338720315322254</v>
      </c>
      <c r="K290" s="14">
        <f t="shared" si="101"/>
        <v>6.803232189193352</v>
      </c>
      <c r="L290" s="14">
        <v>30.686181773142518</v>
      </c>
      <c r="M290" s="14">
        <f t="shared" si="114"/>
        <v>208.76521960248152</v>
      </c>
      <c r="N290" s="16">
        <v>0.29773918841755181</v>
      </c>
      <c r="O290" s="14">
        <f t="shared" si="115"/>
        <v>62.157587054254826</v>
      </c>
      <c r="P290" s="14">
        <f t="shared" si="116"/>
        <v>146.60763254822669</v>
      </c>
      <c r="Q290" s="14">
        <v>35.02602560192468</v>
      </c>
      <c r="R290" s="14">
        <v>17.417912970693738</v>
      </c>
      <c r="S290" s="14">
        <f t="shared" si="103"/>
        <v>12.987012987012987</v>
      </c>
      <c r="T290" s="14">
        <v>35.897620713431245</v>
      </c>
      <c r="U290" s="14">
        <f t="shared" si="117"/>
        <v>146.13565372173704</v>
      </c>
      <c r="V290" s="14">
        <f t="shared" si="118"/>
        <v>21.48032724119976</v>
      </c>
      <c r="W290" s="14">
        <v>40.671252630527732</v>
      </c>
      <c r="X290" s="16">
        <f t="shared" si="119"/>
        <v>1.6306094971748828</v>
      </c>
      <c r="Y290" s="16">
        <f t="shared" si="124"/>
        <v>0.16727373142392138</v>
      </c>
      <c r="Z290" s="16">
        <f t="shared" si="120"/>
        <v>0.42534169773935981</v>
      </c>
      <c r="AA290" s="16">
        <f t="shared" si="121"/>
        <v>0.31671920603446846</v>
      </c>
      <c r="AB290" s="16">
        <f t="shared" si="104"/>
        <v>6.2208700336876491E-2</v>
      </c>
      <c r="AC290" s="14">
        <f t="shared" si="125"/>
        <v>21.48032724119976</v>
      </c>
      <c r="AD290" s="16">
        <f t="shared" si="105"/>
        <v>0.56761421474529705</v>
      </c>
      <c r="AE290" s="16">
        <f t="shared" si="106"/>
        <v>0.16777711186096603</v>
      </c>
      <c r="AF290" s="23" t="str">
        <f t="shared" si="122"/>
        <v/>
      </c>
      <c r="AG290" s="23" t="str">
        <f t="shared" si="126"/>
        <v/>
      </c>
      <c r="AH290" s="23" t="str">
        <f t="shared" si="107"/>
        <v/>
      </c>
      <c r="AI290" s="23">
        <f t="shared" si="123"/>
        <v>300</v>
      </c>
      <c r="AJ290" s="23" t="str">
        <f t="shared" si="108"/>
        <v/>
      </c>
      <c r="AK290" s="23" t="str">
        <f t="shared" si="109"/>
        <v/>
      </c>
      <c r="AL290" s="23" t="str">
        <f t="shared" si="110"/>
        <v/>
      </c>
      <c r="AM290" s="23" t="str">
        <f t="shared" si="111"/>
        <v/>
      </c>
      <c r="AN290" s="19">
        <f t="shared" si="112"/>
        <v>300</v>
      </c>
      <c r="AO290" s="26">
        <f t="shared" si="113"/>
        <v>-153.39236745177331</v>
      </c>
    </row>
    <row r="291" spans="1:41" x14ac:dyDescent="0.2">
      <c r="A291" s="12">
        <v>44845</v>
      </c>
      <c r="B291" s="6">
        <v>11</v>
      </c>
      <c r="C291" s="6">
        <v>284</v>
      </c>
      <c r="D291" s="6">
        <v>3</v>
      </c>
      <c r="E291" s="6" t="s">
        <v>14</v>
      </c>
      <c r="F291" s="6">
        <v>41</v>
      </c>
      <c r="G291" s="6">
        <v>10</v>
      </c>
      <c r="H291" s="6" t="s">
        <v>26</v>
      </c>
      <c r="I291" s="6">
        <v>4</v>
      </c>
      <c r="J291" s="14">
        <v>7.8303941063692175</v>
      </c>
      <c r="K291" s="14">
        <f t="shared" si="101"/>
        <v>4.6982364638215302</v>
      </c>
      <c r="L291" s="14">
        <v>74.964916367001891</v>
      </c>
      <c r="M291" s="14">
        <f t="shared" si="114"/>
        <v>352.2029035827797</v>
      </c>
      <c r="N291" s="16">
        <v>0.33936661307455201</v>
      </c>
      <c r="O291" s="14">
        <f t="shared" si="115"/>
        <v>119.52590650391095</v>
      </c>
      <c r="P291" s="14">
        <f t="shared" si="116"/>
        <v>232.67699707886874</v>
      </c>
      <c r="Q291" s="14">
        <v>20.798108774634983</v>
      </c>
      <c r="R291" s="14">
        <v>11.38345001762049</v>
      </c>
      <c r="S291" s="14">
        <f t="shared" si="103"/>
        <v>12.987012987012987</v>
      </c>
      <c r="T291" s="14">
        <v>30.109681588500568</v>
      </c>
      <c r="U291" s="14">
        <f t="shared" si="117"/>
        <v>246.54203250794578</v>
      </c>
      <c r="V291" s="14">
        <f t="shared" si="118"/>
        <v>52.475441456901322</v>
      </c>
      <c r="W291" s="14">
        <v>34.614226211746924</v>
      </c>
      <c r="X291" s="16">
        <f t="shared" si="119"/>
        <v>0.39633985340965083</v>
      </c>
      <c r="Y291" s="16">
        <f t="shared" si="124"/>
        <v>0.13573137342666075</v>
      </c>
      <c r="Z291" s="16">
        <f t="shared" si="120"/>
        <v>0.48480944724936004</v>
      </c>
      <c r="AA291" s="16">
        <f t="shared" si="121"/>
        <v>8.9532099842937862E-2</v>
      </c>
      <c r="AB291" s="16">
        <f t="shared" si="104"/>
        <v>3.6873668146692594E-2</v>
      </c>
      <c r="AC291" s="14">
        <f t="shared" si="125"/>
        <v>52.475441456901322</v>
      </c>
      <c r="AD291" s="16">
        <f t="shared" si="105"/>
        <v>0.15185036640194619</v>
      </c>
      <c r="AE291" s="16">
        <f t="shared" si="106"/>
        <v>5.9051497199672343E-2</v>
      </c>
      <c r="AF291" s="23" t="str">
        <f t="shared" si="122"/>
        <v/>
      </c>
      <c r="AG291" s="23" t="str">
        <f t="shared" si="126"/>
        <v/>
      </c>
      <c r="AH291" s="23" t="str">
        <f t="shared" si="107"/>
        <v/>
      </c>
      <c r="AI291" s="23" t="str">
        <f t="shared" si="123"/>
        <v/>
      </c>
      <c r="AJ291" s="23" t="str">
        <f t="shared" si="108"/>
        <v/>
      </c>
      <c r="AK291" s="23" t="str">
        <f t="shared" si="109"/>
        <v/>
      </c>
      <c r="AL291" s="23" t="str">
        <f t="shared" si="110"/>
        <v/>
      </c>
      <c r="AM291" s="23" t="str">
        <f t="shared" si="111"/>
        <v/>
      </c>
      <c r="AN291" s="19">
        <f t="shared" si="112"/>
        <v>0</v>
      </c>
      <c r="AO291" s="26">
        <f t="shared" si="113"/>
        <v>232.67699707886874</v>
      </c>
    </row>
    <row r="292" spans="1:41" x14ac:dyDescent="0.2">
      <c r="A292" s="12">
        <v>44846</v>
      </c>
      <c r="B292" s="6">
        <v>12</v>
      </c>
      <c r="C292" s="6">
        <v>285</v>
      </c>
      <c r="D292" s="6">
        <v>4</v>
      </c>
      <c r="E292" s="6" t="s">
        <v>15</v>
      </c>
      <c r="F292" s="6">
        <v>41</v>
      </c>
      <c r="G292" s="6">
        <v>10</v>
      </c>
      <c r="H292" s="6" t="s">
        <v>26</v>
      </c>
      <c r="I292" s="6">
        <v>4</v>
      </c>
      <c r="J292" s="14">
        <v>14.798533247797311</v>
      </c>
      <c r="K292" s="14">
        <f t="shared" si="101"/>
        <v>8.8791199486783867</v>
      </c>
      <c r="L292" s="14">
        <v>26.14822051770917</v>
      </c>
      <c r="M292" s="14">
        <f t="shared" si="114"/>
        <v>232.173186421233</v>
      </c>
      <c r="N292" s="16">
        <v>0.36552713856983654</v>
      </c>
      <c r="O292" s="14">
        <f t="shared" si="115"/>
        <v>84.86560048519452</v>
      </c>
      <c r="P292" s="14">
        <f t="shared" si="116"/>
        <v>147.30758593603849</v>
      </c>
      <c r="Q292" s="14">
        <v>45.460760679105682</v>
      </c>
      <c r="R292" s="14">
        <v>9.3896848693837001</v>
      </c>
      <c r="S292" s="14">
        <f t="shared" si="103"/>
        <v>12.987012987012987</v>
      </c>
      <c r="T292" s="14">
        <v>41.771071407866323</v>
      </c>
      <c r="U292" s="14">
        <f t="shared" si="117"/>
        <v>162.52123049486309</v>
      </c>
      <c r="V292" s="14">
        <f t="shared" si="118"/>
        <v>18.303754362396418</v>
      </c>
      <c r="W292" s="14">
        <v>41.610264721719034</v>
      </c>
      <c r="X292" s="16">
        <f t="shared" si="119"/>
        <v>2.4836850287119856</v>
      </c>
      <c r="Y292" s="16">
        <f t="shared" si="124"/>
        <v>0.21338773036076869</v>
      </c>
      <c r="Z292" s="16">
        <f t="shared" si="120"/>
        <v>0.52218162652833788</v>
      </c>
      <c r="AA292" s="16">
        <f t="shared" si="121"/>
        <v>0.48509829037696334</v>
      </c>
      <c r="AB292" s="16">
        <f t="shared" si="104"/>
        <v>5.5936747852745508E-2</v>
      </c>
      <c r="AC292" s="14">
        <f t="shared" si="125"/>
        <v>18.303754362396418</v>
      </c>
      <c r="AD292" s="16">
        <f t="shared" si="105"/>
        <v>0.35909460313081087</v>
      </c>
      <c r="AE292" s="16">
        <f t="shared" si="106"/>
        <v>0.19580538726218794</v>
      </c>
      <c r="AF292" s="23" t="str">
        <f t="shared" si="122"/>
        <v/>
      </c>
      <c r="AG292" s="23" t="str">
        <f t="shared" si="126"/>
        <v/>
      </c>
      <c r="AH292" s="23" t="str">
        <f t="shared" si="107"/>
        <v/>
      </c>
      <c r="AI292" s="23" t="str">
        <f t="shared" si="123"/>
        <v/>
      </c>
      <c r="AJ292" s="23" t="str">
        <f t="shared" si="108"/>
        <v/>
      </c>
      <c r="AK292" s="23">
        <f t="shared" si="109"/>
        <v>480</v>
      </c>
      <c r="AL292" s="23" t="str">
        <f t="shared" si="110"/>
        <v/>
      </c>
      <c r="AM292" s="23" t="str">
        <f t="shared" si="111"/>
        <v/>
      </c>
      <c r="AN292" s="19">
        <f t="shared" si="112"/>
        <v>480</v>
      </c>
      <c r="AO292" s="26">
        <f t="shared" si="113"/>
        <v>-332.69241406396151</v>
      </c>
    </row>
    <row r="293" spans="1:41" x14ac:dyDescent="0.2">
      <c r="A293" s="12">
        <v>44847</v>
      </c>
      <c r="B293" s="6">
        <v>13</v>
      </c>
      <c r="C293" s="6">
        <v>286</v>
      </c>
      <c r="D293" s="6">
        <v>5</v>
      </c>
      <c r="E293" s="6" t="s">
        <v>16</v>
      </c>
      <c r="F293" s="6">
        <v>41</v>
      </c>
      <c r="G293" s="6">
        <v>10</v>
      </c>
      <c r="H293" s="6" t="s">
        <v>26</v>
      </c>
      <c r="I293" s="6">
        <v>4</v>
      </c>
      <c r="J293" s="14">
        <v>17.729508839570428</v>
      </c>
      <c r="K293" s="14">
        <f t="shared" si="101"/>
        <v>10.637705303742257</v>
      </c>
      <c r="L293" s="14">
        <v>62.128415904236334</v>
      </c>
      <c r="M293" s="14">
        <f t="shared" si="114"/>
        <v>660.90377937759968</v>
      </c>
      <c r="N293" s="16">
        <v>0.52569031326230309</v>
      </c>
      <c r="O293" s="14">
        <f t="shared" si="115"/>
        <v>347.43071481725042</v>
      </c>
      <c r="P293" s="14">
        <f t="shared" si="116"/>
        <v>313.47306456034926</v>
      </c>
      <c r="Q293" s="14">
        <v>46.863360758642543</v>
      </c>
      <c r="R293" s="14">
        <v>12.297922559678197</v>
      </c>
      <c r="S293" s="14">
        <f t="shared" si="103"/>
        <v>12.987012987012987</v>
      </c>
      <c r="T293" s="14">
        <v>29.674214744710696</v>
      </c>
      <c r="U293" s="14">
        <f t="shared" si="117"/>
        <v>462.63264556431972</v>
      </c>
      <c r="V293" s="14">
        <f t="shared" si="118"/>
        <v>43.489891132965433</v>
      </c>
      <c r="W293" s="14">
        <v>40.531387139332388</v>
      </c>
      <c r="X293" s="16">
        <f t="shared" si="119"/>
        <v>1.0775690519749315</v>
      </c>
      <c r="Y293" s="16">
        <f t="shared" si="124"/>
        <v>0.26245598916152652</v>
      </c>
      <c r="Z293" s="16">
        <f t="shared" si="120"/>
        <v>0.75098616180329025</v>
      </c>
      <c r="AA293" s="16">
        <f t="shared" si="121"/>
        <v>0.24460179197088983</v>
      </c>
      <c r="AB293" s="16">
        <f t="shared" si="104"/>
        <v>1.9650383901940148E-2</v>
      </c>
      <c r="AC293" s="14">
        <f t="shared" si="125"/>
        <v>43.489891132965433</v>
      </c>
      <c r="AD293" s="16">
        <f t="shared" si="105"/>
        <v>0.1979436040769815</v>
      </c>
      <c r="AE293" s="16">
        <f t="shared" si="106"/>
        <v>7.0907993297868108E-2</v>
      </c>
      <c r="AF293" s="23" t="str">
        <f t="shared" si="122"/>
        <v/>
      </c>
      <c r="AG293" s="23" t="str">
        <f t="shared" si="126"/>
        <v/>
      </c>
      <c r="AH293" s="23" t="str">
        <f t="shared" si="107"/>
        <v/>
      </c>
      <c r="AI293" s="23" t="str">
        <f t="shared" si="123"/>
        <v/>
      </c>
      <c r="AJ293" s="23" t="str">
        <f t="shared" si="108"/>
        <v/>
      </c>
      <c r="AK293" s="23" t="str">
        <f t="shared" si="109"/>
        <v/>
      </c>
      <c r="AL293" s="23" t="str">
        <f t="shared" si="110"/>
        <v/>
      </c>
      <c r="AM293" s="23" t="str">
        <f t="shared" si="111"/>
        <v/>
      </c>
      <c r="AN293" s="19">
        <f t="shared" si="112"/>
        <v>0</v>
      </c>
      <c r="AO293" s="26">
        <f t="shared" si="113"/>
        <v>313.47306456034926</v>
      </c>
    </row>
    <row r="294" spans="1:41" x14ac:dyDescent="0.2">
      <c r="A294" s="12">
        <v>44848</v>
      </c>
      <c r="B294" s="6">
        <v>14</v>
      </c>
      <c r="C294" s="6">
        <v>287</v>
      </c>
      <c r="D294" s="6">
        <v>6</v>
      </c>
      <c r="E294" s="6" t="s">
        <v>17</v>
      </c>
      <c r="F294" s="6">
        <v>41</v>
      </c>
      <c r="G294" s="6">
        <v>10</v>
      </c>
      <c r="H294" s="6" t="s">
        <v>26</v>
      </c>
      <c r="I294" s="6">
        <v>4</v>
      </c>
      <c r="J294" s="14">
        <v>19.593917627338264</v>
      </c>
      <c r="K294" s="14">
        <f t="shared" si="101"/>
        <v>11.756350576402959</v>
      </c>
      <c r="L294" s="14">
        <v>57.729396003111042</v>
      </c>
      <c r="M294" s="14">
        <f t="shared" si="114"/>
        <v>678.68701797656911</v>
      </c>
      <c r="N294" s="16">
        <v>0.39664363802532993</v>
      </c>
      <c r="O294" s="14">
        <f t="shared" si="115"/>
        <v>269.19688789078884</v>
      </c>
      <c r="P294" s="14">
        <f t="shared" si="116"/>
        <v>409.49013008578027</v>
      </c>
      <c r="Q294" s="14">
        <v>31.719295290964464</v>
      </c>
      <c r="R294" s="14">
        <v>7.3635581984895486</v>
      </c>
      <c r="S294" s="14">
        <f t="shared" si="103"/>
        <v>12.987012987012987</v>
      </c>
      <c r="T294" s="14">
        <v>39.502636855951486</v>
      </c>
      <c r="U294" s="14">
        <f t="shared" si="117"/>
        <v>475.08091258359832</v>
      </c>
      <c r="V294" s="14">
        <f t="shared" si="118"/>
        <v>40.41057720217772</v>
      </c>
      <c r="W294" s="14">
        <v>30.653517625052874</v>
      </c>
      <c r="X294" s="16">
        <f t="shared" si="119"/>
        <v>0.78492556867648788</v>
      </c>
      <c r="Y294" s="16">
        <f t="shared" si="124"/>
        <v>0.38352370257156354</v>
      </c>
      <c r="Z294" s="16">
        <f t="shared" si="120"/>
        <v>0.56663376860761416</v>
      </c>
      <c r="AA294" s="16">
        <f t="shared" si="121"/>
        <v>0.29092260963224775</v>
      </c>
      <c r="AB294" s="16">
        <f t="shared" si="104"/>
        <v>1.9135496396751984E-2</v>
      </c>
      <c r="AC294" s="14">
        <f t="shared" si="125"/>
        <v>40.41057720217772</v>
      </c>
      <c r="AD294" s="16">
        <f t="shared" si="105"/>
        <v>0.12755300952902271</v>
      </c>
      <c r="AE294" s="16">
        <f t="shared" si="106"/>
        <v>4.6736263477577727E-2</v>
      </c>
      <c r="AF294" s="23" t="str">
        <f t="shared" si="122"/>
        <v/>
      </c>
      <c r="AG294" s="23" t="str">
        <f t="shared" si="126"/>
        <v/>
      </c>
      <c r="AH294" s="23" t="str">
        <f t="shared" si="107"/>
        <v/>
      </c>
      <c r="AI294" s="23" t="str">
        <f t="shared" si="123"/>
        <v/>
      </c>
      <c r="AJ294" s="23" t="str">
        <f t="shared" si="108"/>
        <v/>
      </c>
      <c r="AK294" s="23" t="str">
        <f t="shared" si="109"/>
        <v/>
      </c>
      <c r="AL294" s="23" t="str">
        <f t="shared" si="110"/>
        <v/>
      </c>
      <c r="AM294" s="23" t="str">
        <f t="shared" si="111"/>
        <v/>
      </c>
      <c r="AN294" s="19">
        <f t="shared" si="112"/>
        <v>0</v>
      </c>
      <c r="AO294" s="26">
        <f t="shared" si="113"/>
        <v>409.49013008578027</v>
      </c>
    </row>
    <row r="295" spans="1:41" x14ac:dyDescent="0.2">
      <c r="A295" s="12">
        <v>44849</v>
      </c>
      <c r="B295" s="6">
        <v>15</v>
      </c>
      <c r="C295" s="6">
        <v>288</v>
      </c>
      <c r="D295" s="6">
        <v>7</v>
      </c>
      <c r="E295" s="6" t="s">
        <v>10</v>
      </c>
      <c r="F295" s="6">
        <v>41</v>
      </c>
      <c r="G295" s="6">
        <v>10</v>
      </c>
      <c r="H295" s="6" t="s">
        <v>26</v>
      </c>
      <c r="I295" s="6">
        <v>4</v>
      </c>
      <c r="J295" s="14">
        <v>9.3761075394735496</v>
      </c>
      <c r="K295" s="14">
        <f t="shared" si="101"/>
        <v>5.6256645236841294</v>
      </c>
      <c r="L295" s="14">
        <v>74.539735853544599</v>
      </c>
      <c r="M295" s="14">
        <f t="shared" si="114"/>
        <v>419.33554759607182</v>
      </c>
      <c r="N295" s="16">
        <v>0.50744801101286841</v>
      </c>
      <c r="O295" s="14">
        <f t="shared" si="115"/>
        <v>212.79098957461866</v>
      </c>
      <c r="P295" s="14">
        <f t="shared" si="116"/>
        <v>206.54455802145316</v>
      </c>
      <c r="Q295" s="14">
        <v>41.767513510576002</v>
      </c>
      <c r="R295" s="14">
        <v>14.453448928981107</v>
      </c>
      <c r="S295" s="14">
        <f t="shared" si="103"/>
        <v>12.987012987012987</v>
      </c>
      <c r="T295" s="14">
        <v>31.128830821750888</v>
      </c>
      <c r="U295" s="14">
        <f t="shared" si="117"/>
        <v>293.53488331725026</v>
      </c>
      <c r="V295" s="14">
        <f t="shared" si="118"/>
        <v>52.177815097481222</v>
      </c>
      <c r="W295" s="14">
        <v>34.860699598544215</v>
      </c>
      <c r="X295" s="16">
        <f t="shared" si="119"/>
        <v>0.80048414124937639</v>
      </c>
      <c r="Y295" s="16">
        <f t="shared" si="124"/>
        <v>0.16137554863985165</v>
      </c>
      <c r="Z295" s="16">
        <f t="shared" si="120"/>
        <v>0.72492573001838345</v>
      </c>
      <c r="AA295" s="16">
        <f t="shared" si="121"/>
        <v>0.10781717312566615</v>
      </c>
      <c r="AB295" s="16">
        <f t="shared" si="104"/>
        <v>3.0970455668410984E-2</v>
      </c>
      <c r="AC295" s="14">
        <f t="shared" si="125"/>
        <v>52.177815097481222</v>
      </c>
      <c r="AD295" s="16">
        <f t="shared" si="105"/>
        <v>0.19390260461050185</v>
      </c>
      <c r="AE295" s="16">
        <f t="shared" si="106"/>
        <v>9.9604037268046924E-2</v>
      </c>
      <c r="AF295" s="23" t="str">
        <f t="shared" si="122"/>
        <v/>
      </c>
      <c r="AG295" s="23" t="str">
        <f t="shared" si="126"/>
        <v/>
      </c>
      <c r="AH295" s="23">
        <f t="shared" si="107"/>
        <v>300</v>
      </c>
      <c r="AI295" s="23" t="str">
        <f t="shared" si="123"/>
        <v/>
      </c>
      <c r="AJ295" s="23" t="str">
        <f t="shared" si="108"/>
        <v/>
      </c>
      <c r="AK295" s="23" t="str">
        <f t="shared" si="109"/>
        <v/>
      </c>
      <c r="AL295" s="23" t="str">
        <f t="shared" si="110"/>
        <v/>
      </c>
      <c r="AM295" s="23" t="str">
        <f t="shared" si="111"/>
        <v/>
      </c>
      <c r="AN295" s="19">
        <f t="shared" si="112"/>
        <v>300</v>
      </c>
      <c r="AO295" s="26">
        <f t="shared" si="113"/>
        <v>-93.455441978546844</v>
      </c>
    </row>
    <row r="296" spans="1:41" x14ac:dyDescent="0.2">
      <c r="A296" s="12">
        <v>44850</v>
      </c>
      <c r="B296" s="6">
        <v>16</v>
      </c>
      <c r="C296" s="6">
        <v>289</v>
      </c>
      <c r="D296" s="6">
        <v>1</v>
      </c>
      <c r="E296" s="6" t="s">
        <v>12</v>
      </c>
      <c r="F296" s="6">
        <v>42</v>
      </c>
      <c r="G296" s="6">
        <v>10</v>
      </c>
      <c r="H296" s="6" t="s">
        <v>26</v>
      </c>
      <c r="I296" s="6">
        <v>4</v>
      </c>
      <c r="J296" s="14">
        <v>9.029393527658506</v>
      </c>
      <c r="K296" s="14">
        <f t="shared" si="101"/>
        <v>5.4176361165951032</v>
      </c>
      <c r="L296" s="14">
        <v>22.027968300350786</v>
      </c>
      <c r="M296" s="14">
        <f t="shared" si="114"/>
        <v>119.33951663919247</v>
      </c>
      <c r="N296" s="16">
        <v>0.22486655752508852</v>
      </c>
      <c r="O296" s="14">
        <f t="shared" si="115"/>
        <v>26.835466283363232</v>
      </c>
      <c r="P296" s="14">
        <f t="shared" si="116"/>
        <v>92.504050355829236</v>
      </c>
      <c r="Q296" s="14">
        <v>22.288153973550795</v>
      </c>
      <c r="R296" s="14">
        <v>5.5901863984670683</v>
      </c>
      <c r="S296" s="14">
        <f t="shared" si="103"/>
        <v>28.571428571428573</v>
      </c>
      <c r="T296" s="14">
        <v>15.539104546037896</v>
      </c>
      <c r="U296" s="14">
        <f t="shared" si="117"/>
        <v>83.537661647434717</v>
      </c>
      <c r="V296" s="14">
        <f t="shared" si="118"/>
        <v>15.419577810245547</v>
      </c>
      <c r="W296" s="14">
        <v>16.37643502506571</v>
      </c>
      <c r="X296" s="16">
        <f t="shared" si="119"/>
        <v>1.4454451508225743</v>
      </c>
      <c r="Y296" s="16">
        <f t="shared" si="124"/>
        <v>0.33081901575665823</v>
      </c>
      <c r="Z296" s="16">
        <f t="shared" si="120"/>
        <v>0.32123793932155509</v>
      </c>
      <c r="AA296" s="16">
        <f t="shared" si="121"/>
        <v>0.35134788923957128</v>
      </c>
      <c r="AB296" s="16">
        <f t="shared" si="104"/>
        <v>0.2394129738082531</v>
      </c>
      <c r="AC296" s="14">
        <f t="shared" si="125"/>
        <v>15.419577810245547</v>
      </c>
      <c r="AD296" s="16">
        <f t="shared" si="105"/>
        <v>0.25377675881157169</v>
      </c>
      <c r="AE296" s="16">
        <f t="shared" si="106"/>
        <v>0.186762562822641</v>
      </c>
      <c r="AF296" s="23" t="str">
        <f t="shared" si="122"/>
        <v/>
      </c>
      <c r="AG296" s="23">
        <f t="shared" si="126"/>
        <v>1200</v>
      </c>
      <c r="AH296" s="23" t="str">
        <f t="shared" si="107"/>
        <v/>
      </c>
      <c r="AI296" s="23" t="str">
        <f t="shared" si="123"/>
        <v/>
      </c>
      <c r="AJ296" s="23" t="str">
        <f t="shared" si="108"/>
        <v/>
      </c>
      <c r="AK296" s="23" t="str">
        <f t="shared" si="109"/>
        <v/>
      </c>
      <c r="AL296" s="23" t="str">
        <f t="shared" si="110"/>
        <v/>
      </c>
      <c r="AM296" s="23" t="str">
        <f t="shared" si="111"/>
        <v/>
      </c>
      <c r="AN296" s="19">
        <f t="shared" si="112"/>
        <v>1200</v>
      </c>
      <c r="AO296" s="26">
        <f t="shared" si="113"/>
        <v>-1107.4959496441707</v>
      </c>
    </row>
    <row r="297" spans="1:41" x14ac:dyDescent="0.2">
      <c r="A297" s="12">
        <v>44851</v>
      </c>
      <c r="B297" s="6">
        <v>17</v>
      </c>
      <c r="C297" s="6">
        <v>290</v>
      </c>
      <c r="D297" s="6">
        <v>2</v>
      </c>
      <c r="E297" s="6" t="s">
        <v>13</v>
      </c>
      <c r="F297" s="6">
        <v>42</v>
      </c>
      <c r="G297" s="6">
        <v>10</v>
      </c>
      <c r="H297" s="6" t="s">
        <v>26</v>
      </c>
      <c r="I297" s="6">
        <v>4</v>
      </c>
      <c r="J297" s="14">
        <v>10.019553585520057</v>
      </c>
      <c r="K297" s="14">
        <f t="shared" si="101"/>
        <v>6.0117321513120343</v>
      </c>
      <c r="L297" s="14">
        <v>95.667000238394991</v>
      </c>
      <c r="M297" s="14">
        <f t="shared" si="114"/>
        <v>575.12438115273517</v>
      </c>
      <c r="N297" s="16">
        <v>0.54855422148460109</v>
      </c>
      <c r="O297" s="14">
        <f t="shared" si="115"/>
        <v>315.4869071600516</v>
      </c>
      <c r="P297" s="14">
        <f t="shared" si="116"/>
        <v>259.63747399268357</v>
      </c>
      <c r="Q297" s="14">
        <v>48.830233732785317</v>
      </c>
      <c r="R297" s="14">
        <v>15.836769120810272</v>
      </c>
      <c r="S297" s="14">
        <f t="shared" si="103"/>
        <v>12.987012987012987</v>
      </c>
      <c r="T297" s="14">
        <v>36.561713788381994</v>
      </c>
      <c r="U297" s="14">
        <f t="shared" si="117"/>
        <v>402.58706680691461</v>
      </c>
      <c r="V297" s="14">
        <f t="shared" si="118"/>
        <v>66.966900166876485</v>
      </c>
      <c r="W297" s="14">
        <v>35.280323619921127</v>
      </c>
      <c r="X297" s="16">
        <f t="shared" si="119"/>
        <v>0.72916968847451569</v>
      </c>
      <c r="Y297" s="16">
        <f t="shared" si="124"/>
        <v>0.17039900812920813</v>
      </c>
      <c r="Z297" s="16">
        <f t="shared" si="120"/>
        <v>0.78364888783514441</v>
      </c>
      <c r="AA297" s="16">
        <f t="shared" si="121"/>
        <v>8.9771695215565439E-2</v>
      </c>
      <c r="AB297" s="16">
        <f t="shared" si="104"/>
        <v>2.2581224883881319E-2</v>
      </c>
      <c r="AC297" s="14">
        <f t="shared" si="125"/>
        <v>66.966900166876485</v>
      </c>
      <c r="AD297" s="16">
        <f t="shared" si="105"/>
        <v>0.16554056342674309</v>
      </c>
      <c r="AE297" s="16">
        <f t="shared" si="106"/>
        <v>8.4903779657043474E-2</v>
      </c>
      <c r="AF297" s="23" t="str">
        <f t="shared" si="122"/>
        <v/>
      </c>
      <c r="AG297" s="23" t="str">
        <f t="shared" si="126"/>
        <v/>
      </c>
      <c r="AH297" s="23" t="str">
        <f t="shared" si="107"/>
        <v/>
      </c>
      <c r="AI297" s="23" t="str">
        <f t="shared" si="123"/>
        <v/>
      </c>
      <c r="AJ297" s="23" t="str">
        <f t="shared" si="108"/>
        <v/>
      </c>
      <c r="AK297" s="23" t="str">
        <f t="shared" si="109"/>
        <v/>
      </c>
      <c r="AL297" s="23" t="str">
        <f t="shared" si="110"/>
        <v/>
      </c>
      <c r="AM297" s="23" t="str">
        <f t="shared" si="111"/>
        <v/>
      </c>
      <c r="AN297" s="19">
        <f t="shared" si="112"/>
        <v>0</v>
      </c>
      <c r="AO297" s="26">
        <f t="shared" si="113"/>
        <v>259.63747399268357</v>
      </c>
    </row>
    <row r="298" spans="1:41" x14ac:dyDescent="0.2">
      <c r="A298" s="12">
        <v>44852</v>
      </c>
      <c r="B298" s="6">
        <v>18</v>
      </c>
      <c r="C298" s="6">
        <v>291</v>
      </c>
      <c r="D298" s="6">
        <v>3</v>
      </c>
      <c r="E298" s="6" t="s">
        <v>14</v>
      </c>
      <c r="F298" s="6">
        <v>42</v>
      </c>
      <c r="G298" s="6">
        <v>10</v>
      </c>
      <c r="H298" s="6" t="s">
        <v>26</v>
      </c>
      <c r="I298" s="6">
        <v>4</v>
      </c>
      <c r="J298" s="14">
        <v>13.383774524553289</v>
      </c>
      <c r="K298" s="14">
        <f t="shared" si="101"/>
        <v>8.0302647147319739</v>
      </c>
      <c r="L298" s="14">
        <v>37.815658931356587</v>
      </c>
      <c r="M298" s="14">
        <f t="shared" si="114"/>
        <v>303.66975158081181</v>
      </c>
      <c r="N298" s="16">
        <v>0.30278136240976722</v>
      </c>
      <c r="O298" s="14">
        <f t="shared" si="115"/>
        <v>91.945541106273765</v>
      </c>
      <c r="P298" s="14">
        <f t="shared" si="116"/>
        <v>211.72421047453804</v>
      </c>
      <c r="Q298" s="14">
        <v>38.060607533447211</v>
      </c>
      <c r="R298" s="14">
        <v>8.752742118524786</v>
      </c>
      <c r="S298" s="14">
        <f t="shared" si="103"/>
        <v>12.987012987012987</v>
      </c>
      <c r="T298" s="14">
        <v>29.132322060808217</v>
      </c>
      <c r="U298" s="14">
        <f t="shared" si="117"/>
        <v>212.56882610656825</v>
      </c>
      <c r="V298" s="14">
        <f t="shared" si="118"/>
        <v>26.470961251949607</v>
      </c>
      <c r="W298" s="14">
        <v>34.863612633297478</v>
      </c>
      <c r="X298" s="16">
        <f t="shared" si="119"/>
        <v>1.4378249120304998</v>
      </c>
      <c r="Y298" s="16">
        <f t="shared" si="124"/>
        <v>0.23033369488113353</v>
      </c>
      <c r="Z298" s="16">
        <f t="shared" si="120"/>
        <v>0.43254480344252466</v>
      </c>
      <c r="AA298" s="16">
        <f t="shared" si="121"/>
        <v>0.30336128100148002</v>
      </c>
      <c r="AB298" s="16">
        <f t="shared" si="104"/>
        <v>4.2766896997170678E-2</v>
      </c>
      <c r="AC298" s="14">
        <f t="shared" si="125"/>
        <v>26.470961251949607</v>
      </c>
      <c r="AD298" s="16">
        <f t="shared" si="105"/>
        <v>0.23145814104185947</v>
      </c>
      <c r="AE298" s="16">
        <f t="shared" si="106"/>
        <v>0.12533552431651601</v>
      </c>
      <c r="AF298" s="23" t="str">
        <f t="shared" si="122"/>
        <v/>
      </c>
      <c r="AG298" s="23" t="str">
        <f t="shared" si="126"/>
        <v/>
      </c>
      <c r="AH298" s="23" t="str">
        <f t="shared" si="107"/>
        <v/>
      </c>
      <c r="AI298" s="23" t="str">
        <f t="shared" si="123"/>
        <v/>
      </c>
      <c r="AJ298" s="23" t="str">
        <f t="shared" si="108"/>
        <v/>
      </c>
      <c r="AK298" s="23" t="str">
        <f t="shared" si="109"/>
        <v/>
      </c>
      <c r="AL298" s="23" t="str">
        <f t="shared" si="110"/>
        <v/>
      </c>
      <c r="AM298" s="23" t="str">
        <f t="shared" si="111"/>
        <v/>
      </c>
      <c r="AN298" s="19">
        <f t="shared" si="112"/>
        <v>0</v>
      </c>
      <c r="AO298" s="26">
        <f t="shared" si="113"/>
        <v>211.72421047453804</v>
      </c>
    </row>
    <row r="299" spans="1:41" x14ac:dyDescent="0.2">
      <c r="A299" s="12">
        <v>44853</v>
      </c>
      <c r="B299" s="6">
        <v>19</v>
      </c>
      <c r="C299" s="6">
        <v>292</v>
      </c>
      <c r="D299" s="6">
        <v>4</v>
      </c>
      <c r="E299" s="6" t="s">
        <v>15</v>
      </c>
      <c r="F299" s="6">
        <v>42</v>
      </c>
      <c r="G299" s="6">
        <v>10</v>
      </c>
      <c r="H299" s="6" t="s">
        <v>26</v>
      </c>
      <c r="I299" s="6">
        <v>4</v>
      </c>
      <c r="J299" s="14">
        <v>18.909633208032464</v>
      </c>
      <c r="K299" s="14">
        <f t="shared" si="101"/>
        <v>11.345779924819478</v>
      </c>
      <c r="L299" s="14">
        <v>109.00773316699386</v>
      </c>
      <c r="M299" s="14">
        <f t="shared" si="114"/>
        <v>1236.7777506161574</v>
      </c>
      <c r="N299" s="16">
        <v>0.32368491888442957</v>
      </c>
      <c r="O299" s="14">
        <f t="shared" si="115"/>
        <v>400.32630588625818</v>
      </c>
      <c r="P299" s="14">
        <f t="shared" si="116"/>
        <v>836.45144472989921</v>
      </c>
      <c r="Q299" s="14">
        <v>37.491569879841187</v>
      </c>
      <c r="R299" s="14">
        <v>17.701810430059787</v>
      </c>
      <c r="S299" s="14">
        <f t="shared" si="103"/>
        <v>12.987012987012987</v>
      </c>
      <c r="T299" s="14">
        <v>36.275004126672215</v>
      </c>
      <c r="U299" s="14">
        <f t="shared" si="117"/>
        <v>865.74442543131011</v>
      </c>
      <c r="V299" s="14">
        <f t="shared" si="118"/>
        <v>76.305413216895701</v>
      </c>
      <c r="W299" s="14">
        <v>30.031675799317824</v>
      </c>
      <c r="X299" s="16">
        <f t="shared" si="119"/>
        <v>0.49133565102743887</v>
      </c>
      <c r="Y299" s="16">
        <f t="shared" si="124"/>
        <v>0.37779376684258159</v>
      </c>
      <c r="Z299" s="16">
        <f t="shared" si="120"/>
        <v>0.4624070269777566</v>
      </c>
      <c r="AA299" s="16">
        <f t="shared" si="121"/>
        <v>0.14868905686375697</v>
      </c>
      <c r="AB299" s="16">
        <f t="shared" si="104"/>
        <v>1.0500684525205044E-2</v>
      </c>
      <c r="AC299" s="14">
        <f t="shared" si="125"/>
        <v>76.305413216895701</v>
      </c>
      <c r="AD299" s="16">
        <f t="shared" si="105"/>
        <v>0.16239040952206193</v>
      </c>
      <c r="AE299" s="16">
        <f t="shared" si="106"/>
        <v>3.0313910370042677E-2</v>
      </c>
      <c r="AF299" s="23" t="str">
        <f t="shared" si="122"/>
        <v/>
      </c>
      <c r="AG299" s="23" t="str">
        <f t="shared" si="126"/>
        <v/>
      </c>
      <c r="AH299" s="23" t="str">
        <f t="shared" si="107"/>
        <v/>
      </c>
      <c r="AI299" s="23" t="str">
        <f t="shared" si="123"/>
        <v/>
      </c>
      <c r="AJ299" s="23" t="str">
        <f t="shared" si="108"/>
        <v/>
      </c>
      <c r="AK299" s="23" t="str">
        <f t="shared" si="109"/>
        <v/>
      </c>
      <c r="AL299" s="23" t="str">
        <f t="shared" si="110"/>
        <v/>
      </c>
      <c r="AM299" s="23" t="str">
        <f t="shared" si="111"/>
        <v/>
      </c>
      <c r="AN299" s="19">
        <f t="shared" si="112"/>
        <v>0</v>
      </c>
      <c r="AO299" s="26">
        <f t="shared" si="113"/>
        <v>836.45144472989921</v>
      </c>
    </row>
    <row r="300" spans="1:41" x14ac:dyDescent="0.2">
      <c r="A300" s="12">
        <v>44854</v>
      </c>
      <c r="B300" s="6">
        <v>20</v>
      </c>
      <c r="C300" s="6">
        <v>293</v>
      </c>
      <c r="D300" s="6">
        <v>5</v>
      </c>
      <c r="E300" s="6" t="s">
        <v>16</v>
      </c>
      <c r="F300" s="6">
        <v>42</v>
      </c>
      <c r="G300" s="6">
        <v>10</v>
      </c>
      <c r="H300" s="6" t="s">
        <v>26</v>
      </c>
      <c r="I300" s="6">
        <v>4</v>
      </c>
      <c r="J300" s="14">
        <v>24.310270267715396</v>
      </c>
      <c r="K300" s="14">
        <f t="shared" si="101"/>
        <v>14.586162160629236</v>
      </c>
      <c r="L300" s="14">
        <v>44.558931084729245</v>
      </c>
      <c r="M300" s="14">
        <f t="shared" si="114"/>
        <v>649.9437945061635</v>
      </c>
      <c r="N300" s="16">
        <v>0.60268226146912163</v>
      </c>
      <c r="O300" s="14">
        <f t="shared" si="115"/>
        <v>391.70959590079667</v>
      </c>
      <c r="P300" s="14">
        <f t="shared" si="116"/>
        <v>258.23419860536683</v>
      </c>
      <c r="Q300" s="14">
        <v>41.079037912420453</v>
      </c>
      <c r="R300" s="14">
        <v>12.43676245260979</v>
      </c>
      <c r="S300" s="14">
        <f t="shared" si="103"/>
        <v>12.987012987012987</v>
      </c>
      <c r="T300" s="14">
        <v>37.31485645394654</v>
      </c>
      <c r="U300" s="14">
        <f t="shared" si="117"/>
        <v>454.96065615431439</v>
      </c>
      <c r="V300" s="14">
        <f t="shared" si="118"/>
        <v>31.191251759310465</v>
      </c>
      <c r="W300" s="14">
        <v>38.884281162387396</v>
      </c>
      <c r="X300" s="16">
        <f t="shared" si="119"/>
        <v>1.317005108657062</v>
      </c>
      <c r="Y300" s="16">
        <f t="shared" si="124"/>
        <v>0.37511718680653844</v>
      </c>
      <c r="Z300" s="16">
        <f t="shared" si="120"/>
        <v>0.86097465924160244</v>
      </c>
      <c r="AA300" s="16">
        <f t="shared" si="121"/>
        <v>0.46763631909307152</v>
      </c>
      <c r="AB300" s="16">
        <f t="shared" si="104"/>
        <v>1.9981747801562907E-2</v>
      </c>
      <c r="AC300" s="14">
        <f t="shared" si="125"/>
        <v>31.191251759310465</v>
      </c>
      <c r="AD300" s="16">
        <f t="shared" si="105"/>
        <v>0.27910818661608294</v>
      </c>
      <c r="AE300" s="16">
        <f t="shared" si="106"/>
        <v>6.3203985113255659E-2</v>
      </c>
      <c r="AF300" s="23" t="str">
        <f t="shared" si="122"/>
        <v/>
      </c>
      <c r="AG300" s="23" t="str">
        <f t="shared" si="126"/>
        <v/>
      </c>
      <c r="AH300" s="23" t="str">
        <f t="shared" si="107"/>
        <v/>
      </c>
      <c r="AI300" s="23" t="str">
        <f t="shared" si="123"/>
        <v/>
      </c>
      <c r="AJ300" s="23">
        <f t="shared" si="108"/>
        <v>100</v>
      </c>
      <c r="AK300" s="23" t="str">
        <f t="shared" si="109"/>
        <v/>
      </c>
      <c r="AL300" s="23" t="str">
        <f t="shared" si="110"/>
        <v/>
      </c>
      <c r="AM300" s="23" t="str">
        <f t="shared" si="111"/>
        <v/>
      </c>
      <c r="AN300" s="19">
        <f t="shared" si="112"/>
        <v>100</v>
      </c>
      <c r="AO300" s="26">
        <f t="shared" si="113"/>
        <v>158.23419860536683</v>
      </c>
    </row>
    <row r="301" spans="1:41" x14ac:dyDescent="0.2">
      <c r="A301" s="12">
        <v>44855</v>
      </c>
      <c r="B301" s="6">
        <v>21</v>
      </c>
      <c r="C301" s="6">
        <v>294</v>
      </c>
      <c r="D301" s="6">
        <v>6</v>
      </c>
      <c r="E301" s="6" t="s">
        <v>17</v>
      </c>
      <c r="F301" s="6">
        <v>42</v>
      </c>
      <c r="G301" s="6">
        <v>10</v>
      </c>
      <c r="H301" s="6" t="s">
        <v>26</v>
      </c>
      <c r="I301" s="6">
        <v>4</v>
      </c>
      <c r="J301" s="14">
        <v>19.116212195557438</v>
      </c>
      <c r="K301" s="14">
        <f t="shared" si="101"/>
        <v>11.469727317334463</v>
      </c>
      <c r="L301" s="14">
        <v>34.867140559958628</v>
      </c>
      <c r="M301" s="14">
        <f t="shared" si="114"/>
        <v>399.91659455789795</v>
      </c>
      <c r="N301" s="16">
        <v>0.44371271316502653</v>
      </c>
      <c r="O301" s="14">
        <f t="shared" si="115"/>
        <v>177.44807721100278</v>
      </c>
      <c r="P301" s="14">
        <f t="shared" si="116"/>
        <v>222.46851734689517</v>
      </c>
      <c r="Q301" s="14">
        <v>41.831640704917547</v>
      </c>
      <c r="R301" s="14">
        <v>13.672093447428818</v>
      </c>
      <c r="S301" s="14">
        <f t="shared" si="103"/>
        <v>12.987012987012987</v>
      </c>
      <c r="T301" s="14">
        <v>30.377289124739583</v>
      </c>
      <c r="U301" s="14">
        <f t="shared" si="117"/>
        <v>279.94161619052852</v>
      </c>
      <c r="V301" s="14">
        <f t="shared" si="118"/>
        <v>24.406998391971037</v>
      </c>
      <c r="W301" s="14">
        <v>41.569584270801037</v>
      </c>
      <c r="X301" s="16">
        <f t="shared" si="119"/>
        <v>1.7139199189146728</v>
      </c>
      <c r="Y301" s="16">
        <f t="shared" si="124"/>
        <v>0.27591633446743258</v>
      </c>
      <c r="Z301" s="16">
        <f t="shared" si="120"/>
        <v>0.63387530452146656</v>
      </c>
      <c r="AA301" s="16">
        <f t="shared" si="121"/>
        <v>0.46993600495780596</v>
      </c>
      <c r="AB301" s="16">
        <f t="shared" si="104"/>
        <v>3.247430380169631E-2</v>
      </c>
      <c r="AC301" s="14">
        <f t="shared" si="125"/>
        <v>24.406998391971037</v>
      </c>
      <c r="AD301" s="16">
        <f t="shared" si="105"/>
        <v>0.39211972154464048</v>
      </c>
      <c r="AE301" s="16">
        <f t="shared" si="106"/>
        <v>0.10460091247566715</v>
      </c>
      <c r="AF301" s="23" t="str">
        <f t="shared" si="122"/>
        <v/>
      </c>
      <c r="AG301" s="23" t="str">
        <f t="shared" si="126"/>
        <v/>
      </c>
      <c r="AH301" s="23" t="str">
        <f t="shared" si="107"/>
        <v/>
      </c>
      <c r="AI301" s="23" t="str">
        <f t="shared" si="123"/>
        <v/>
      </c>
      <c r="AJ301" s="23" t="str">
        <f t="shared" si="108"/>
        <v/>
      </c>
      <c r="AK301" s="23" t="str">
        <f t="shared" si="109"/>
        <v/>
      </c>
      <c r="AL301" s="23" t="str">
        <f t="shared" si="110"/>
        <v/>
      </c>
      <c r="AM301" s="23" t="str">
        <f t="shared" si="111"/>
        <v/>
      </c>
      <c r="AN301" s="19">
        <f t="shared" si="112"/>
        <v>0</v>
      </c>
      <c r="AO301" s="26">
        <f t="shared" si="113"/>
        <v>222.46851734689517</v>
      </c>
    </row>
    <row r="302" spans="1:41" x14ac:dyDescent="0.2">
      <c r="A302" s="12">
        <v>44856</v>
      </c>
      <c r="B302" s="6">
        <v>22</v>
      </c>
      <c r="C302" s="6">
        <v>295</v>
      </c>
      <c r="D302" s="6">
        <v>7</v>
      </c>
      <c r="E302" s="6" t="s">
        <v>10</v>
      </c>
      <c r="F302" s="6">
        <v>42</v>
      </c>
      <c r="G302" s="6">
        <v>10</v>
      </c>
      <c r="H302" s="6" t="s">
        <v>26</v>
      </c>
      <c r="I302" s="6">
        <v>4</v>
      </c>
      <c r="J302" s="14">
        <v>14.284947157144362</v>
      </c>
      <c r="K302" s="14">
        <f t="shared" si="101"/>
        <v>8.570968294286617</v>
      </c>
      <c r="L302" s="14">
        <v>43.938386321699809</v>
      </c>
      <c r="M302" s="14">
        <f t="shared" si="114"/>
        <v>376.59451606540586</v>
      </c>
      <c r="N302" s="16">
        <v>0.42770944972571229</v>
      </c>
      <c r="O302" s="14">
        <f t="shared" si="115"/>
        <v>161.07303323605566</v>
      </c>
      <c r="P302" s="14">
        <f t="shared" si="116"/>
        <v>215.52148282935019</v>
      </c>
      <c r="Q302" s="14">
        <v>46.608614024902181</v>
      </c>
      <c r="R302" s="14">
        <v>22.97718763634888</v>
      </c>
      <c r="S302" s="14">
        <f t="shared" si="103"/>
        <v>12.987012987012987</v>
      </c>
      <c r="T302" s="14">
        <v>39.614028161546933</v>
      </c>
      <c r="U302" s="14">
        <f t="shared" si="117"/>
        <v>263.6161612457841</v>
      </c>
      <c r="V302" s="14">
        <f t="shared" si="118"/>
        <v>30.756870425189867</v>
      </c>
      <c r="W302" s="14">
        <v>27.610594642747891</v>
      </c>
      <c r="X302" s="16">
        <f t="shared" si="119"/>
        <v>1.5153887043959369</v>
      </c>
      <c r="Y302" s="16">
        <f t="shared" si="124"/>
        <v>0.31042316926476771</v>
      </c>
      <c r="Z302" s="16">
        <f t="shared" si="120"/>
        <v>0.61101349960816043</v>
      </c>
      <c r="AA302" s="16">
        <f t="shared" si="121"/>
        <v>0.27866841378201462</v>
      </c>
      <c r="AB302" s="16">
        <f t="shared" si="104"/>
        <v>3.4485401228618637E-2</v>
      </c>
      <c r="AC302" s="14">
        <f t="shared" si="125"/>
        <v>30.756870425189867</v>
      </c>
      <c r="AD302" s="16">
        <f t="shared" si="105"/>
        <v>0.52294109000997058</v>
      </c>
      <c r="AE302" s="16">
        <f t="shared" si="106"/>
        <v>0.12376339016261015</v>
      </c>
      <c r="AF302" s="23" t="str">
        <f t="shared" si="122"/>
        <v/>
      </c>
      <c r="AG302" s="23" t="str">
        <f t="shared" si="126"/>
        <v/>
      </c>
      <c r="AH302" s="23" t="str">
        <f t="shared" si="107"/>
        <v/>
      </c>
      <c r="AI302" s="23" t="str">
        <f t="shared" si="123"/>
        <v/>
      </c>
      <c r="AJ302" s="23" t="str">
        <f t="shared" si="108"/>
        <v/>
      </c>
      <c r="AK302" s="23" t="str">
        <f t="shared" si="109"/>
        <v/>
      </c>
      <c r="AL302" s="23" t="str">
        <f t="shared" si="110"/>
        <v/>
      </c>
      <c r="AM302" s="23" t="str">
        <f t="shared" si="111"/>
        <v/>
      </c>
      <c r="AN302" s="19">
        <f t="shared" si="112"/>
        <v>0</v>
      </c>
      <c r="AO302" s="26">
        <f t="shared" si="113"/>
        <v>215.52148282935019</v>
      </c>
    </row>
    <row r="303" spans="1:41" x14ac:dyDescent="0.2">
      <c r="A303" s="12">
        <v>44857</v>
      </c>
      <c r="B303" s="6">
        <v>23</v>
      </c>
      <c r="C303" s="6">
        <v>296</v>
      </c>
      <c r="D303" s="6">
        <v>1</v>
      </c>
      <c r="E303" s="6" t="s">
        <v>12</v>
      </c>
      <c r="F303" s="6">
        <v>43</v>
      </c>
      <c r="G303" s="6">
        <v>10</v>
      </c>
      <c r="H303" s="6" t="s">
        <v>26</v>
      </c>
      <c r="I303" s="6">
        <v>4</v>
      </c>
      <c r="J303" s="14">
        <v>5.8945162878269954</v>
      </c>
      <c r="K303" s="14">
        <f t="shared" si="101"/>
        <v>3.5367097726961974</v>
      </c>
      <c r="L303" s="14">
        <v>23.238507364661306</v>
      </c>
      <c r="M303" s="14">
        <f t="shared" si="114"/>
        <v>82.187856099470196</v>
      </c>
      <c r="N303" s="16">
        <v>8.1701012137102416E-2</v>
      </c>
      <c r="O303" s="14">
        <f t="shared" si="115"/>
        <v>6.7148310287052411</v>
      </c>
      <c r="P303" s="14">
        <f t="shared" si="116"/>
        <v>75.473025070764947</v>
      </c>
      <c r="Q303" s="14">
        <v>21.495140231861853</v>
      </c>
      <c r="R303" s="14">
        <v>4.4975312787378039</v>
      </c>
      <c r="S303" s="14">
        <f t="shared" si="103"/>
        <v>28.571428571428573</v>
      </c>
      <c r="T303" s="14">
        <v>17.896452678508144</v>
      </c>
      <c r="U303" s="14">
        <f t="shared" si="117"/>
        <v>57.53149926962913</v>
      </c>
      <c r="V303" s="14">
        <f t="shared" si="118"/>
        <v>16.266955155262913</v>
      </c>
      <c r="W303" s="14">
        <v>18.096356314342849</v>
      </c>
      <c r="X303" s="16">
        <f t="shared" si="119"/>
        <v>1.3213991202838871</v>
      </c>
      <c r="Y303" s="16">
        <f t="shared" si="124"/>
        <v>0.19543767326757733</v>
      </c>
      <c r="Z303" s="16">
        <f t="shared" si="120"/>
        <v>0.11671573162443204</v>
      </c>
      <c r="AA303" s="16">
        <f t="shared" si="121"/>
        <v>0.21741682687014427</v>
      </c>
      <c r="AB303" s="16">
        <f t="shared" si="104"/>
        <v>0.34763564749577097</v>
      </c>
      <c r="AC303" s="14">
        <f t="shared" si="125"/>
        <v>16.266955155262913</v>
      </c>
      <c r="AD303" s="16">
        <f t="shared" si="105"/>
        <v>0.19353787264224981</v>
      </c>
      <c r="AE303" s="16">
        <f t="shared" si="106"/>
        <v>0.26153669473804925</v>
      </c>
      <c r="AF303" s="23" t="str">
        <f t="shared" si="122"/>
        <v/>
      </c>
      <c r="AG303" s="23">
        <f t="shared" si="126"/>
        <v>1200</v>
      </c>
      <c r="AH303" s="23" t="str">
        <f t="shared" si="107"/>
        <v/>
      </c>
      <c r="AI303" s="23" t="str">
        <f t="shared" si="123"/>
        <v/>
      </c>
      <c r="AJ303" s="23" t="str">
        <f t="shared" si="108"/>
        <v/>
      </c>
      <c r="AK303" s="23" t="str">
        <f t="shared" si="109"/>
        <v/>
      </c>
      <c r="AL303" s="23" t="str">
        <f t="shared" si="110"/>
        <v/>
      </c>
      <c r="AM303" s="23" t="str">
        <f t="shared" si="111"/>
        <v/>
      </c>
      <c r="AN303" s="19">
        <f t="shared" si="112"/>
        <v>1200</v>
      </c>
      <c r="AO303" s="26">
        <f t="shared" si="113"/>
        <v>-1124.5269749292352</v>
      </c>
    </row>
    <row r="304" spans="1:41" x14ac:dyDescent="0.2">
      <c r="A304" s="12">
        <v>44858</v>
      </c>
      <c r="B304" s="6">
        <v>24</v>
      </c>
      <c r="C304" s="6">
        <v>297</v>
      </c>
      <c r="D304" s="6">
        <v>2</v>
      </c>
      <c r="E304" s="6" t="s">
        <v>13</v>
      </c>
      <c r="F304" s="6">
        <v>43</v>
      </c>
      <c r="G304" s="6">
        <v>10</v>
      </c>
      <c r="H304" s="6" t="s">
        <v>26</v>
      </c>
      <c r="I304" s="6">
        <v>4</v>
      </c>
      <c r="J304" s="14">
        <v>10.96814164560754</v>
      </c>
      <c r="K304" s="14">
        <f t="shared" si="101"/>
        <v>6.5808849873645237</v>
      </c>
      <c r="L304" s="14">
        <v>19.022515573259827</v>
      </c>
      <c r="M304" s="14">
        <f t="shared" si="114"/>
        <v>125.18498715797345</v>
      </c>
      <c r="N304" s="16">
        <v>0.26872536864869995</v>
      </c>
      <c r="O304" s="14">
        <f t="shared" si="115"/>
        <v>33.640381823309184</v>
      </c>
      <c r="P304" s="14">
        <f t="shared" si="116"/>
        <v>91.544605334664269</v>
      </c>
      <c r="Q304" s="14">
        <v>63.755336449336532</v>
      </c>
      <c r="R304" s="14">
        <v>16.516901499592251</v>
      </c>
      <c r="S304" s="14">
        <f t="shared" si="103"/>
        <v>12.987012987012987</v>
      </c>
      <c r="T304" s="14">
        <v>34.622254223360187</v>
      </c>
      <c r="U304" s="14">
        <f t="shared" si="117"/>
        <v>87.629491010581418</v>
      </c>
      <c r="V304" s="14">
        <f t="shared" si="118"/>
        <v>13.315760901281879</v>
      </c>
      <c r="W304" s="14">
        <v>35.463531332554176</v>
      </c>
      <c r="X304" s="16">
        <f t="shared" si="119"/>
        <v>4.7879604419150352</v>
      </c>
      <c r="Y304" s="16">
        <f t="shared" si="124"/>
        <v>0.18556767304567667</v>
      </c>
      <c r="Z304" s="16">
        <f t="shared" si="120"/>
        <v>0.38389338378385707</v>
      </c>
      <c r="AA304" s="16">
        <f t="shared" si="121"/>
        <v>0.4942177195995609</v>
      </c>
      <c r="AB304" s="16">
        <f t="shared" si="104"/>
        <v>0.10374257554242039</v>
      </c>
      <c r="AC304" s="14">
        <f t="shared" si="125"/>
        <v>13.315760901281879</v>
      </c>
      <c r="AD304" s="16">
        <f t="shared" si="105"/>
        <v>0.86828166527093043</v>
      </c>
      <c r="AE304" s="16">
        <f t="shared" si="106"/>
        <v>0.50928899620273471</v>
      </c>
      <c r="AF304" s="23" t="str">
        <f t="shared" si="122"/>
        <v/>
      </c>
      <c r="AG304" s="23" t="str">
        <f t="shared" si="126"/>
        <v/>
      </c>
      <c r="AH304" s="23" t="str">
        <f t="shared" si="107"/>
        <v/>
      </c>
      <c r="AI304" s="23" t="str">
        <f t="shared" si="123"/>
        <v/>
      </c>
      <c r="AJ304" s="23" t="str">
        <f t="shared" si="108"/>
        <v/>
      </c>
      <c r="AK304" s="23" t="str">
        <f t="shared" si="109"/>
        <v/>
      </c>
      <c r="AL304" s="23" t="str">
        <f t="shared" si="110"/>
        <v/>
      </c>
      <c r="AM304" s="23" t="str">
        <f t="shared" si="111"/>
        <v/>
      </c>
      <c r="AN304" s="19">
        <f t="shared" si="112"/>
        <v>0</v>
      </c>
      <c r="AO304" s="26">
        <f t="shared" si="113"/>
        <v>91.544605334664269</v>
      </c>
    </row>
    <row r="305" spans="1:41" x14ac:dyDescent="0.2">
      <c r="A305" s="12">
        <v>44859</v>
      </c>
      <c r="B305" s="6">
        <v>25</v>
      </c>
      <c r="C305" s="6">
        <v>298</v>
      </c>
      <c r="D305" s="6">
        <v>3</v>
      </c>
      <c r="E305" s="6" t="s">
        <v>14</v>
      </c>
      <c r="F305" s="6">
        <v>43</v>
      </c>
      <c r="G305" s="6">
        <v>10</v>
      </c>
      <c r="H305" s="6" t="s">
        <v>26</v>
      </c>
      <c r="I305" s="6">
        <v>4</v>
      </c>
      <c r="J305" s="14">
        <v>5.980934328245973</v>
      </c>
      <c r="K305" s="14">
        <f t="shared" si="101"/>
        <v>3.5885605969475836</v>
      </c>
      <c r="L305" s="14">
        <v>34.651999465159925</v>
      </c>
      <c r="M305" s="14">
        <f t="shared" si="114"/>
        <v>124.35079988612165</v>
      </c>
      <c r="N305" s="16">
        <v>0.63059596033141563</v>
      </c>
      <c r="O305" s="14">
        <f t="shared" si="115"/>
        <v>78.415112072168569</v>
      </c>
      <c r="P305" s="14">
        <f t="shared" si="116"/>
        <v>45.935687813953081</v>
      </c>
      <c r="Q305" s="14">
        <v>29.285823596927624</v>
      </c>
      <c r="R305" s="14">
        <v>14.106223976043218</v>
      </c>
      <c r="S305" s="14">
        <f t="shared" si="103"/>
        <v>12.987012987012987</v>
      </c>
      <c r="T305" s="14">
        <v>40.35821976014762</v>
      </c>
      <c r="U305" s="14">
        <f t="shared" si="117"/>
        <v>87.045559920285143</v>
      </c>
      <c r="V305" s="14">
        <f t="shared" si="118"/>
        <v>24.256399625611945</v>
      </c>
      <c r="W305" s="14">
        <v>31.23803404981123</v>
      </c>
      <c r="X305" s="16">
        <f t="shared" si="119"/>
        <v>1.2073442080829337</v>
      </c>
      <c r="Y305" s="16">
        <f t="shared" si="124"/>
        <v>0.11487792705601681</v>
      </c>
      <c r="Z305" s="16">
        <f t="shared" si="120"/>
        <v>0.90085137190202247</v>
      </c>
      <c r="AA305" s="16">
        <f t="shared" si="121"/>
        <v>0.1479428378628162</v>
      </c>
      <c r="AB305" s="16">
        <f t="shared" si="104"/>
        <v>0.10443851586725837</v>
      </c>
      <c r="AC305" s="14">
        <f t="shared" si="125"/>
        <v>24.256399625611945</v>
      </c>
      <c r="AD305" s="16">
        <f t="shared" si="105"/>
        <v>0.40708254051042581</v>
      </c>
      <c r="AE305" s="16">
        <f t="shared" si="106"/>
        <v>0.23550973233583608</v>
      </c>
      <c r="AF305" s="23" t="str">
        <f t="shared" si="122"/>
        <v/>
      </c>
      <c r="AG305" s="23" t="str">
        <f t="shared" si="126"/>
        <v/>
      </c>
      <c r="AH305" s="23" t="str">
        <f t="shared" si="107"/>
        <v/>
      </c>
      <c r="AI305" s="23" t="str">
        <f t="shared" si="123"/>
        <v/>
      </c>
      <c r="AJ305" s="23" t="str">
        <f t="shared" si="108"/>
        <v/>
      </c>
      <c r="AK305" s="23" t="str">
        <f t="shared" si="109"/>
        <v/>
      </c>
      <c r="AL305" s="23">
        <f t="shared" si="110"/>
        <v>83</v>
      </c>
      <c r="AM305" s="23" t="str">
        <f t="shared" si="111"/>
        <v/>
      </c>
      <c r="AN305" s="19">
        <f t="shared" si="112"/>
        <v>83</v>
      </c>
      <c r="AO305" s="26">
        <f t="shared" si="113"/>
        <v>-37.064312186046919</v>
      </c>
    </row>
    <row r="306" spans="1:41" x14ac:dyDescent="0.2">
      <c r="A306" s="12">
        <v>44860</v>
      </c>
      <c r="B306" s="6">
        <v>26</v>
      </c>
      <c r="C306" s="6">
        <v>299</v>
      </c>
      <c r="D306" s="6">
        <v>4</v>
      </c>
      <c r="E306" s="6" t="s">
        <v>15</v>
      </c>
      <c r="F306" s="6">
        <v>43</v>
      </c>
      <c r="G306" s="6">
        <v>10</v>
      </c>
      <c r="H306" s="6" t="s">
        <v>26</v>
      </c>
      <c r="I306" s="6">
        <v>4</v>
      </c>
      <c r="J306" s="14">
        <v>11.324479369578933</v>
      </c>
      <c r="K306" s="14">
        <f t="shared" si="101"/>
        <v>6.79468762174736</v>
      </c>
      <c r="L306" s="14">
        <v>66.013751880188494</v>
      </c>
      <c r="M306" s="14">
        <f t="shared" si="114"/>
        <v>448.54282276541829</v>
      </c>
      <c r="N306" s="16">
        <v>0.92190625371127666</v>
      </c>
      <c r="O306" s="14">
        <f t="shared" si="115"/>
        <v>413.5144333647479</v>
      </c>
      <c r="P306" s="14">
        <f t="shared" si="116"/>
        <v>35.028389400670392</v>
      </c>
      <c r="Q306" s="14">
        <v>24.270996539496789</v>
      </c>
      <c r="R306" s="14">
        <v>11.031537252000525</v>
      </c>
      <c r="S306" s="14">
        <f t="shared" si="103"/>
        <v>12.987012987012987</v>
      </c>
      <c r="T306" s="14">
        <v>34.836545138291598</v>
      </c>
      <c r="U306" s="14">
        <f t="shared" si="117"/>
        <v>313.97997593579277</v>
      </c>
      <c r="V306" s="14">
        <f t="shared" si="118"/>
        <v>46.209626316131946</v>
      </c>
      <c r="W306" s="14">
        <v>27.004453175531655</v>
      </c>
      <c r="X306" s="16">
        <f t="shared" si="119"/>
        <v>0.52523680614624868</v>
      </c>
      <c r="Y306" s="16">
        <f t="shared" si="124"/>
        <v>0.25161359786036802</v>
      </c>
      <c r="Z306" s="16">
        <f t="shared" si="120"/>
        <v>1.3170089338732525</v>
      </c>
      <c r="AA306" s="16">
        <f t="shared" si="121"/>
        <v>0.14704052301274098</v>
      </c>
      <c r="AB306" s="16">
        <f t="shared" si="104"/>
        <v>2.8953786189117144E-2</v>
      </c>
      <c r="AC306" s="14">
        <f t="shared" si="125"/>
        <v>46.209626316131946</v>
      </c>
      <c r="AD306" s="16">
        <f t="shared" si="105"/>
        <v>0.16710968454000596</v>
      </c>
      <c r="AE306" s="16">
        <f t="shared" si="106"/>
        <v>5.4110767818907196E-2</v>
      </c>
      <c r="AF306" s="23" t="str">
        <f t="shared" si="122"/>
        <v/>
      </c>
      <c r="AG306" s="23" t="str">
        <f t="shared" si="126"/>
        <v/>
      </c>
      <c r="AH306" s="23" t="str">
        <f t="shared" si="107"/>
        <v/>
      </c>
      <c r="AI306" s="23" t="str">
        <f t="shared" si="123"/>
        <v/>
      </c>
      <c r="AJ306" s="23" t="str">
        <f t="shared" si="108"/>
        <v/>
      </c>
      <c r="AK306" s="23" t="str">
        <f t="shared" si="109"/>
        <v/>
      </c>
      <c r="AL306" s="23" t="str">
        <f t="shared" si="110"/>
        <v/>
      </c>
      <c r="AM306" s="23" t="str">
        <f t="shared" si="111"/>
        <v/>
      </c>
      <c r="AN306" s="19">
        <f t="shared" si="112"/>
        <v>0</v>
      </c>
      <c r="AO306" s="26">
        <f t="shared" si="113"/>
        <v>35.028389400670392</v>
      </c>
    </row>
    <row r="307" spans="1:41" x14ac:dyDescent="0.2">
      <c r="A307" s="12">
        <v>44861</v>
      </c>
      <c r="B307" s="6">
        <v>27</v>
      </c>
      <c r="C307" s="6">
        <v>300</v>
      </c>
      <c r="D307" s="6">
        <v>5</v>
      </c>
      <c r="E307" s="6" t="s">
        <v>16</v>
      </c>
      <c r="F307" s="6">
        <v>43</v>
      </c>
      <c r="G307" s="6">
        <v>10</v>
      </c>
      <c r="H307" s="6" t="s">
        <v>26</v>
      </c>
      <c r="I307" s="6">
        <v>4</v>
      </c>
      <c r="J307" s="14">
        <v>19.821792140464645</v>
      </c>
      <c r="K307" s="14">
        <f t="shared" si="101"/>
        <v>11.893075284278787</v>
      </c>
      <c r="L307" s="14">
        <v>34.71608751125207</v>
      </c>
      <c r="M307" s="14">
        <f t="shared" si="114"/>
        <v>412.88104234693145</v>
      </c>
      <c r="N307" s="16">
        <v>0.62380484644657475</v>
      </c>
      <c r="O307" s="14">
        <f t="shared" si="115"/>
        <v>257.55719522192931</v>
      </c>
      <c r="P307" s="14">
        <f t="shared" si="116"/>
        <v>155.32384712500215</v>
      </c>
      <c r="Q307" s="14">
        <v>36.360724493756578</v>
      </c>
      <c r="R307" s="14">
        <v>14.089255925698428</v>
      </c>
      <c r="S307" s="14">
        <f t="shared" si="103"/>
        <v>12.987012987012987</v>
      </c>
      <c r="T307" s="14">
        <v>36.679492713635391</v>
      </c>
      <c r="U307" s="14">
        <f t="shared" si="117"/>
        <v>289.016729642852</v>
      </c>
      <c r="V307" s="14">
        <f t="shared" si="118"/>
        <v>24.301261257876448</v>
      </c>
      <c r="W307" s="14">
        <v>37.550196425948165</v>
      </c>
      <c r="X307" s="16">
        <f t="shared" si="119"/>
        <v>1.4962484501487121</v>
      </c>
      <c r="Y307" s="16">
        <f t="shared" si="124"/>
        <v>0.31672471561454635</v>
      </c>
      <c r="Z307" s="16">
        <f t="shared" si="120"/>
        <v>0.89114978063796402</v>
      </c>
      <c r="AA307" s="16">
        <f t="shared" si="121"/>
        <v>0.48940156472018675</v>
      </c>
      <c r="AB307" s="16">
        <f t="shared" si="104"/>
        <v>3.1454611994755605E-2</v>
      </c>
      <c r="AC307" s="14">
        <f t="shared" si="125"/>
        <v>24.301261257876448</v>
      </c>
      <c r="AD307" s="16">
        <f t="shared" si="105"/>
        <v>0.40584227474169898</v>
      </c>
      <c r="AE307" s="16">
        <f t="shared" si="106"/>
        <v>8.8065861021547606E-2</v>
      </c>
      <c r="AF307" s="23" t="str">
        <f t="shared" si="122"/>
        <v/>
      </c>
      <c r="AG307" s="23" t="str">
        <f t="shared" si="126"/>
        <v/>
      </c>
      <c r="AH307" s="23" t="str">
        <f t="shared" si="107"/>
        <v/>
      </c>
      <c r="AI307" s="23" t="str">
        <f t="shared" si="123"/>
        <v/>
      </c>
      <c r="AJ307" s="23" t="str">
        <f t="shared" si="108"/>
        <v/>
      </c>
      <c r="AK307" s="23" t="str">
        <f t="shared" si="109"/>
        <v/>
      </c>
      <c r="AL307" s="23" t="str">
        <f t="shared" si="110"/>
        <v/>
      </c>
      <c r="AM307" s="23" t="str">
        <f t="shared" si="111"/>
        <v/>
      </c>
      <c r="AN307" s="19">
        <f t="shared" si="112"/>
        <v>0</v>
      </c>
      <c r="AO307" s="26">
        <f t="shared" si="113"/>
        <v>155.32384712500215</v>
      </c>
    </row>
    <row r="308" spans="1:41" x14ac:dyDescent="0.2">
      <c r="A308" s="12">
        <v>44862</v>
      </c>
      <c r="B308" s="6">
        <v>28</v>
      </c>
      <c r="C308" s="6">
        <v>301</v>
      </c>
      <c r="D308" s="6">
        <v>6</v>
      </c>
      <c r="E308" s="6" t="s">
        <v>17</v>
      </c>
      <c r="F308" s="6">
        <v>43</v>
      </c>
      <c r="G308" s="6">
        <v>10</v>
      </c>
      <c r="H308" s="6" t="s">
        <v>26</v>
      </c>
      <c r="I308" s="6">
        <v>4</v>
      </c>
      <c r="J308" s="14">
        <v>8.1579412366083304</v>
      </c>
      <c r="K308" s="14">
        <f t="shared" si="101"/>
        <v>4.8947647419649982</v>
      </c>
      <c r="L308" s="14">
        <v>33.546769760849998</v>
      </c>
      <c r="M308" s="14">
        <f t="shared" si="114"/>
        <v>164.20354583222615</v>
      </c>
      <c r="N308" s="16">
        <v>0.51335761918466538</v>
      </c>
      <c r="O308" s="14">
        <f t="shared" si="115"/>
        <v>84.295141350111706</v>
      </c>
      <c r="P308" s="14">
        <f t="shared" si="116"/>
        <v>79.908404482114449</v>
      </c>
      <c r="Q308" s="14">
        <v>42.026635710541392</v>
      </c>
      <c r="R308" s="14">
        <v>6.8601844821110465</v>
      </c>
      <c r="S308" s="14">
        <f t="shared" si="103"/>
        <v>12.987012987012987</v>
      </c>
      <c r="T308" s="14">
        <v>37.268592240833613</v>
      </c>
      <c r="U308" s="14">
        <f t="shared" si="117"/>
        <v>114.9424820825583</v>
      </c>
      <c r="V308" s="14">
        <f t="shared" si="118"/>
        <v>23.482738832594997</v>
      </c>
      <c r="W308" s="14">
        <v>27.59058416329303</v>
      </c>
      <c r="X308" s="16">
        <f t="shared" si="119"/>
        <v>1.7896820302837382</v>
      </c>
      <c r="Y308" s="16">
        <f t="shared" si="124"/>
        <v>0.17740707166603142</v>
      </c>
      <c r="Z308" s="16">
        <f t="shared" si="120"/>
        <v>0.73336802740666496</v>
      </c>
      <c r="AA308" s="16">
        <f t="shared" si="121"/>
        <v>0.20844096495128012</v>
      </c>
      <c r="AB308" s="16">
        <f t="shared" si="104"/>
        <v>7.9090941192478129E-2</v>
      </c>
      <c r="AC308" s="14">
        <f t="shared" si="125"/>
        <v>23.482738832594997</v>
      </c>
      <c r="AD308" s="16">
        <f t="shared" si="105"/>
        <v>0.20449612678109683</v>
      </c>
      <c r="AE308" s="16">
        <f t="shared" si="106"/>
        <v>0.25594231535951006</v>
      </c>
      <c r="AF308" s="23" t="str">
        <f t="shared" si="122"/>
        <v/>
      </c>
      <c r="AG308" s="23" t="str">
        <f t="shared" si="126"/>
        <v/>
      </c>
      <c r="AH308" s="23" t="str">
        <f t="shared" si="107"/>
        <v/>
      </c>
      <c r="AI308" s="23" t="str">
        <f t="shared" si="123"/>
        <v/>
      </c>
      <c r="AJ308" s="23" t="str">
        <f t="shared" si="108"/>
        <v/>
      </c>
      <c r="AK308" s="23" t="str">
        <f t="shared" si="109"/>
        <v/>
      </c>
      <c r="AL308" s="23" t="str">
        <f t="shared" si="110"/>
        <v/>
      </c>
      <c r="AM308" s="23" t="str">
        <f t="shared" si="111"/>
        <v/>
      </c>
      <c r="AN308" s="19">
        <f t="shared" si="112"/>
        <v>0</v>
      </c>
      <c r="AO308" s="26">
        <f t="shared" si="113"/>
        <v>79.908404482114449</v>
      </c>
    </row>
    <row r="309" spans="1:41" x14ac:dyDescent="0.2">
      <c r="A309" s="12">
        <v>44863</v>
      </c>
      <c r="B309" s="6">
        <v>29</v>
      </c>
      <c r="C309" s="6">
        <v>302</v>
      </c>
      <c r="D309" s="6">
        <v>7</v>
      </c>
      <c r="E309" s="6" t="s">
        <v>10</v>
      </c>
      <c r="F309" s="6">
        <v>43</v>
      </c>
      <c r="G309" s="6">
        <v>10</v>
      </c>
      <c r="H309" s="6" t="s">
        <v>26</v>
      </c>
      <c r="I309" s="6">
        <v>4</v>
      </c>
      <c r="J309" s="14">
        <v>6.0991948917108827</v>
      </c>
      <c r="K309" s="14">
        <f t="shared" si="101"/>
        <v>3.6595169350265295</v>
      </c>
      <c r="L309" s="14">
        <v>35.177823851633129</v>
      </c>
      <c r="M309" s="14">
        <f t="shared" si="114"/>
        <v>128.73384212243161</v>
      </c>
      <c r="N309" s="16">
        <v>0.51458247853712291</v>
      </c>
      <c r="O309" s="14">
        <f t="shared" si="115"/>
        <v>66.24417955096753</v>
      </c>
      <c r="P309" s="14">
        <f t="shared" si="116"/>
        <v>62.489662571464081</v>
      </c>
      <c r="Q309" s="14">
        <v>28.757997581215736</v>
      </c>
      <c r="R309" s="14">
        <v>14.574850099167106</v>
      </c>
      <c r="S309" s="14">
        <f t="shared" si="103"/>
        <v>12.987012987012987</v>
      </c>
      <c r="T309" s="14">
        <v>35.330006408690608</v>
      </c>
      <c r="U309" s="14">
        <f t="shared" si="117"/>
        <v>90.113689485702125</v>
      </c>
      <c r="V309" s="14">
        <f t="shared" si="118"/>
        <v>24.624476696143187</v>
      </c>
      <c r="W309" s="14">
        <v>33.879583258052286</v>
      </c>
      <c r="X309" s="16">
        <f t="shared" si="119"/>
        <v>1.1678622833727046</v>
      </c>
      <c r="Y309" s="16">
        <f t="shared" si="124"/>
        <v>0.10801540583167471</v>
      </c>
      <c r="Z309" s="16">
        <f t="shared" si="120"/>
        <v>0.73511782648160418</v>
      </c>
      <c r="AA309" s="16">
        <f t="shared" si="121"/>
        <v>0.14861298293497144</v>
      </c>
      <c r="AB309" s="16">
        <f t="shared" si="104"/>
        <v>0.10088266436312651</v>
      </c>
      <c r="AC309" s="14">
        <f t="shared" si="125"/>
        <v>24.624476696143187</v>
      </c>
      <c r="AD309" s="16">
        <f t="shared" si="105"/>
        <v>0.41431926433648536</v>
      </c>
      <c r="AE309" s="16">
        <f t="shared" si="106"/>
        <v>0.22339112316608714</v>
      </c>
      <c r="AF309" s="23" t="str">
        <f t="shared" si="122"/>
        <v/>
      </c>
      <c r="AG309" s="23" t="str">
        <f t="shared" si="126"/>
        <v/>
      </c>
      <c r="AH309" s="23" t="str">
        <f t="shared" si="107"/>
        <v/>
      </c>
      <c r="AI309" s="23" t="str">
        <f t="shared" si="123"/>
        <v/>
      </c>
      <c r="AJ309" s="23" t="str">
        <f t="shared" si="108"/>
        <v/>
      </c>
      <c r="AK309" s="23" t="str">
        <f t="shared" si="109"/>
        <v/>
      </c>
      <c r="AL309" s="23" t="str">
        <f t="shared" si="110"/>
        <v/>
      </c>
      <c r="AM309" s="23" t="str">
        <f t="shared" si="111"/>
        <v/>
      </c>
      <c r="AN309" s="19">
        <f t="shared" si="112"/>
        <v>0</v>
      </c>
      <c r="AO309" s="26">
        <f t="shared" si="113"/>
        <v>62.489662571464081</v>
      </c>
    </row>
    <row r="310" spans="1:41" x14ac:dyDescent="0.2">
      <c r="A310" s="12">
        <v>44864</v>
      </c>
      <c r="B310" s="6">
        <v>30</v>
      </c>
      <c r="C310" s="6">
        <v>303</v>
      </c>
      <c r="D310" s="6">
        <v>1</v>
      </c>
      <c r="E310" s="6" t="s">
        <v>12</v>
      </c>
      <c r="F310" s="6">
        <v>44</v>
      </c>
      <c r="G310" s="6">
        <v>10</v>
      </c>
      <c r="H310" s="6" t="s">
        <v>26</v>
      </c>
      <c r="I310" s="6">
        <v>4</v>
      </c>
      <c r="J310" s="14">
        <v>4.4582659444872652</v>
      </c>
      <c r="K310" s="14">
        <f t="shared" si="101"/>
        <v>2.6749595666923591</v>
      </c>
      <c r="L310" s="14">
        <v>17.291277579573176</v>
      </c>
      <c r="M310" s="14">
        <f t="shared" si="114"/>
        <v>46.253468381812368</v>
      </c>
      <c r="N310" s="16">
        <v>0.25928533673574938</v>
      </c>
      <c r="O310" s="14">
        <f t="shared" si="115"/>
        <v>11.992846124574557</v>
      </c>
      <c r="P310" s="14">
        <f t="shared" si="116"/>
        <v>34.260622257237813</v>
      </c>
      <c r="Q310" s="14">
        <v>14.542422806243104</v>
      </c>
      <c r="R310" s="14">
        <v>6.5077578252450516</v>
      </c>
      <c r="S310" s="14">
        <f t="shared" si="103"/>
        <v>28.571428571428573</v>
      </c>
      <c r="T310" s="14">
        <v>16.287563444698762</v>
      </c>
      <c r="U310" s="14">
        <f t="shared" si="117"/>
        <v>32.377427867268658</v>
      </c>
      <c r="V310" s="14">
        <f t="shared" si="118"/>
        <v>12.103894305701223</v>
      </c>
      <c r="W310" s="14">
        <v>17.002350657473123</v>
      </c>
      <c r="X310" s="16">
        <f t="shared" si="119"/>
        <v>1.201466440383016</v>
      </c>
      <c r="Y310" s="16">
        <f t="shared" si="124"/>
        <v>0.15732880826785098</v>
      </c>
      <c r="Z310" s="16">
        <f t="shared" si="120"/>
        <v>0.37040762390821341</v>
      </c>
      <c r="AA310" s="16">
        <f t="shared" si="121"/>
        <v>0.22099991119654683</v>
      </c>
      <c r="AB310" s="16">
        <f t="shared" si="104"/>
        <v>0.61771429410606826</v>
      </c>
      <c r="AC310" s="14">
        <f t="shared" si="125"/>
        <v>12.103894305701223</v>
      </c>
      <c r="AD310" s="16">
        <f t="shared" si="105"/>
        <v>0.37636072842488549</v>
      </c>
      <c r="AE310" s="16">
        <f t="shared" si="106"/>
        <v>0.31440718534226564</v>
      </c>
      <c r="AF310" s="23" t="str">
        <f t="shared" si="122"/>
        <v/>
      </c>
      <c r="AG310" s="23">
        <f t="shared" si="126"/>
        <v>1200</v>
      </c>
      <c r="AH310" s="23" t="str">
        <f t="shared" si="107"/>
        <v/>
      </c>
      <c r="AI310" s="23" t="str">
        <f t="shared" si="123"/>
        <v/>
      </c>
      <c r="AJ310" s="23" t="str">
        <f t="shared" si="108"/>
        <v/>
      </c>
      <c r="AK310" s="23" t="str">
        <f t="shared" si="109"/>
        <v/>
      </c>
      <c r="AL310" s="23" t="str">
        <f t="shared" si="110"/>
        <v/>
      </c>
      <c r="AM310" s="23" t="str">
        <f t="shared" si="111"/>
        <v/>
      </c>
      <c r="AN310" s="19">
        <f t="shared" si="112"/>
        <v>1200</v>
      </c>
      <c r="AO310" s="26">
        <f t="shared" si="113"/>
        <v>-1165.7393777427621</v>
      </c>
    </row>
    <row r="311" spans="1:41" x14ac:dyDescent="0.2">
      <c r="A311" s="12">
        <v>44865</v>
      </c>
      <c r="B311" s="6">
        <v>31</v>
      </c>
      <c r="C311" s="6">
        <v>304</v>
      </c>
      <c r="D311" s="6">
        <v>2</v>
      </c>
      <c r="E311" s="6" t="s">
        <v>13</v>
      </c>
      <c r="F311" s="6">
        <v>44</v>
      </c>
      <c r="G311" s="6">
        <v>10</v>
      </c>
      <c r="H311" s="6" t="s">
        <v>26</v>
      </c>
      <c r="I311" s="6">
        <v>4</v>
      </c>
      <c r="J311" s="14">
        <v>15.982317418658194</v>
      </c>
      <c r="K311" s="14">
        <f t="shared" si="101"/>
        <v>9.589390451194916</v>
      </c>
      <c r="L311" s="14">
        <v>11.460731597391398</v>
      </c>
      <c r="M311" s="14">
        <f t="shared" si="114"/>
        <v>109.90143014373292</v>
      </c>
      <c r="N311" s="16">
        <v>0.42645295418499291</v>
      </c>
      <c r="O311" s="14">
        <f t="shared" si="115"/>
        <v>46.867789553950537</v>
      </c>
      <c r="P311" s="14">
        <f t="shared" si="116"/>
        <v>63.033640589782387</v>
      </c>
      <c r="Q311" s="14">
        <v>41.883826765686877</v>
      </c>
      <c r="R311" s="14">
        <v>15.464948302029677</v>
      </c>
      <c r="S311" s="14">
        <f t="shared" si="103"/>
        <v>12.987012987012987</v>
      </c>
      <c r="T311" s="14">
        <v>38.385357405576165</v>
      </c>
      <c r="U311" s="14">
        <f t="shared" si="117"/>
        <v>76.931001100613045</v>
      </c>
      <c r="V311" s="14">
        <f t="shared" si="118"/>
        <v>8.022512118173978</v>
      </c>
      <c r="W311" s="14">
        <v>30.334906600949388</v>
      </c>
      <c r="X311" s="16">
        <f t="shared" si="119"/>
        <v>5.2207869740457493</v>
      </c>
      <c r="Y311" s="16">
        <f t="shared" si="124"/>
        <v>0.31611735540648733</v>
      </c>
      <c r="Z311" s="16">
        <f t="shared" si="120"/>
        <v>0.60921850597856131</v>
      </c>
      <c r="AA311" s="16">
        <f t="shared" si="121"/>
        <v>1.1953101858794797</v>
      </c>
      <c r="AB311" s="16">
        <f t="shared" si="104"/>
        <v>0.11816964501761368</v>
      </c>
      <c r="AC311" s="14">
        <f t="shared" si="125"/>
        <v>8.022512118173978</v>
      </c>
      <c r="AD311" s="16">
        <f t="shared" si="105"/>
        <v>1.3493857848961133</v>
      </c>
      <c r="AE311" s="16">
        <f t="shared" si="106"/>
        <v>0.38110356444779425</v>
      </c>
      <c r="AF311" s="23" t="str">
        <f t="shared" si="122"/>
        <v/>
      </c>
      <c r="AG311" s="23" t="str">
        <f t="shared" si="126"/>
        <v/>
      </c>
      <c r="AH311" s="23" t="str">
        <f t="shared" si="107"/>
        <v/>
      </c>
      <c r="AI311" s="23" t="str">
        <f t="shared" si="123"/>
        <v/>
      </c>
      <c r="AJ311" s="23" t="str">
        <f t="shared" si="108"/>
        <v/>
      </c>
      <c r="AK311" s="23" t="str">
        <f t="shared" si="109"/>
        <v/>
      </c>
      <c r="AL311" s="23" t="str">
        <f t="shared" si="110"/>
        <v/>
      </c>
      <c r="AM311" s="23" t="str">
        <f t="shared" si="111"/>
        <v/>
      </c>
      <c r="AN311" s="19">
        <f t="shared" si="112"/>
        <v>0</v>
      </c>
      <c r="AO311" s="26">
        <f t="shared" si="113"/>
        <v>63.033640589782387</v>
      </c>
    </row>
    <row r="312" spans="1:41" x14ac:dyDescent="0.2">
      <c r="A312" s="12">
        <v>44866</v>
      </c>
      <c r="B312" s="6">
        <v>1</v>
      </c>
      <c r="C312" s="6">
        <v>305</v>
      </c>
      <c r="D312" s="6">
        <v>3</v>
      </c>
      <c r="E312" s="6" t="s">
        <v>14</v>
      </c>
      <c r="F312" s="6">
        <v>44</v>
      </c>
      <c r="G312" s="6">
        <v>11</v>
      </c>
      <c r="H312" s="6" t="s">
        <v>27</v>
      </c>
      <c r="I312" s="6">
        <v>4</v>
      </c>
      <c r="J312" s="14">
        <v>6.1913023415713537</v>
      </c>
      <c r="K312" s="14">
        <f>J312</f>
        <v>6.1913023415713537</v>
      </c>
      <c r="L312" s="14">
        <v>16.547001210378212</v>
      </c>
      <c r="M312" s="14">
        <f t="shared" si="114"/>
        <v>102.44748733979866</v>
      </c>
      <c r="N312" s="16">
        <v>0.58002197190830496</v>
      </c>
      <c r="O312" s="14">
        <f t="shared" si="115"/>
        <v>59.421793623881122</v>
      </c>
      <c r="P312" s="14">
        <f t="shared" si="116"/>
        <v>43.025693715917534</v>
      </c>
      <c r="Q312" s="14">
        <v>44.603085736200917</v>
      </c>
      <c r="R312" s="14">
        <v>11.223544873190313</v>
      </c>
      <c r="S312" s="14">
        <f t="shared" si="103"/>
        <v>12.987012987012987</v>
      </c>
      <c r="T312" s="14">
        <v>42.477312851698592</v>
      </c>
      <c r="U312" s="14">
        <f t="shared" si="117"/>
        <v>71.713241137859058</v>
      </c>
      <c r="V312" s="14">
        <f t="shared" si="118"/>
        <v>11.582900847264749</v>
      </c>
      <c r="W312" s="14">
        <v>32.503545137365464</v>
      </c>
      <c r="X312" s="16">
        <f t="shared" si="119"/>
        <v>3.8507698826355523</v>
      </c>
      <c r="Y312" s="16">
        <f t="shared" si="124"/>
        <v>0.19048083264166618</v>
      </c>
      <c r="Z312" s="16">
        <f t="shared" si="120"/>
        <v>0.82860281701186422</v>
      </c>
      <c r="AA312" s="16">
        <f t="shared" si="121"/>
        <v>0.53452087894142708</v>
      </c>
      <c r="AB312" s="16">
        <f t="shared" si="104"/>
        <v>0.12676751108533835</v>
      </c>
      <c r="AC312" s="14">
        <f t="shared" si="125"/>
        <v>11.582900847264749</v>
      </c>
      <c r="AD312" s="16">
        <f t="shared" si="105"/>
        <v>0.67828271301212884</v>
      </c>
      <c r="AE312" s="16">
        <f t="shared" si="106"/>
        <v>0.4353751067438193</v>
      </c>
      <c r="AF312" s="23">
        <f t="shared" si="122"/>
        <v>3000</v>
      </c>
      <c r="AG312" s="23" t="str">
        <f>IF(E312=$AG$6,$AG$5,"")</f>
        <v/>
      </c>
      <c r="AH312" s="23" t="str">
        <f t="shared" si="107"/>
        <v/>
      </c>
      <c r="AI312" s="23" t="str">
        <f t="shared" si="123"/>
        <v/>
      </c>
      <c r="AJ312" s="23" t="str">
        <f t="shared" si="108"/>
        <v/>
      </c>
      <c r="AK312" s="23" t="str">
        <f t="shared" si="109"/>
        <v/>
      </c>
      <c r="AL312" s="23" t="str">
        <f t="shared" si="110"/>
        <v/>
      </c>
      <c r="AM312" s="23" t="str">
        <f t="shared" si="111"/>
        <v/>
      </c>
      <c r="AN312" s="19">
        <f t="shared" si="112"/>
        <v>3000</v>
      </c>
      <c r="AO312" s="26">
        <f t="shared" si="113"/>
        <v>-2956.9743062840826</v>
      </c>
    </row>
    <row r="313" spans="1:41" x14ac:dyDescent="0.2">
      <c r="A313" s="12">
        <v>44867</v>
      </c>
      <c r="B313" s="6">
        <v>2</v>
      </c>
      <c r="C313" s="6">
        <v>306</v>
      </c>
      <c r="D313" s="6">
        <v>4</v>
      </c>
      <c r="E313" s="6" t="s">
        <v>15</v>
      </c>
      <c r="F313" s="6">
        <v>44</v>
      </c>
      <c r="G313" s="6">
        <v>11</v>
      </c>
      <c r="H313" s="6" t="s">
        <v>27</v>
      </c>
      <c r="I313" s="6">
        <v>4</v>
      </c>
      <c r="J313" s="14">
        <v>11.983626286440922</v>
      </c>
      <c r="K313" s="14">
        <f t="shared" ref="K313:K373" si="127">J313</f>
        <v>11.983626286440922</v>
      </c>
      <c r="L313" s="14">
        <v>52.363679306522862</v>
      </c>
      <c r="M313" s="14">
        <f t="shared" si="114"/>
        <v>627.50676379240986</v>
      </c>
      <c r="N313" s="16">
        <v>0.35438747155817024</v>
      </c>
      <c r="O313" s="14">
        <f t="shared" si="115"/>
        <v>222.3805354060421</v>
      </c>
      <c r="P313" s="14">
        <f t="shared" si="116"/>
        <v>405.12622838636776</v>
      </c>
      <c r="Q313" s="14">
        <v>33.18361232997843</v>
      </c>
      <c r="R313" s="14">
        <v>14.393107167353179</v>
      </c>
      <c r="S313" s="14">
        <f t="shared" si="103"/>
        <v>12.987012987012987</v>
      </c>
      <c r="T313" s="14">
        <v>38.577310468413607</v>
      </c>
      <c r="U313" s="14">
        <f t="shared" si="117"/>
        <v>439.2547346546869</v>
      </c>
      <c r="V313" s="14">
        <f t="shared" si="118"/>
        <v>36.654575514565998</v>
      </c>
      <c r="W313" s="14">
        <v>34.800868858982881</v>
      </c>
      <c r="X313" s="16">
        <f t="shared" si="119"/>
        <v>0.90530614157001332</v>
      </c>
      <c r="Y313" s="16">
        <f t="shared" si="124"/>
        <v>0.34434847977502953</v>
      </c>
      <c r="Z313" s="16">
        <f t="shared" si="120"/>
        <v>0.50626781651167174</v>
      </c>
      <c r="AA313" s="16">
        <f t="shared" si="121"/>
        <v>0.32693398077079905</v>
      </c>
      <c r="AB313" s="16">
        <f t="shared" si="104"/>
        <v>2.0696211955588285E-2</v>
      </c>
      <c r="AC313" s="14">
        <f t="shared" si="125"/>
        <v>36.654575514565998</v>
      </c>
      <c r="AD313" s="16">
        <f t="shared" si="105"/>
        <v>0.27486814062663184</v>
      </c>
      <c r="AE313" s="16">
        <f t="shared" si="106"/>
        <v>5.2881680715964594E-2</v>
      </c>
      <c r="AF313" s="23" t="str">
        <f t="shared" si="122"/>
        <v/>
      </c>
      <c r="AG313" s="23" t="str">
        <f t="shared" ref="AG313:AG373" si="128">IF(E313=$AG$6,$AG$5,"")</f>
        <v/>
      </c>
      <c r="AH313" s="23" t="str">
        <f t="shared" si="107"/>
        <v/>
      </c>
      <c r="AI313" s="23" t="str">
        <f t="shared" si="123"/>
        <v/>
      </c>
      <c r="AJ313" s="23" t="str">
        <f t="shared" si="108"/>
        <v/>
      </c>
      <c r="AK313" s="23" t="str">
        <f t="shared" si="109"/>
        <v/>
      </c>
      <c r="AL313" s="23" t="str">
        <f t="shared" si="110"/>
        <v/>
      </c>
      <c r="AM313" s="23" t="str">
        <f t="shared" si="111"/>
        <v/>
      </c>
      <c r="AN313" s="19">
        <f t="shared" si="112"/>
        <v>0</v>
      </c>
      <c r="AO313" s="26">
        <f t="shared" si="113"/>
        <v>405.12622838636776</v>
      </c>
    </row>
    <row r="314" spans="1:41" x14ac:dyDescent="0.2">
      <c r="A314" s="12">
        <v>44868</v>
      </c>
      <c r="B314" s="6">
        <v>3</v>
      </c>
      <c r="C314" s="6">
        <v>307</v>
      </c>
      <c r="D314" s="6">
        <v>5</v>
      </c>
      <c r="E314" s="6" t="s">
        <v>16</v>
      </c>
      <c r="F314" s="6">
        <v>44</v>
      </c>
      <c r="G314" s="6">
        <v>11</v>
      </c>
      <c r="H314" s="6" t="s">
        <v>27</v>
      </c>
      <c r="I314" s="6">
        <v>4</v>
      </c>
      <c r="J314" s="14">
        <v>14.688992051233146</v>
      </c>
      <c r="K314" s="14">
        <f t="shared" si="127"/>
        <v>14.688992051233146</v>
      </c>
      <c r="L314" s="14">
        <v>4.1646356568832346</v>
      </c>
      <c r="M314" s="14">
        <f t="shared" si="114"/>
        <v>61.174300060239965</v>
      </c>
      <c r="N314" s="16">
        <v>0.33357762594044954</v>
      </c>
      <c r="O314" s="14">
        <f t="shared" si="115"/>
        <v>20.406377782663547</v>
      </c>
      <c r="P314" s="14">
        <f t="shared" si="116"/>
        <v>40.767922277576417</v>
      </c>
      <c r="Q314" s="14">
        <v>42.700666741402223</v>
      </c>
      <c r="R314" s="14">
        <v>24.047043203207096</v>
      </c>
      <c r="S314" s="14">
        <f t="shared" si="103"/>
        <v>12.987012987012987</v>
      </c>
      <c r="T314" s="14">
        <v>33.909010510087285</v>
      </c>
      <c r="U314" s="14">
        <f t="shared" si="117"/>
        <v>42.822010042167975</v>
      </c>
      <c r="V314" s="14">
        <f t="shared" si="118"/>
        <v>2.9152449598182639</v>
      </c>
      <c r="W314" s="14">
        <v>38.674197735063366</v>
      </c>
      <c r="X314" s="16">
        <f t="shared" si="119"/>
        <v>14.647368344670486</v>
      </c>
      <c r="Y314" s="16">
        <f t="shared" si="124"/>
        <v>0.37981374951485025</v>
      </c>
      <c r="Z314" s="16">
        <f t="shared" si="120"/>
        <v>0.47653946562921368</v>
      </c>
      <c r="AA314" s="16">
        <f t="shared" si="121"/>
        <v>5.0386819130797358</v>
      </c>
      <c r="AB314" s="16">
        <f t="shared" si="104"/>
        <v>0.21229524447724499</v>
      </c>
      <c r="AC314" s="14">
        <f t="shared" si="125"/>
        <v>2.9152449598182639</v>
      </c>
      <c r="AD314" s="16">
        <f t="shared" si="105"/>
        <v>5.7741049120257557</v>
      </c>
      <c r="AE314" s="16">
        <f t="shared" si="106"/>
        <v>0.69801643336096597</v>
      </c>
      <c r="AF314" s="23" t="str">
        <f t="shared" si="122"/>
        <v/>
      </c>
      <c r="AG314" s="23" t="str">
        <f t="shared" si="128"/>
        <v/>
      </c>
      <c r="AH314" s="23" t="str">
        <f t="shared" si="107"/>
        <v/>
      </c>
      <c r="AI314" s="23" t="str">
        <f t="shared" si="123"/>
        <v/>
      </c>
      <c r="AJ314" s="23" t="str">
        <f t="shared" si="108"/>
        <v/>
      </c>
      <c r="AK314" s="23" t="str">
        <f t="shared" si="109"/>
        <v/>
      </c>
      <c r="AL314" s="23" t="str">
        <f t="shared" si="110"/>
        <v/>
      </c>
      <c r="AM314" s="23" t="str">
        <f t="shared" si="111"/>
        <v/>
      </c>
      <c r="AN314" s="19">
        <f t="shared" si="112"/>
        <v>0</v>
      </c>
      <c r="AO314" s="26">
        <f t="shared" si="113"/>
        <v>40.767922277576417</v>
      </c>
    </row>
    <row r="315" spans="1:41" x14ac:dyDescent="0.2">
      <c r="A315" s="12">
        <v>44869</v>
      </c>
      <c r="B315" s="6">
        <v>4</v>
      </c>
      <c r="C315" s="6">
        <v>308</v>
      </c>
      <c r="D315" s="6">
        <v>6</v>
      </c>
      <c r="E315" s="6" t="s">
        <v>17</v>
      </c>
      <c r="F315" s="6">
        <v>44</v>
      </c>
      <c r="G315" s="6">
        <v>11</v>
      </c>
      <c r="H315" s="6" t="s">
        <v>27</v>
      </c>
      <c r="I315" s="6">
        <v>4</v>
      </c>
      <c r="J315" s="14">
        <v>7.8242127663425736</v>
      </c>
      <c r="K315" s="14">
        <f t="shared" si="127"/>
        <v>7.8242127663425736</v>
      </c>
      <c r="L315" s="14">
        <v>58.471842258353092</v>
      </c>
      <c r="M315" s="14">
        <f t="shared" si="114"/>
        <v>457.49613466937546</v>
      </c>
      <c r="N315" s="16">
        <v>0.62937073335519955</v>
      </c>
      <c r="O315" s="14">
        <f t="shared" si="115"/>
        <v>287.93467778403397</v>
      </c>
      <c r="P315" s="14">
        <f t="shared" si="116"/>
        <v>169.5614568853415</v>
      </c>
      <c r="Q315" s="14">
        <v>61.499204235700439</v>
      </c>
      <c r="R315" s="14">
        <v>17.191402950629026</v>
      </c>
      <c r="S315" s="14">
        <f t="shared" si="103"/>
        <v>12.987012987012987</v>
      </c>
      <c r="T315" s="14">
        <v>33.422809270501958</v>
      </c>
      <c r="U315" s="14">
        <f t="shared" si="117"/>
        <v>320.24729426856283</v>
      </c>
      <c r="V315" s="14">
        <f t="shared" si="118"/>
        <v>40.930289580847166</v>
      </c>
      <c r="W315" s="14">
        <v>29.232855302495821</v>
      </c>
      <c r="X315" s="16">
        <f t="shared" si="119"/>
        <v>1.502535282928422</v>
      </c>
      <c r="Y315" s="16">
        <f t="shared" si="124"/>
        <v>0.26765133564200838</v>
      </c>
      <c r="Z315" s="16">
        <f t="shared" si="120"/>
        <v>0.89910104765028509</v>
      </c>
      <c r="AA315" s="16">
        <f t="shared" si="121"/>
        <v>0.19115947740579434</v>
      </c>
      <c r="AB315" s="16">
        <f t="shared" si="104"/>
        <v>2.8387153470484459E-2</v>
      </c>
      <c r="AC315" s="14">
        <f t="shared" si="125"/>
        <v>40.930289580847166</v>
      </c>
      <c r="AD315" s="16">
        <f t="shared" si="105"/>
        <v>0.29401165221834824</v>
      </c>
      <c r="AE315" s="16">
        <f t="shared" si="106"/>
        <v>0.13442562586926521</v>
      </c>
      <c r="AF315" s="23" t="str">
        <f t="shared" si="122"/>
        <v/>
      </c>
      <c r="AG315" s="23" t="str">
        <f t="shared" si="128"/>
        <v/>
      </c>
      <c r="AH315" s="23" t="str">
        <f t="shared" si="107"/>
        <v/>
      </c>
      <c r="AI315" s="23" t="str">
        <f t="shared" si="123"/>
        <v/>
      </c>
      <c r="AJ315" s="23" t="str">
        <f t="shared" si="108"/>
        <v/>
      </c>
      <c r="AK315" s="23" t="str">
        <f t="shared" si="109"/>
        <v/>
      </c>
      <c r="AL315" s="23" t="str">
        <f t="shared" si="110"/>
        <v/>
      </c>
      <c r="AM315" s="23" t="str">
        <f t="shared" si="111"/>
        <v/>
      </c>
      <c r="AN315" s="19">
        <f t="shared" si="112"/>
        <v>0</v>
      </c>
      <c r="AO315" s="26">
        <f t="shared" si="113"/>
        <v>169.5614568853415</v>
      </c>
    </row>
    <row r="316" spans="1:41" x14ac:dyDescent="0.2">
      <c r="A316" s="12">
        <v>44870</v>
      </c>
      <c r="B316" s="6">
        <v>5</v>
      </c>
      <c r="C316" s="6">
        <v>309</v>
      </c>
      <c r="D316" s="6">
        <v>7</v>
      </c>
      <c r="E316" s="6" t="s">
        <v>10</v>
      </c>
      <c r="F316" s="6">
        <v>44</v>
      </c>
      <c r="G316" s="6">
        <v>11</v>
      </c>
      <c r="H316" s="6" t="s">
        <v>27</v>
      </c>
      <c r="I316" s="6">
        <v>4</v>
      </c>
      <c r="J316" s="14">
        <v>20.930733362884119</v>
      </c>
      <c r="K316" s="14">
        <f>J316</f>
        <v>20.930733362884119</v>
      </c>
      <c r="L316" s="14">
        <v>78.712862985946288</v>
      </c>
      <c r="M316" s="14">
        <f t="shared" si="114"/>
        <v>1647.5179473880723</v>
      </c>
      <c r="N316" s="16">
        <v>0.21768976302766782</v>
      </c>
      <c r="O316" s="14">
        <f t="shared" si="115"/>
        <v>358.64779155073916</v>
      </c>
      <c r="P316" s="14">
        <f t="shared" si="116"/>
        <v>1288.8701558373332</v>
      </c>
      <c r="Q316" s="14">
        <v>38.469910296677973</v>
      </c>
      <c r="R316" s="14">
        <v>12.334262034888789</v>
      </c>
      <c r="S316" s="14">
        <f t="shared" si="103"/>
        <v>12.987012987012987</v>
      </c>
      <c r="T316" s="14">
        <v>30.088509159963277</v>
      </c>
      <c r="U316" s="14">
        <f t="shared" si="117"/>
        <v>1153.2625631716505</v>
      </c>
      <c r="V316" s="14">
        <f t="shared" si="118"/>
        <v>55.099004090162396</v>
      </c>
      <c r="W316" s="14">
        <v>38.647215089729393</v>
      </c>
      <c r="X316" s="16">
        <f t="shared" si="119"/>
        <v>0.69819610956537326</v>
      </c>
      <c r="Y316" s="16">
        <f t="shared" si="124"/>
        <v>0.54158451816742992</v>
      </c>
      <c r="Z316" s="16">
        <f t="shared" si="120"/>
        <v>0.31098537575381119</v>
      </c>
      <c r="AA316" s="16">
        <f t="shared" si="121"/>
        <v>0.37987498519272112</v>
      </c>
      <c r="AB316" s="16">
        <f t="shared" si="104"/>
        <v>7.8827748174775426E-3</v>
      </c>
      <c r="AC316" s="14">
        <f t="shared" si="125"/>
        <v>55.099004090162396</v>
      </c>
      <c r="AD316" s="16">
        <f t="shared" si="105"/>
        <v>0.15669944615139966</v>
      </c>
      <c r="AE316" s="16">
        <f t="shared" si="106"/>
        <v>2.3350222289030033E-2</v>
      </c>
      <c r="AF316" s="23" t="str">
        <f t="shared" si="122"/>
        <v/>
      </c>
      <c r="AG316" s="23" t="str">
        <f t="shared" si="128"/>
        <v/>
      </c>
      <c r="AH316" s="23" t="str">
        <f t="shared" si="107"/>
        <v/>
      </c>
      <c r="AI316" s="23" t="str">
        <f t="shared" si="123"/>
        <v/>
      </c>
      <c r="AJ316" s="23" t="str">
        <f t="shared" si="108"/>
        <v/>
      </c>
      <c r="AK316" s="23" t="str">
        <f t="shared" si="109"/>
        <v/>
      </c>
      <c r="AL316" s="23" t="str">
        <f t="shared" si="110"/>
        <v/>
      </c>
      <c r="AM316" s="23">
        <f t="shared" si="111"/>
        <v>1000</v>
      </c>
      <c r="AN316" s="19">
        <f t="shared" si="112"/>
        <v>1000</v>
      </c>
      <c r="AO316" s="26">
        <f t="shared" si="113"/>
        <v>288.87015583733319</v>
      </c>
    </row>
    <row r="317" spans="1:41" x14ac:dyDescent="0.2">
      <c r="A317" s="12">
        <v>44871</v>
      </c>
      <c r="B317" s="6">
        <v>6</v>
      </c>
      <c r="C317" s="6">
        <v>310</v>
      </c>
      <c r="D317" s="6">
        <v>1</v>
      </c>
      <c r="E317" s="6" t="s">
        <v>12</v>
      </c>
      <c r="F317" s="6">
        <v>45</v>
      </c>
      <c r="G317" s="6">
        <v>11</v>
      </c>
      <c r="H317" s="6" t="s">
        <v>27</v>
      </c>
      <c r="I317" s="6">
        <v>4</v>
      </c>
      <c r="J317" s="14">
        <v>5.8985955935819536</v>
      </c>
      <c r="K317" s="14">
        <f t="shared" si="127"/>
        <v>5.8985955935819536</v>
      </c>
      <c r="L317" s="14">
        <v>33.025234739089484</v>
      </c>
      <c r="M317" s="14">
        <f t="shared" si="114"/>
        <v>194.80250410900288</v>
      </c>
      <c r="N317" s="16">
        <v>0.18828496419838722</v>
      </c>
      <c r="O317" s="14">
        <f t="shared" si="115"/>
        <v>36.678382511919786</v>
      </c>
      <c r="P317" s="14">
        <f t="shared" si="116"/>
        <v>158.1241215970831</v>
      </c>
      <c r="Q317" s="14">
        <v>17.189249164943938</v>
      </c>
      <c r="R317" s="14">
        <v>6.1420344231439783</v>
      </c>
      <c r="S317" s="14">
        <f t="shared" si="103"/>
        <v>28.571428571428573</v>
      </c>
      <c r="T317" s="14">
        <v>16.356593853665299</v>
      </c>
      <c r="U317" s="14">
        <f t="shared" si="117"/>
        <v>136.36175287630201</v>
      </c>
      <c r="V317" s="14">
        <f t="shared" si="118"/>
        <v>23.117664317362635</v>
      </c>
      <c r="W317" s="14">
        <v>20.414774373100766</v>
      </c>
      <c r="X317" s="16">
        <f t="shared" si="119"/>
        <v>0.74355475228671208</v>
      </c>
      <c r="Y317" s="16">
        <f t="shared" si="124"/>
        <v>0.28893758440721018</v>
      </c>
      <c r="Z317" s="16">
        <f t="shared" si="120"/>
        <v>0.26897852028341035</v>
      </c>
      <c r="AA317" s="16">
        <f t="shared" si="121"/>
        <v>0.25515534409554447</v>
      </c>
      <c r="AB317" s="16">
        <f t="shared" si="104"/>
        <v>0.1466686924899141</v>
      </c>
      <c r="AC317" s="14">
        <f t="shared" si="125"/>
        <v>23.117664317362635</v>
      </c>
      <c r="AD317" s="16">
        <f t="shared" si="105"/>
        <v>0.18598003834546903</v>
      </c>
      <c r="AE317" s="16">
        <f t="shared" si="106"/>
        <v>8.8239364496698627E-2</v>
      </c>
      <c r="AF317" s="23" t="str">
        <f t="shared" si="122"/>
        <v/>
      </c>
      <c r="AG317" s="23">
        <f t="shared" si="128"/>
        <v>1000</v>
      </c>
      <c r="AH317" s="23" t="str">
        <f t="shared" si="107"/>
        <v/>
      </c>
      <c r="AI317" s="23" t="str">
        <f t="shared" si="123"/>
        <v/>
      </c>
      <c r="AJ317" s="23" t="str">
        <f t="shared" si="108"/>
        <v/>
      </c>
      <c r="AK317" s="23" t="str">
        <f t="shared" si="109"/>
        <v/>
      </c>
      <c r="AL317" s="23" t="str">
        <f t="shared" si="110"/>
        <v/>
      </c>
      <c r="AM317" s="23" t="str">
        <f t="shared" si="111"/>
        <v/>
      </c>
      <c r="AN317" s="19">
        <f t="shared" si="112"/>
        <v>1000</v>
      </c>
      <c r="AO317" s="26">
        <f t="shared" si="113"/>
        <v>-841.8758784029169</v>
      </c>
    </row>
    <row r="318" spans="1:41" x14ac:dyDescent="0.2">
      <c r="A318" s="12">
        <v>44872</v>
      </c>
      <c r="B318" s="6">
        <v>7</v>
      </c>
      <c r="C318" s="6">
        <v>311</v>
      </c>
      <c r="D318" s="6">
        <v>2</v>
      </c>
      <c r="E318" s="6" t="s">
        <v>13</v>
      </c>
      <c r="F318" s="6">
        <v>45</v>
      </c>
      <c r="G318" s="6">
        <v>11</v>
      </c>
      <c r="H318" s="6" t="s">
        <v>27</v>
      </c>
      <c r="I318" s="6">
        <v>4</v>
      </c>
      <c r="J318" s="14">
        <v>12.041636140871482</v>
      </c>
      <c r="K318" s="14">
        <f t="shared" si="127"/>
        <v>12.041636140871482</v>
      </c>
      <c r="L318" s="14">
        <v>38.770077581601214</v>
      </c>
      <c r="M318" s="14">
        <f t="shared" si="114"/>
        <v>466.85516739100041</v>
      </c>
      <c r="N318" s="16">
        <v>0.67973852018122516</v>
      </c>
      <c r="O318" s="14">
        <f t="shared" si="115"/>
        <v>317.33944062131678</v>
      </c>
      <c r="P318" s="14">
        <f t="shared" si="116"/>
        <v>149.51572676968362</v>
      </c>
      <c r="Q318" s="14">
        <v>45.607349030268978</v>
      </c>
      <c r="R318" s="14">
        <v>16.902003228366549</v>
      </c>
      <c r="S318" s="14">
        <f t="shared" si="103"/>
        <v>12.987012987012987</v>
      </c>
      <c r="T318" s="14">
        <v>35.654468447644554</v>
      </c>
      <c r="U318" s="14">
        <f t="shared" si="117"/>
        <v>326.79861717370028</v>
      </c>
      <c r="V318" s="14">
        <f t="shared" si="118"/>
        <v>27.139054307120851</v>
      </c>
      <c r="W318" s="14">
        <v>39.17989291895703</v>
      </c>
      <c r="X318" s="16">
        <f t="shared" si="119"/>
        <v>1.6805062001848141</v>
      </c>
      <c r="Y318" s="16">
        <f t="shared" si="124"/>
        <v>0.30734224225113149</v>
      </c>
      <c r="Z318" s="16">
        <f t="shared" si="120"/>
        <v>0.97105502883032169</v>
      </c>
      <c r="AA318" s="16">
        <f t="shared" si="121"/>
        <v>0.44370139079282328</v>
      </c>
      <c r="AB318" s="16">
        <f t="shared" si="104"/>
        <v>2.7818076984325434E-2</v>
      </c>
      <c r="AC318" s="14">
        <f t="shared" si="125"/>
        <v>27.139054307120851</v>
      </c>
      <c r="AD318" s="16">
        <f t="shared" si="105"/>
        <v>0.43595484669309997</v>
      </c>
      <c r="AE318" s="16">
        <f t="shared" si="106"/>
        <v>9.7690573470876729E-2</v>
      </c>
      <c r="AF318" s="23" t="str">
        <f t="shared" si="122"/>
        <v/>
      </c>
      <c r="AG318" s="23" t="str">
        <f t="shared" si="128"/>
        <v/>
      </c>
      <c r="AH318" s="23" t="str">
        <f t="shared" si="107"/>
        <v/>
      </c>
      <c r="AI318" s="23" t="str">
        <f t="shared" si="123"/>
        <v/>
      </c>
      <c r="AJ318" s="23" t="str">
        <f t="shared" si="108"/>
        <v/>
      </c>
      <c r="AK318" s="23" t="str">
        <f t="shared" si="109"/>
        <v/>
      </c>
      <c r="AL318" s="23" t="str">
        <f t="shared" si="110"/>
        <v/>
      </c>
      <c r="AM318" s="23" t="str">
        <f t="shared" si="111"/>
        <v/>
      </c>
      <c r="AN318" s="19">
        <f t="shared" si="112"/>
        <v>0</v>
      </c>
      <c r="AO318" s="26">
        <f t="shared" si="113"/>
        <v>149.51572676968362</v>
      </c>
    </row>
    <row r="319" spans="1:41" x14ac:dyDescent="0.2">
      <c r="A319" s="12">
        <v>44873</v>
      </c>
      <c r="B319" s="6">
        <v>8</v>
      </c>
      <c r="C319" s="6">
        <v>312</v>
      </c>
      <c r="D319" s="6">
        <v>3</v>
      </c>
      <c r="E319" s="6" t="s">
        <v>14</v>
      </c>
      <c r="F319" s="6">
        <v>45</v>
      </c>
      <c r="G319" s="6">
        <v>11</v>
      </c>
      <c r="H319" s="6" t="s">
        <v>27</v>
      </c>
      <c r="I319" s="6">
        <v>4</v>
      </c>
      <c r="J319" s="14">
        <v>10.913286051030781</v>
      </c>
      <c r="K319" s="14">
        <f t="shared" si="127"/>
        <v>10.913286051030781</v>
      </c>
      <c r="L319" s="14">
        <v>62.664642348994661</v>
      </c>
      <c r="M319" s="14">
        <f t="shared" si="114"/>
        <v>683.87716724011614</v>
      </c>
      <c r="N319" s="16">
        <v>0.45447724803582668</v>
      </c>
      <c r="O319" s="14">
        <f t="shared" si="115"/>
        <v>310.80661296182478</v>
      </c>
      <c r="P319" s="14">
        <f t="shared" si="116"/>
        <v>373.07055427829135</v>
      </c>
      <c r="Q319" s="14">
        <v>43.24802889098931</v>
      </c>
      <c r="R319" s="14">
        <v>14.424191498375933</v>
      </c>
      <c r="S319" s="14">
        <f t="shared" si="103"/>
        <v>12.987012987012987</v>
      </c>
      <c r="T319" s="14">
        <v>41.98235029677852</v>
      </c>
      <c r="U319" s="14">
        <f t="shared" si="117"/>
        <v>478.71401706808126</v>
      </c>
      <c r="V319" s="14">
        <f t="shared" si="118"/>
        <v>43.865249644296256</v>
      </c>
      <c r="W319" s="14">
        <v>30.870380800431153</v>
      </c>
      <c r="X319" s="16">
        <f t="shared" si="119"/>
        <v>0.98592916355630034</v>
      </c>
      <c r="Y319" s="16">
        <f t="shared" si="124"/>
        <v>0.35351964465816887</v>
      </c>
      <c r="Z319" s="16">
        <f t="shared" si="120"/>
        <v>0.64925321147975246</v>
      </c>
      <c r="AA319" s="16">
        <f t="shared" si="121"/>
        <v>0.24879115335092644</v>
      </c>
      <c r="AB319" s="16">
        <f t="shared" si="104"/>
        <v>1.8990271366163502E-2</v>
      </c>
      <c r="AC319" s="14">
        <f t="shared" si="125"/>
        <v>43.865249644296256</v>
      </c>
      <c r="AD319" s="16">
        <f t="shared" si="105"/>
        <v>0.2301807041049416</v>
      </c>
      <c r="AE319" s="16">
        <f t="shared" si="106"/>
        <v>6.32394689612506E-2</v>
      </c>
      <c r="AF319" s="23" t="str">
        <f t="shared" si="122"/>
        <v/>
      </c>
      <c r="AG319" s="23" t="str">
        <f t="shared" si="128"/>
        <v/>
      </c>
      <c r="AH319" s="23" t="str">
        <f t="shared" si="107"/>
        <v/>
      </c>
      <c r="AI319" s="23" t="str">
        <f t="shared" si="123"/>
        <v/>
      </c>
      <c r="AJ319" s="23" t="str">
        <f t="shared" si="108"/>
        <v/>
      </c>
      <c r="AK319" s="23" t="str">
        <f t="shared" si="109"/>
        <v/>
      </c>
      <c r="AL319" s="23" t="str">
        <f t="shared" si="110"/>
        <v/>
      </c>
      <c r="AM319" s="23" t="str">
        <f t="shared" si="111"/>
        <v/>
      </c>
      <c r="AN319" s="19">
        <f t="shared" si="112"/>
        <v>0</v>
      </c>
      <c r="AO319" s="26">
        <f t="shared" si="113"/>
        <v>373.07055427829135</v>
      </c>
    </row>
    <row r="320" spans="1:41" x14ac:dyDescent="0.2">
      <c r="A320" s="12">
        <v>44874</v>
      </c>
      <c r="B320" s="6">
        <v>9</v>
      </c>
      <c r="C320" s="6">
        <v>313</v>
      </c>
      <c r="D320" s="6">
        <v>4</v>
      </c>
      <c r="E320" s="6" t="s">
        <v>15</v>
      </c>
      <c r="F320" s="6">
        <v>45</v>
      </c>
      <c r="G320" s="6">
        <v>11</v>
      </c>
      <c r="H320" s="6" t="s">
        <v>27</v>
      </c>
      <c r="I320" s="6">
        <v>4</v>
      </c>
      <c r="J320" s="14">
        <v>17.706255008473924</v>
      </c>
      <c r="K320" s="14">
        <f t="shared" si="127"/>
        <v>17.706255008473924</v>
      </c>
      <c r="L320" s="14">
        <v>10.097176543227706</v>
      </c>
      <c r="M320" s="14">
        <f t="shared" si="114"/>
        <v>178.78318273997098</v>
      </c>
      <c r="N320" s="16">
        <v>0.3609867553656797</v>
      </c>
      <c r="O320" s="14">
        <f t="shared" si="115"/>
        <v>64.538361051251513</v>
      </c>
      <c r="P320" s="14">
        <f t="shared" si="116"/>
        <v>114.24482168871947</v>
      </c>
      <c r="Q320" s="14">
        <v>62.750197353120996</v>
      </c>
      <c r="R320" s="14">
        <v>14.639251757421656</v>
      </c>
      <c r="S320" s="14">
        <f t="shared" si="103"/>
        <v>12.987012987012987</v>
      </c>
      <c r="T320" s="14">
        <v>37.254604365094025</v>
      </c>
      <c r="U320" s="14">
        <f t="shared" si="117"/>
        <v>125.14822791797968</v>
      </c>
      <c r="V320" s="14">
        <f t="shared" si="118"/>
        <v>7.0680235802593936</v>
      </c>
      <c r="W320" s="14">
        <v>34.152971883259681</v>
      </c>
      <c r="X320" s="16">
        <f t="shared" si="119"/>
        <v>8.8780401820360204</v>
      </c>
      <c r="Y320" s="16">
        <f t="shared" si="124"/>
        <v>0.51843965640813738</v>
      </c>
      <c r="Z320" s="16">
        <f t="shared" si="120"/>
        <v>0.51569536480811384</v>
      </c>
      <c r="AA320" s="16">
        <f t="shared" si="121"/>
        <v>2.505121100320963</v>
      </c>
      <c r="AB320" s="16">
        <f t="shared" si="104"/>
        <v>7.2641133175830014E-2</v>
      </c>
      <c r="AC320" s="14">
        <f t="shared" si="125"/>
        <v>7.0680235802593936</v>
      </c>
      <c r="AD320" s="16">
        <f t="shared" si="105"/>
        <v>1.4498361690269121</v>
      </c>
      <c r="AE320" s="16">
        <f t="shared" si="106"/>
        <v>0.35098489909080127</v>
      </c>
      <c r="AF320" s="23" t="str">
        <f t="shared" si="122"/>
        <v/>
      </c>
      <c r="AG320" s="23" t="str">
        <f t="shared" si="128"/>
        <v/>
      </c>
      <c r="AH320" s="23" t="str">
        <f t="shared" si="107"/>
        <v/>
      </c>
      <c r="AI320" s="23" t="str">
        <f t="shared" si="123"/>
        <v/>
      </c>
      <c r="AJ320" s="23" t="str">
        <f t="shared" si="108"/>
        <v/>
      </c>
      <c r="AK320" s="23" t="str">
        <f t="shared" si="109"/>
        <v/>
      </c>
      <c r="AL320" s="23" t="str">
        <f t="shared" si="110"/>
        <v/>
      </c>
      <c r="AM320" s="23" t="str">
        <f t="shared" si="111"/>
        <v/>
      </c>
      <c r="AN320" s="19">
        <f t="shared" si="112"/>
        <v>0</v>
      </c>
      <c r="AO320" s="26">
        <f t="shared" si="113"/>
        <v>114.24482168871947</v>
      </c>
    </row>
    <row r="321" spans="1:41" x14ac:dyDescent="0.2">
      <c r="A321" s="12">
        <v>44875</v>
      </c>
      <c r="B321" s="6">
        <v>10</v>
      </c>
      <c r="C321" s="6">
        <v>314</v>
      </c>
      <c r="D321" s="6">
        <v>5</v>
      </c>
      <c r="E321" s="6" t="s">
        <v>16</v>
      </c>
      <c r="F321" s="6">
        <v>45</v>
      </c>
      <c r="G321" s="6">
        <v>11</v>
      </c>
      <c r="H321" s="6" t="s">
        <v>27</v>
      </c>
      <c r="I321" s="6">
        <v>4</v>
      </c>
      <c r="J321" s="14">
        <v>20.129490314148885</v>
      </c>
      <c r="K321" s="14">
        <f t="shared" si="127"/>
        <v>20.129490314148885</v>
      </c>
      <c r="L321" s="14">
        <v>61.738538471675845</v>
      </c>
      <c r="M321" s="14">
        <f t="shared" si="114"/>
        <v>1242.7653121753071</v>
      </c>
      <c r="N321" s="16">
        <v>0.36114060573793083</v>
      </c>
      <c r="O321" s="14">
        <f t="shared" si="115"/>
        <v>448.81301762907913</v>
      </c>
      <c r="P321" s="14">
        <f t="shared" si="116"/>
        <v>793.95229454622802</v>
      </c>
      <c r="Q321" s="14">
        <v>57.580056843879348</v>
      </c>
      <c r="R321" s="14">
        <v>13.535054739438786</v>
      </c>
      <c r="S321" s="14">
        <f t="shared" si="103"/>
        <v>12.987012987012987</v>
      </c>
      <c r="T321" s="14">
        <v>32.735471043472032</v>
      </c>
      <c r="U321" s="14">
        <f t="shared" si="117"/>
        <v>869.93571852271498</v>
      </c>
      <c r="V321" s="14">
        <f t="shared" si="118"/>
        <v>43.216976930173089</v>
      </c>
      <c r="W321" s="14">
        <v>36.632068754013353</v>
      </c>
      <c r="X321" s="16">
        <f t="shared" si="119"/>
        <v>1.3323480940583396</v>
      </c>
      <c r="Y321" s="16">
        <f t="shared" si="124"/>
        <v>0.54950460071801244</v>
      </c>
      <c r="Z321" s="16">
        <f t="shared" si="120"/>
        <v>0.51591515105418695</v>
      </c>
      <c r="AA321" s="16">
        <f t="shared" si="121"/>
        <v>0.46577738065003205</v>
      </c>
      <c r="AB321" s="16">
        <f t="shared" si="104"/>
        <v>1.0450092917608737E-2</v>
      </c>
      <c r="AC321" s="14">
        <f t="shared" si="125"/>
        <v>43.216976930173089</v>
      </c>
      <c r="AD321" s="16">
        <f t="shared" si="105"/>
        <v>0.2192318618887997</v>
      </c>
      <c r="AE321" s="16">
        <f t="shared" si="106"/>
        <v>4.6332204704919361E-2</v>
      </c>
      <c r="AF321" s="23" t="str">
        <f t="shared" si="122"/>
        <v/>
      </c>
      <c r="AG321" s="23" t="str">
        <f t="shared" si="128"/>
        <v/>
      </c>
      <c r="AH321" s="23" t="str">
        <f t="shared" si="107"/>
        <v/>
      </c>
      <c r="AI321" s="23">
        <f t="shared" si="123"/>
        <v>300</v>
      </c>
      <c r="AJ321" s="23" t="str">
        <f t="shared" si="108"/>
        <v/>
      </c>
      <c r="AK321" s="23" t="str">
        <f t="shared" si="109"/>
        <v/>
      </c>
      <c r="AL321" s="23" t="str">
        <f t="shared" si="110"/>
        <v/>
      </c>
      <c r="AM321" s="23" t="str">
        <f t="shared" si="111"/>
        <v/>
      </c>
      <c r="AN321" s="19">
        <f t="shared" si="112"/>
        <v>300</v>
      </c>
      <c r="AO321" s="26">
        <f t="shared" si="113"/>
        <v>493.95229454622802</v>
      </c>
    </row>
    <row r="322" spans="1:41" x14ac:dyDescent="0.2">
      <c r="A322" s="12">
        <v>44876</v>
      </c>
      <c r="B322" s="6">
        <v>11</v>
      </c>
      <c r="C322" s="6">
        <v>315</v>
      </c>
      <c r="D322" s="6">
        <v>6</v>
      </c>
      <c r="E322" s="6" t="s">
        <v>17</v>
      </c>
      <c r="F322" s="6">
        <v>45</v>
      </c>
      <c r="G322" s="6">
        <v>11</v>
      </c>
      <c r="H322" s="6" t="s">
        <v>27</v>
      </c>
      <c r="I322" s="6">
        <v>4</v>
      </c>
      <c r="J322" s="14">
        <v>15.91080836208501</v>
      </c>
      <c r="K322" s="14">
        <f t="shared" si="127"/>
        <v>15.91080836208501</v>
      </c>
      <c r="L322" s="14">
        <v>35.848952130528467</v>
      </c>
      <c r="M322" s="14">
        <f t="shared" si="114"/>
        <v>570.3858073303976</v>
      </c>
      <c r="N322" s="16">
        <v>0.73702375917837815</v>
      </c>
      <c r="O322" s="14">
        <f t="shared" si="115"/>
        <v>420.38789190064375</v>
      </c>
      <c r="P322" s="14">
        <f t="shared" si="116"/>
        <v>149.99791542975385</v>
      </c>
      <c r="Q322" s="14">
        <v>40.05484967881322</v>
      </c>
      <c r="R322" s="14">
        <v>16.102474274360386</v>
      </c>
      <c r="S322" s="14">
        <f t="shared" si="103"/>
        <v>12.987012987012987</v>
      </c>
      <c r="T322" s="14">
        <v>35.658499910866361</v>
      </c>
      <c r="U322" s="14">
        <f t="shared" si="117"/>
        <v>399.27006513127827</v>
      </c>
      <c r="V322" s="14">
        <f t="shared" si="118"/>
        <v>25.094266491369925</v>
      </c>
      <c r="W322" s="14">
        <v>38.941058253765775</v>
      </c>
      <c r="X322" s="16">
        <f t="shared" si="119"/>
        <v>1.5961753531464382</v>
      </c>
      <c r="Y322" s="16">
        <f t="shared" si="124"/>
        <v>0.40858695360561659</v>
      </c>
      <c r="Z322" s="16">
        <f t="shared" si="120"/>
        <v>1.0528910845405404</v>
      </c>
      <c r="AA322" s="16">
        <f t="shared" si="121"/>
        <v>0.63404157948019069</v>
      </c>
      <c r="AB322" s="16">
        <f t="shared" si="104"/>
        <v>2.276882212023593E-2</v>
      </c>
      <c r="AC322" s="14">
        <f t="shared" si="125"/>
        <v>25.094266491369925</v>
      </c>
      <c r="AD322" s="16">
        <f t="shared" si="105"/>
        <v>0.4491755914016729</v>
      </c>
      <c r="AE322" s="16">
        <f t="shared" si="106"/>
        <v>7.0224134549005945E-2</v>
      </c>
      <c r="AF322" s="23" t="str">
        <f t="shared" si="122"/>
        <v/>
      </c>
      <c r="AG322" s="23" t="str">
        <f t="shared" si="128"/>
        <v/>
      </c>
      <c r="AH322" s="23" t="str">
        <f t="shared" si="107"/>
        <v/>
      </c>
      <c r="AI322" s="23" t="str">
        <f t="shared" si="123"/>
        <v/>
      </c>
      <c r="AJ322" s="23" t="str">
        <f t="shared" si="108"/>
        <v/>
      </c>
      <c r="AK322" s="23" t="str">
        <f t="shared" si="109"/>
        <v/>
      </c>
      <c r="AL322" s="23" t="str">
        <f t="shared" si="110"/>
        <v/>
      </c>
      <c r="AM322" s="23" t="str">
        <f t="shared" si="111"/>
        <v/>
      </c>
      <c r="AN322" s="19">
        <f t="shared" si="112"/>
        <v>0</v>
      </c>
      <c r="AO322" s="26">
        <f t="shared" si="113"/>
        <v>149.99791542975385</v>
      </c>
    </row>
    <row r="323" spans="1:41" x14ac:dyDescent="0.2">
      <c r="A323" s="12">
        <v>44877</v>
      </c>
      <c r="B323" s="6">
        <v>12</v>
      </c>
      <c r="C323" s="6">
        <v>316</v>
      </c>
      <c r="D323" s="6">
        <v>7</v>
      </c>
      <c r="E323" s="6" t="s">
        <v>10</v>
      </c>
      <c r="F323" s="6">
        <v>45</v>
      </c>
      <c r="G323" s="6">
        <v>11</v>
      </c>
      <c r="H323" s="6" t="s">
        <v>27</v>
      </c>
      <c r="I323" s="6">
        <v>4</v>
      </c>
      <c r="J323" s="14">
        <v>9.0040132738071179</v>
      </c>
      <c r="K323" s="14">
        <f t="shared" si="127"/>
        <v>9.0040132738071179</v>
      </c>
      <c r="L323" s="14">
        <v>56.778051550829332</v>
      </c>
      <c r="M323" s="14">
        <f t="shared" si="114"/>
        <v>511.2303298245721</v>
      </c>
      <c r="N323" s="16">
        <v>0.44979652335634612</v>
      </c>
      <c r="O323" s="14">
        <f t="shared" si="115"/>
        <v>229.94962498941067</v>
      </c>
      <c r="P323" s="14">
        <f t="shared" si="116"/>
        <v>281.28070483516143</v>
      </c>
      <c r="Q323" s="14">
        <v>36.921485040071431</v>
      </c>
      <c r="R323" s="14">
        <v>14.75842908041326</v>
      </c>
      <c r="S323" s="14">
        <f t="shared" si="103"/>
        <v>12.987012987012987</v>
      </c>
      <c r="T323" s="14">
        <v>30.930551877736761</v>
      </c>
      <c r="U323" s="14">
        <f t="shared" si="117"/>
        <v>357.86123087720046</v>
      </c>
      <c r="V323" s="14">
        <f t="shared" si="118"/>
        <v>39.744636085580531</v>
      </c>
      <c r="W323" s="14">
        <v>33.062747744550137</v>
      </c>
      <c r="X323" s="16">
        <f t="shared" si="119"/>
        <v>0.92896774700792017</v>
      </c>
      <c r="Y323" s="16">
        <f t="shared" si="124"/>
        <v>0.27233106405353996</v>
      </c>
      <c r="Z323" s="16">
        <f t="shared" si="120"/>
        <v>0.64256646193763733</v>
      </c>
      <c r="AA323" s="16">
        <f t="shared" si="121"/>
        <v>0.22654662768629047</v>
      </c>
      <c r="AB323" s="16">
        <f t="shared" si="104"/>
        <v>2.5403447779535029E-2</v>
      </c>
      <c r="AC323" s="14">
        <f t="shared" si="125"/>
        <v>39.744636085580531</v>
      </c>
      <c r="AD323" s="16">
        <f t="shared" si="105"/>
        <v>0.25993193984828966</v>
      </c>
      <c r="AE323" s="16">
        <f t="shared" si="106"/>
        <v>7.2220842321192052E-2</v>
      </c>
      <c r="AF323" s="23" t="str">
        <f t="shared" si="122"/>
        <v/>
      </c>
      <c r="AG323" s="23" t="str">
        <f t="shared" si="128"/>
        <v/>
      </c>
      <c r="AH323" s="23" t="str">
        <f t="shared" si="107"/>
        <v/>
      </c>
      <c r="AI323" s="23" t="str">
        <f t="shared" si="123"/>
        <v/>
      </c>
      <c r="AJ323" s="23" t="str">
        <f t="shared" si="108"/>
        <v/>
      </c>
      <c r="AK323" s="23">
        <f t="shared" si="109"/>
        <v>480</v>
      </c>
      <c r="AL323" s="23" t="str">
        <f t="shared" si="110"/>
        <v/>
      </c>
      <c r="AM323" s="23" t="str">
        <f t="shared" si="111"/>
        <v/>
      </c>
      <c r="AN323" s="19">
        <f t="shared" si="112"/>
        <v>480</v>
      </c>
      <c r="AO323" s="26">
        <f t="shared" si="113"/>
        <v>-198.71929516483857</v>
      </c>
    </row>
    <row r="324" spans="1:41" x14ac:dyDescent="0.2">
      <c r="A324" s="12">
        <v>44878</v>
      </c>
      <c r="B324" s="6">
        <v>13</v>
      </c>
      <c r="C324" s="6">
        <v>317</v>
      </c>
      <c r="D324" s="6">
        <v>1</v>
      </c>
      <c r="E324" s="6" t="s">
        <v>12</v>
      </c>
      <c r="F324" s="6">
        <v>46</v>
      </c>
      <c r="G324" s="6">
        <v>11</v>
      </c>
      <c r="H324" s="6" t="s">
        <v>27</v>
      </c>
      <c r="I324" s="6">
        <v>4</v>
      </c>
      <c r="J324" s="14">
        <v>5.378401432765556</v>
      </c>
      <c r="K324" s="14">
        <f t="shared" si="127"/>
        <v>5.378401432765556</v>
      </c>
      <c r="L324" s="14">
        <v>25.857404680478098</v>
      </c>
      <c r="M324" s="14">
        <f t="shared" si="114"/>
        <v>139.07150238108218</v>
      </c>
      <c r="N324" s="16">
        <v>0.19267068713802529</v>
      </c>
      <c r="O324" s="14">
        <f t="shared" si="115"/>
        <v>26.795001925080626</v>
      </c>
      <c r="P324" s="14">
        <f t="shared" si="116"/>
        <v>112.27650045600156</v>
      </c>
      <c r="Q324" s="14">
        <v>18.367515899650783</v>
      </c>
      <c r="R324" s="14">
        <v>6.8774455038960891</v>
      </c>
      <c r="S324" s="14">
        <f t="shared" si="103"/>
        <v>28.571428571428573</v>
      </c>
      <c r="T324" s="14">
        <v>13.954304852223917</v>
      </c>
      <c r="U324" s="14">
        <f t="shared" si="117"/>
        <v>97.350051666757523</v>
      </c>
      <c r="V324" s="14">
        <f t="shared" si="118"/>
        <v>18.100183276334665</v>
      </c>
      <c r="W324" s="14">
        <v>15.248784642632829</v>
      </c>
      <c r="X324" s="16">
        <f t="shared" si="119"/>
        <v>1.0147696086406841</v>
      </c>
      <c r="Y324" s="16">
        <f t="shared" si="124"/>
        <v>0.35271017060130311</v>
      </c>
      <c r="Z324" s="16">
        <f t="shared" si="120"/>
        <v>0.27524383876860758</v>
      </c>
      <c r="AA324" s="16">
        <f t="shared" si="121"/>
        <v>0.2971462415962175</v>
      </c>
      <c r="AB324" s="16">
        <f t="shared" si="104"/>
        <v>0.2054441642050969</v>
      </c>
      <c r="AC324" s="14">
        <f t="shared" si="125"/>
        <v>18.100183276334665</v>
      </c>
      <c r="AD324" s="16">
        <f t="shared" si="105"/>
        <v>0.26597586219039393</v>
      </c>
      <c r="AE324" s="16">
        <f t="shared" si="106"/>
        <v>0.13207246333846542</v>
      </c>
      <c r="AF324" s="23" t="str">
        <f t="shared" si="122"/>
        <v/>
      </c>
      <c r="AG324" s="23">
        <f t="shared" si="128"/>
        <v>1000</v>
      </c>
      <c r="AH324" s="23" t="str">
        <f t="shared" si="107"/>
        <v/>
      </c>
      <c r="AI324" s="23" t="str">
        <f t="shared" si="123"/>
        <v/>
      </c>
      <c r="AJ324" s="23" t="str">
        <f t="shared" si="108"/>
        <v/>
      </c>
      <c r="AK324" s="23" t="str">
        <f t="shared" si="109"/>
        <v/>
      </c>
      <c r="AL324" s="23" t="str">
        <f t="shared" si="110"/>
        <v/>
      </c>
      <c r="AM324" s="23" t="str">
        <f t="shared" si="111"/>
        <v/>
      </c>
      <c r="AN324" s="19">
        <f t="shared" si="112"/>
        <v>1000</v>
      </c>
      <c r="AO324" s="26">
        <f t="shared" si="113"/>
        <v>-887.7234995439984</v>
      </c>
    </row>
    <row r="325" spans="1:41" x14ac:dyDescent="0.2">
      <c r="A325" s="12">
        <v>44879</v>
      </c>
      <c r="B325" s="6">
        <v>14</v>
      </c>
      <c r="C325" s="6">
        <v>318</v>
      </c>
      <c r="D325" s="6">
        <v>2</v>
      </c>
      <c r="E325" s="6" t="s">
        <v>13</v>
      </c>
      <c r="F325" s="6">
        <v>46</v>
      </c>
      <c r="G325" s="6">
        <v>11</v>
      </c>
      <c r="H325" s="6" t="s">
        <v>27</v>
      </c>
      <c r="I325" s="6">
        <v>4</v>
      </c>
      <c r="J325" s="14">
        <v>14.812009070542366</v>
      </c>
      <c r="K325" s="14">
        <f t="shared" si="127"/>
        <v>14.812009070542366</v>
      </c>
      <c r="L325" s="14">
        <v>23.655743731861858</v>
      </c>
      <c r="M325" s="14">
        <f t="shared" si="114"/>
        <v>350.38909072676358</v>
      </c>
      <c r="N325" s="16">
        <v>1.0233087538833545</v>
      </c>
      <c r="O325" s="14">
        <f t="shared" si="115"/>
        <v>358.55622380592609</v>
      </c>
      <c r="P325" s="14">
        <f t="shared" si="116"/>
        <v>-8.167133079162511</v>
      </c>
      <c r="Q325" s="14">
        <v>33.803994817271231</v>
      </c>
      <c r="R325" s="14">
        <v>13.849697148706069</v>
      </c>
      <c r="S325" s="14">
        <f t="shared" si="103"/>
        <v>12.987012987012987</v>
      </c>
      <c r="T325" s="14">
        <v>44.481338406180967</v>
      </c>
      <c r="U325" s="14">
        <f t="shared" si="117"/>
        <v>245.27236350873449</v>
      </c>
      <c r="V325" s="14">
        <f t="shared" si="118"/>
        <v>16.5590206123033</v>
      </c>
      <c r="W325" s="14">
        <v>39.418288297688633</v>
      </c>
      <c r="X325" s="16">
        <f t="shared" si="119"/>
        <v>2.0414247683317073</v>
      </c>
      <c r="Y325" s="16">
        <f t="shared" si="124"/>
        <v>0.37576489772162169</v>
      </c>
      <c r="Z325" s="16">
        <f t="shared" si="120"/>
        <v>1.4618696484047924</v>
      </c>
      <c r="AA325" s="16">
        <f t="shared" si="121"/>
        <v>0.89449789437046112</v>
      </c>
      <c r="AB325" s="16">
        <f t="shared" si="104"/>
        <v>3.7064547186888223E-2</v>
      </c>
      <c r="AC325" s="14">
        <f t="shared" si="125"/>
        <v>16.5590206123033</v>
      </c>
      <c r="AD325" s="16">
        <f t="shared" si="105"/>
        <v>0.58546868387198281</v>
      </c>
      <c r="AE325" s="16">
        <f t="shared" si="106"/>
        <v>9.6475591597775731E-2</v>
      </c>
      <c r="AF325" s="23" t="str">
        <f t="shared" si="122"/>
        <v/>
      </c>
      <c r="AG325" s="23" t="str">
        <f t="shared" si="128"/>
        <v/>
      </c>
      <c r="AH325" s="23" t="str">
        <f t="shared" si="107"/>
        <v/>
      </c>
      <c r="AI325" s="23" t="str">
        <f t="shared" si="123"/>
        <v/>
      </c>
      <c r="AJ325" s="23" t="str">
        <f t="shared" si="108"/>
        <v/>
      </c>
      <c r="AK325" s="23" t="str">
        <f t="shared" si="109"/>
        <v/>
      </c>
      <c r="AL325" s="23" t="str">
        <f t="shared" si="110"/>
        <v/>
      </c>
      <c r="AM325" s="23" t="str">
        <f t="shared" si="111"/>
        <v/>
      </c>
      <c r="AN325" s="19">
        <f t="shared" si="112"/>
        <v>0</v>
      </c>
      <c r="AO325" s="26">
        <f t="shared" si="113"/>
        <v>-8.167133079162511</v>
      </c>
    </row>
    <row r="326" spans="1:41" x14ac:dyDescent="0.2">
      <c r="A326" s="12">
        <v>44880</v>
      </c>
      <c r="B326" s="6">
        <v>15</v>
      </c>
      <c r="C326" s="6">
        <v>319</v>
      </c>
      <c r="D326" s="6">
        <v>3</v>
      </c>
      <c r="E326" s="6" t="s">
        <v>14</v>
      </c>
      <c r="F326" s="6">
        <v>46</v>
      </c>
      <c r="G326" s="6">
        <v>11</v>
      </c>
      <c r="H326" s="6" t="s">
        <v>27</v>
      </c>
      <c r="I326" s="6">
        <v>4</v>
      </c>
      <c r="J326" s="14">
        <v>7.3517257409388996</v>
      </c>
      <c r="K326" s="14">
        <f t="shared" si="127"/>
        <v>7.3517257409388996</v>
      </c>
      <c r="L326" s="14">
        <v>36.542496067695801</v>
      </c>
      <c r="M326" s="14">
        <f t="shared" si="114"/>
        <v>268.65040897903776</v>
      </c>
      <c r="N326" s="16">
        <v>0.43525138489210968</v>
      </c>
      <c r="O326" s="14">
        <f t="shared" si="115"/>
        <v>116.93046255995785</v>
      </c>
      <c r="P326" s="14">
        <f t="shared" si="116"/>
        <v>151.71994641907992</v>
      </c>
      <c r="Q326" s="14">
        <v>29.453239393504006</v>
      </c>
      <c r="R326" s="14">
        <v>14.67348863606421</v>
      </c>
      <c r="S326" s="14">
        <f t="shared" si="103"/>
        <v>12.987012987012987</v>
      </c>
      <c r="T326" s="14">
        <v>37.930896075610349</v>
      </c>
      <c r="U326" s="14">
        <f t="shared" si="117"/>
        <v>188.05528628532642</v>
      </c>
      <c r="V326" s="14">
        <f t="shared" si="118"/>
        <v>25.579747247387061</v>
      </c>
      <c r="W326" s="14">
        <v>37.596505075197676</v>
      </c>
      <c r="X326" s="16">
        <f t="shared" si="119"/>
        <v>1.1514280852213119</v>
      </c>
      <c r="Y326" s="16">
        <f t="shared" si="124"/>
        <v>0.19554279649756104</v>
      </c>
      <c r="Z326" s="16">
        <f t="shared" si="120"/>
        <v>0.62178769270301393</v>
      </c>
      <c r="AA326" s="16">
        <f t="shared" si="121"/>
        <v>0.28740415883858544</v>
      </c>
      <c r="AB326" s="16">
        <f t="shared" si="104"/>
        <v>4.8341683291561029E-2</v>
      </c>
      <c r="AC326" s="14">
        <f t="shared" si="125"/>
        <v>25.579747247387061</v>
      </c>
      <c r="AD326" s="16">
        <f t="shared" si="105"/>
        <v>0.40154587713114182</v>
      </c>
      <c r="AE326" s="16">
        <f t="shared" si="106"/>
        <v>0.10963407614169007</v>
      </c>
      <c r="AF326" s="23" t="str">
        <f t="shared" si="122"/>
        <v/>
      </c>
      <c r="AG326" s="23" t="str">
        <f t="shared" si="128"/>
        <v/>
      </c>
      <c r="AH326" s="23">
        <f t="shared" si="107"/>
        <v>300</v>
      </c>
      <c r="AI326" s="23" t="str">
        <f t="shared" si="123"/>
        <v/>
      </c>
      <c r="AJ326" s="23" t="str">
        <f t="shared" si="108"/>
        <v/>
      </c>
      <c r="AK326" s="23" t="str">
        <f t="shared" si="109"/>
        <v/>
      </c>
      <c r="AL326" s="23" t="str">
        <f t="shared" si="110"/>
        <v/>
      </c>
      <c r="AM326" s="23" t="str">
        <f t="shared" si="111"/>
        <v/>
      </c>
      <c r="AN326" s="19">
        <f t="shared" si="112"/>
        <v>300</v>
      </c>
      <c r="AO326" s="26">
        <f t="shared" si="113"/>
        <v>-148.28005358092008</v>
      </c>
    </row>
    <row r="327" spans="1:41" x14ac:dyDescent="0.2">
      <c r="A327" s="12">
        <v>44881</v>
      </c>
      <c r="B327" s="6">
        <v>16</v>
      </c>
      <c r="C327" s="6">
        <v>320</v>
      </c>
      <c r="D327" s="6">
        <v>4</v>
      </c>
      <c r="E327" s="6" t="s">
        <v>15</v>
      </c>
      <c r="F327" s="6">
        <v>46</v>
      </c>
      <c r="G327" s="6">
        <v>11</v>
      </c>
      <c r="H327" s="6" t="s">
        <v>27</v>
      </c>
      <c r="I327" s="6">
        <v>4</v>
      </c>
      <c r="J327" s="14">
        <v>14.044186374919555</v>
      </c>
      <c r="K327" s="14">
        <f t="shared" si="127"/>
        <v>14.044186374919555</v>
      </c>
      <c r="L327" s="14">
        <v>54.34816739035189</v>
      </c>
      <c r="M327" s="14">
        <f t="shared" si="114"/>
        <v>763.27579196542729</v>
      </c>
      <c r="N327" s="16">
        <v>0.53596769323724802</v>
      </c>
      <c r="O327" s="14">
        <f t="shared" si="115"/>
        <v>409.09116552354368</v>
      </c>
      <c r="P327" s="14">
        <f t="shared" si="116"/>
        <v>354.18462644188361</v>
      </c>
      <c r="Q327" s="14">
        <v>42.889033648583968</v>
      </c>
      <c r="R327" s="14">
        <v>20.155393858457799</v>
      </c>
      <c r="S327" s="14">
        <f t="shared" si="103"/>
        <v>12.987012987012987</v>
      </c>
      <c r="T327" s="14">
        <v>28.156766366579937</v>
      </c>
      <c r="U327" s="14">
        <f t="shared" si="117"/>
        <v>534.2930543757991</v>
      </c>
      <c r="V327" s="14">
        <f t="shared" si="118"/>
        <v>38.043717173246321</v>
      </c>
      <c r="W327" s="14">
        <v>37.050424683391547</v>
      </c>
      <c r="X327" s="16">
        <f t="shared" si="119"/>
        <v>1.1273618046646883</v>
      </c>
      <c r="Y327" s="16">
        <f t="shared" si="124"/>
        <v>0.3790560160897451</v>
      </c>
      <c r="Z327" s="16">
        <f t="shared" si="120"/>
        <v>0.76566813319606863</v>
      </c>
      <c r="AA327" s="16">
        <f t="shared" si="121"/>
        <v>0.36915915211345118</v>
      </c>
      <c r="AB327" s="16">
        <f t="shared" si="104"/>
        <v>1.7014836738856294E-2</v>
      </c>
      <c r="AC327" s="14">
        <f t="shared" si="125"/>
        <v>38.043717173246321</v>
      </c>
      <c r="AD327" s="16">
        <f t="shared" si="105"/>
        <v>0.37085691802067766</v>
      </c>
      <c r="AE327" s="16">
        <f t="shared" si="106"/>
        <v>5.6190742717183717E-2</v>
      </c>
      <c r="AF327" s="23" t="str">
        <f t="shared" si="122"/>
        <v/>
      </c>
      <c r="AG327" s="23" t="str">
        <f t="shared" si="128"/>
        <v/>
      </c>
      <c r="AH327" s="23" t="str">
        <f t="shared" si="107"/>
        <v/>
      </c>
      <c r="AI327" s="23" t="str">
        <f t="shared" si="123"/>
        <v/>
      </c>
      <c r="AJ327" s="23" t="str">
        <f t="shared" si="108"/>
        <v/>
      </c>
      <c r="AK327" s="23" t="str">
        <f t="shared" si="109"/>
        <v/>
      </c>
      <c r="AL327" s="23" t="str">
        <f t="shared" si="110"/>
        <v/>
      </c>
      <c r="AM327" s="23" t="str">
        <f t="shared" si="111"/>
        <v/>
      </c>
      <c r="AN327" s="19">
        <f t="shared" si="112"/>
        <v>0</v>
      </c>
      <c r="AO327" s="26">
        <f t="shared" si="113"/>
        <v>354.18462644188361</v>
      </c>
    </row>
    <row r="328" spans="1:41" x14ac:dyDescent="0.2">
      <c r="A328" s="12">
        <v>44882</v>
      </c>
      <c r="B328" s="6">
        <v>17</v>
      </c>
      <c r="C328" s="6">
        <v>321</v>
      </c>
      <c r="D328" s="6">
        <v>5</v>
      </c>
      <c r="E328" s="6" t="s">
        <v>16</v>
      </c>
      <c r="F328" s="6">
        <v>46</v>
      </c>
      <c r="G328" s="6">
        <v>11</v>
      </c>
      <c r="H328" s="6" t="s">
        <v>27</v>
      </c>
      <c r="I328" s="6">
        <v>4</v>
      </c>
      <c r="J328" s="14">
        <v>6.3662642575850743</v>
      </c>
      <c r="K328" s="14">
        <f t="shared" si="127"/>
        <v>6.3662642575850743</v>
      </c>
      <c r="L328" s="14">
        <v>71.725862787937686</v>
      </c>
      <c r="M328" s="14">
        <f t="shared" si="114"/>
        <v>456.62579661129899</v>
      </c>
      <c r="N328" s="16">
        <v>0.52275855981647934</v>
      </c>
      <c r="O328" s="14">
        <f t="shared" si="115"/>
        <v>238.70504381157528</v>
      </c>
      <c r="P328" s="14">
        <f t="shared" si="116"/>
        <v>217.92075279972372</v>
      </c>
      <c r="Q328" s="14">
        <v>26.134995315409359</v>
      </c>
      <c r="R328" s="14">
        <v>19.881917959061838</v>
      </c>
      <c r="S328" s="14">
        <f t="shared" ref="S328:S373" si="129">IF(E328=$AG$6,$S$2/5,$S$2/11)</f>
        <v>12.987012987012987</v>
      </c>
      <c r="T328" s="14">
        <v>31.817675572022576</v>
      </c>
      <c r="U328" s="14">
        <f t="shared" si="117"/>
        <v>319.63805762790929</v>
      </c>
      <c r="V328" s="14">
        <f t="shared" si="118"/>
        <v>50.208103951556375</v>
      </c>
      <c r="W328" s="14">
        <v>30.145028394964271</v>
      </c>
      <c r="X328" s="16">
        <f t="shared" si="119"/>
        <v>0.52053340513766233</v>
      </c>
      <c r="Y328" s="16">
        <f t="shared" si="124"/>
        <v>0.21118786733830244</v>
      </c>
      <c r="Z328" s="16">
        <f t="shared" si="120"/>
        <v>0.74679794259497057</v>
      </c>
      <c r="AA328" s="16">
        <f t="shared" si="121"/>
        <v>0.12679754375364596</v>
      </c>
      <c r="AB328" s="16">
        <f t="shared" ref="AB328:AB373" si="130">S328/M328</f>
        <v>2.8441259962516164E-2</v>
      </c>
      <c r="AC328" s="14">
        <f t="shared" si="125"/>
        <v>50.208103951556375</v>
      </c>
      <c r="AD328" s="16">
        <f t="shared" ref="AD328:AD373" si="131">R328/L328</f>
        <v>0.27719315162292379</v>
      </c>
      <c r="AE328" s="16">
        <f t="shared" ref="AE328:AE373" si="132">Q328/M328</f>
        <v>5.7235039083121879E-2</v>
      </c>
      <c r="AF328" s="23" t="str">
        <f t="shared" si="122"/>
        <v/>
      </c>
      <c r="AG328" s="23" t="str">
        <f t="shared" si="128"/>
        <v/>
      </c>
      <c r="AH328" s="23" t="str">
        <f t="shared" ref="AH328:AH373" si="133">IF(B328=$AH$6,$AH$5,"")</f>
        <v/>
      </c>
      <c r="AI328" s="23" t="str">
        <f t="shared" si="123"/>
        <v/>
      </c>
      <c r="AJ328" s="23" t="str">
        <f t="shared" ref="AJ328:AJ373" si="134">IF($B328=$AJ$6,$AJ$5,"")</f>
        <v/>
      </c>
      <c r="AK328" s="23" t="str">
        <f t="shared" ref="AK328:AK373" si="135">IF($B328=$AK$6,$AK$5,"")</f>
        <v/>
      </c>
      <c r="AL328" s="23" t="str">
        <f t="shared" ref="AL328:AL373" si="136">IF($B328=$AL$6,$AL$5,"")</f>
        <v/>
      </c>
      <c r="AM328" s="23" t="str">
        <f t="shared" ref="AM328:AM373" si="137">IF($B328=$AM$6,$AM$5,"")</f>
        <v/>
      </c>
      <c r="AN328" s="19">
        <f t="shared" ref="AN328:AN373" si="138">SUM(AF328:AM328)</f>
        <v>0</v>
      </c>
      <c r="AO328" s="26">
        <f t="shared" ref="AO328:AO373" si="139">P328-AN328</f>
        <v>217.92075279972372</v>
      </c>
    </row>
    <row r="329" spans="1:41" x14ac:dyDescent="0.2">
      <c r="A329" s="12">
        <v>44883</v>
      </c>
      <c r="B329" s="6">
        <v>18</v>
      </c>
      <c r="C329" s="6">
        <v>322</v>
      </c>
      <c r="D329" s="6">
        <v>6</v>
      </c>
      <c r="E329" s="6" t="s">
        <v>17</v>
      </c>
      <c r="F329" s="6">
        <v>46</v>
      </c>
      <c r="G329" s="6">
        <v>11</v>
      </c>
      <c r="H329" s="6" t="s">
        <v>27</v>
      </c>
      <c r="I329" s="6">
        <v>4</v>
      </c>
      <c r="J329" s="14">
        <v>17.529371644383019</v>
      </c>
      <c r="K329" s="14">
        <f t="shared" si="127"/>
        <v>17.529371644383019</v>
      </c>
      <c r="L329" s="14">
        <v>33.256425477243432</v>
      </c>
      <c r="M329" s="14">
        <f t="shared" ref="M329:M373" si="140">K329*L329</f>
        <v>582.96424175432799</v>
      </c>
      <c r="N329" s="16">
        <v>0.61014667340928119</v>
      </c>
      <c r="O329" s="14">
        <f t="shared" ref="O329:O373" si="141">M329*N329</f>
        <v>355.69369282296719</v>
      </c>
      <c r="P329" s="14">
        <f t="shared" ref="P329:P373" si="142">M329-O329</f>
        <v>227.27054893136079</v>
      </c>
      <c r="Q329" s="14">
        <v>50.235738539848597</v>
      </c>
      <c r="R329" s="14">
        <v>26.283874350973274</v>
      </c>
      <c r="S329" s="14">
        <f t="shared" si="129"/>
        <v>12.987012987012987</v>
      </c>
      <c r="T329" s="14">
        <v>26.714752368725676</v>
      </c>
      <c r="U329" s="14">
        <f t="shared" ref="U329:U373" si="143">M329*0.7</f>
        <v>408.07496922802954</v>
      </c>
      <c r="V329" s="14">
        <f t="shared" ref="V329:V373" si="144">U329/K329</f>
        <v>23.279497834070398</v>
      </c>
      <c r="W329" s="14">
        <v>32.390260998320521</v>
      </c>
      <c r="X329" s="16">
        <f t="shared" ref="X329:X373" si="145">Q329/V329</f>
        <v>2.157939097222568</v>
      </c>
      <c r="Y329" s="16">
        <f t="shared" si="124"/>
        <v>0.54119266421755419</v>
      </c>
      <c r="Z329" s="16">
        <f t="shared" ref="Z329:Z373" si="146">O329/U329</f>
        <v>0.87163810487040172</v>
      </c>
      <c r="AA329" s="16">
        <f t="shared" ref="AA329:AA373" si="147">K329/V329</f>
        <v>0.75299612428615803</v>
      </c>
      <c r="AB329" s="16">
        <f t="shared" si="130"/>
        <v>2.2277546471685578E-2</v>
      </c>
      <c r="AC329" s="14">
        <f t="shared" si="125"/>
        <v>23.279497834070398</v>
      </c>
      <c r="AD329" s="16">
        <f t="shared" si="131"/>
        <v>0.79033973055699247</v>
      </c>
      <c r="AE329" s="16">
        <f t="shared" si="132"/>
        <v>8.6172932989291087E-2</v>
      </c>
      <c r="AF329" s="23" t="str">
        <f t="shared" ref="AF329:AF373" si="148">IF(B329=$AF$6,$AF$5, "")</f>
        <v/>
      </c>
      <c r="AG329" s="23" t="str">
        <f t="shared" si="128"/>
        <v/>
      </c>
      <c r="AH329" s="23" t="str">
        <f t="shared" si="133"/>
        <v/>
      </c>
      <c r="AI329" s="23" t="str">
        <f t="shared" ref="AI329:AI373" si="149">IF(B329=$AI$6,$AI$5,"")</f>
        <v/>
      </c>
      <c r="AJ329" s="23" t="str">
        <f t="shared" si="134"/>
        <v/>
      </c>
      <c r="AK329" s="23" t="str">
        <f t="shared" si="135"/>
        <v/>
      </c>
      <c r="AL329" s="23" t="str">
        <f t="shared" si="136"/>
        <v/>
      </c>
      <c r="AM329" s="23" t="str">
        <f t="shared" si="137"/>
        <v/>
      </c>
      <c r="AN329" s="19">
        <f t="shared" si="138"/>
        <v>0</v>
      </c>
      <c r="AO329" s="26">
        <f t="shared" si="139"/>
        <v>227.27054893136079</v>
      </c>
    </row>
    <row r="330" spans="1:41" x14ac:dyDescent="0.2">
      <c r="A330" s="12">
        <v>44884</v>
      </c>
      <c r="B330" s="6">
        <v>19</v>
      </c>
      <c r="C330" s="6">
        <v>323</v>
      </c>
      <c r="D330" s="6">
        <v>7</v>
      </c>
      <c r="E330" s="6" t="s">
        <v>10</v>
      </c>
      <c r="F330" s="6">
        <v>46</v>
      </c>
      <c r="G330" s="6">
        <v>11</v>
      </c>
      <c r="H330" s="6" t="s">
        <v>27</v>
      </c>
      <c r="I330" s="6">
        <v>4</v>
      </c>
      <c r="J330" s="14">
        <v>21.118571432854871</v>
      </c>
      <c r="K330" s="14">
        <f t="shared" si="127"/>
        <v>21.118571432854871</v>
      </c>
      <c r="L330" s="14">
        <v>24.343161532148496</v>
      </c>
      <c r="M330" s="14">
        <f t="shared" si="140"/>
        <v>514.09279571820286</v>
      </c>
      <c r="N330" s="16">
        <v>0.52479712939706114</v>
      </c>
      <c r="O330" s="14">
        <f t="shared" si="141"/>
        <v>269.79442343662265</v>
      </c>
      <c r="P330" s="14">
        <f t="shared" si="142"/>
        <v>244.29837228158021</v>
      </c>
      <c r="Q330" s="14">
        <v>28.577143479279062</v>
      </c>
      <c r="R330" s="14">
        <v>18.995574018383778</v>
      </c>
      <c r="S330" s="14">
        <f t="shared" si="129"/>
        <v>12.987012987012987</v>
      </c>
      <c r="T330" s="14">
        <v>33.377946199950919</v>
      </c>
      <c r="U330" s="14">
        <f t="shared" si="143"/>
        <v>359.86495700274196</v>
      </c>
      <c r="V330" s="14">
        <f t="shared" si="144"/>
        <v>17.040213072503946</v>
      </c>
      <c r="W330" s="14">
        <v>32.033624528007131</v>
      </c>
      <c r="X330" s="16">
        <f t="shared" si="145"/>
        <v>1.6770414406021181</v>
      </c>
      <c r="Y330" s="16">
        <f t="shared" ref="Y330:Y373" si="150">K330/W330</f>
        <v>0.6592626261942609</v>
      </c>
      <c r="Z330" s="16">
        <f t="shared" si="146"/>
        <v>0.74971018485294461</v>
      </c>
      <c r="AA330" s="16">
        <f t="shared" si="147"/>
        <v>1.2393372866288719</v>
      </c>
      <c r="AB330" s="16">
        <f t="shared" si="130"/>
        <v>2.5262001520308691E-2</v>
      </c>
      <c r="AC330" s="14">
        <f t="shared" ref="AC330:AC373" si="151">U330/K330</f>
        <v>17.040213072503946</v>
      </c>
      <c r="AD330" s="16">
        <f t="shared" si="131"/>
        <v>0.78032485605033297</v>
      </c>
      <c r="AE330" s="16">
        <f t="shared" si="132"/>
        <v>5.5587519835511301E-2</v>
      </c>
      <c r="AF330" s="23" t="str">
        <f t="shared" si="148"/>
        <v/>
      </c>
      <c r="AG330" s="23" t="str">
        <f t="shared" si="128"/>
        <v/>
      </c>
      <c r="AH330" s="23" t="str">
        <f t="shared" si="133"/>
        <v/>
      </c>
      <c r="AI330" s="23" t="str">
        <f t="shared" si="149"/>
        <v/>
      </c>
      <c r="AJ330" s="23" t="str">
        <f t="shared" si="134"/>
        <v/>
      </c>
      <c r="AK330" s="23" t="str">
        <f t="shared" si="135"/>
        <v/>
      </c>
      <c r="AL330" s="23" t="str">
        <f t="shared" si="136"/>
        <v/>
      </c>
      <c r="AM330" s="23" t="str">
        <f t="shared" si="137"/>
        <v/>
      </c>
      <c r="AN330" s="19">
        <f t="shared" si="138"/>
        <v>0</v>
      </c>
      <c r="AO330" s="26">
        <f t="shared" si="139"/>
        <v>244.29837228158021</v>
      </c>
    </row>
    <row r="331" spans="1:41" x14ac:dyDescent="0.2">
      <c r="A331" s="12">
        <v>44885</v>
      </c>
      <c r="B331" s="6">
        <v>20</v>
      </c>
      <c r="C331" s="6">
        <v>324</v>
      </c>
      <c r="D331" s="6">
        <v>1</v>
      </c>
      <c r="E331" s="6" t="s">
        <v>12</v>
      </c>
      <c r="F331" s="6">
        <v>47</v>
      </c>
      <c r="G331" s="6">
        <v>11</v>
      </c>
      <c r="H331" s="6" t="s">
        <v>27</v>
      </c>
      <c r="I331" s="6">
        <v>4</v>
      </c>
      <c r="J331" s="14">
        <v>3.8578575388526684</v>
      </c>
      <c r="K331" s="14">
        <f t="shared" si="127"/>
        <v>3.8578575388526684</v>
      </c>
      <c r="L331" s="14">
        <v>26.617637779289758</v>
      </c>
      <c r="M331" s="14">
        <f t="shared" si="140"/>
        <v>102.68705457328259</v>
      </c>
      <c r="N331" s="16">
        <v>0.23930573947930686</v>
      </c>
      <c r="O331" s="14">
        <f t="shared" si="141"/>
        <v>24.573601529611331</v>
      </c>
      <c r="P331" s="14">
        <f t="shared" si="142"/>
        <v>78.113453043671257</v>
      </c>
      <c r="Q331" s="14">
        <v>18.558333916619073</v>
      </c>
      <c r="R331" s="14">
        <v>7.6371182488185942</v>
      </c>
      <c r="S331" s="14">
        <f t="shared" si="129"/>
        <v>28.571428571428573</v>
      </c>
      <c r="T331" s="14">
        <v>17.122816101221485</v>
      </c>
      <c r="U331" s="14">
        <f t="shared" si="143"/>
        <v>71.880938201297809</v>
      </c>
      <c r="V331" s="14">
        <f t="shared" si="144"/>
        <v>18.632346445502829</v>
      </c>
      <c r="W331" s="14">
        <v>16.697090306745274</v>
      </c>
      <c r="X331" s="16">
        <f t="shared" si="145"/>
        <v>0.99602773976427317</v>
      </c>
      <c r="Y331" s="16">
        <f t="shared" si="150"/>
        <v>0.23104968997467631</v>
      </c>
      <c r="Z331" s="16">
        <f t="shared" si="146"/>
        <v>0.34186534211329556</v>
      </c>
      <c r="AA331" s="16">
        <f t="shared" si="147"/>
        <v>0.20705162122958565</v>
      </c>
      <c r="AB331" s="16">
        <f t="shared" si="130"/>
        <v>0.27823788198188681</v>
      </c>
      <c r="AC331" s="14">
        <f t="shared" si="151"/>
        <v>18.632346445502829</v>
      </c>
      <c r="AD331" s="16">
        <f t="shared" si="131"/>
        <v>0.28691945965095239</v>
      </c>
      <c r="AE331" s="16">
        <f t="shared" si="132"/>
        <v>0.18072710327254465</v>
      </c>
      <c r="AF331" s="23" t="str">
        <f t="shared" si="148"/>
        <v/>
      </c>
      <c r="AG331" s="23">
        <f t="shared" si="128"/>
        <v>1000</v>
      </c>
      <c r="AH331" s="23" t="str">
        <f t="shared" si="133"/>
        <v/>
      </c>
      <c r="AI331" s="23" t="str">
        <f t="shared" si="149"/>
        <v/>
      </c>
      <c r="AJ331" s="23">
        <f t="shared" si="134"/>
        <v>100</v>
      </c>
      <c r="AK331" s="23" t="str">
        <f t="shared" si="135"/>
        <v/>
      </c>
      <c r="AL331" s="23" t="str">
        <f t="shared" si="136"/>
        <v/>
      </c>
      <c r="AM331" s="23" t="str">
        <f t="shared" si="137"/>
        <v/>
      </c>
      <c r="AN331" s="19">
        <f t="shared" si="138"/>
        <v>1100</v>
      </c>
      <c r="AO331" s="26">
        <f t="shared" si="139"/>
        <v>-1021.8865469563287</v>
      </c>
    </row>
    <row r="332" spans="1:41" x14ac:dyDescent="0.2">
      <c r="A332" s="12">
        <v>44886</v>
      </c>
      <c r="B332" s="6">
        <v>21</v>
      </c>
      <c r="C332" s="6">
        <v>325</v>
      </c>
      <c r="D332" s="6">
        <v>2</v>
      </c>
      <c r="E332" s="6" t="s">
        <v>13</v>
      </c>
      <c r="F332" s="6">
        <v>47</v>
      </c>
      <c r="G332" s="6">
        <v>11</v>
      </c>
      <c r="H332" s="6" t="s">
        <v>27</v>
      </c>
      <c r="I332" s="6">
        <v>4</v>
      </c>
      <c r="J332" s="14">
        <v>25.319485380825363</v>
      </c>
      <c r="K332" s="14">
        <f t="shared" si="127"/>
        <v>25.319485380825363</v>
      </c>
      <c r="L332" s="14">
        <v>37.289910154580397</v>
      </c>
      <c r="M332" s="14">
        <f t="shared" si="140"/>
        <v>944.16133501118964</v>
      </c>
      <c r="N332" s="16">
        <v>0.67754052300373691</v>
      </c>
      <c r="O332" s="14">
        <f t="shared" si="141"/>
        <v>639.70756472338792</v>
      </c>
      <c r="P332" s="14">
        <f t="shared" si="142"/>
        <v>304.45377028780172</v>
      </c>
      <c r="Q332" s="14">
        <v>39.152773305669221</v>
      </c>
      <c r="R332" s="14">
        <v>10.408570747692131</v>
      </c>
      <c r="S332" s="14">
        <f t="shared" si="129"/>
        <v>12.987012987012987</v>
      </c>
      <c r="T332" s="14">
        <v>38.586242150565816</v>
      </c>
      <c r="U332" s="14">
        <f t="shared" si="143"/>
        <v>660.91293450783269</v>
      </c>
      <c r="V332" s="14">
        <f t="shared" si="144"/>
        <v>26.102937108206277</v>
      </c>
      <c r="W332" s="14">
        <v>36.283306722541617</v>
      </c>
      <c r="X332" s="16">
        <f t="shared" si="145"/>
        <v>1.4999374646372772</v>
      </c>
      <c r="Y332" s="16">
        <f t="shared" si="150"/>
        <v>0.69782739413591555</v>
      </c>
      <c r="Z332" s="16">
        <f t="shared" si="146"/>
        <v>0.96791503286248148</v>
      </c>
      <c r="AA332" s="16">
        <f t="shared" si="147"/>
        <v>0.96998606999154091</v>
      </c>
      <c r="AB332" s="16">
        <f t="shared" si="130"/>
        <v>1.3755078189956881E-2</v>
      </c>
      <c r="AC332" s="14">
        <f t="shared" si="151"/>
        <v>26.102937108206277</v>
      </c>
      <c r="AD332" s="16">
        <f t="shared" si="131"/>
        <v>0.279125659046771</v>
      </c>
      <c r="AE332" s="16">
        <f t="shared" si="132"/>
        <v>4.1468308279331526E-2</v>
      </c>
      <c r="AF332" s="23" t="str">
        <f t="shared" si="148"/>
        <v/>
      </c>
      <c r="AG332" s="23" t="str">
        <f t="shared" si="128"/>
        <v/>
      </c>
      <c r="AH332" s="23" t="str">
        <f t="shared" si="133"/>
        <v/>
      </c>
      <c r="AI332" s="23" t="str">
        <f t="shared" si="149"/>
        <v/>
      </c>
      <c r="AJ332" s="23" t="str">
        <f t="shared" si="134"/>
        <v/>
      </c>
      <c r="AK332" s="23" t="str">
        <f t="shared" si="135"/>
        <v/>
      </c>
      <c r="AL332" s="23" t="str">
        <f t="shared" si="136"/>
        <v/>
      </c>
      <c r="AM332" s="23" t="str">
        <f t="shared" si="137"/>
        <v/>
      </c>
      <c r="AN332" s="19">
        <f t="shared" si="138"/>
        <v>0</v>
      </c>
      <c r="AO332" s="26">
        <f t="shared" si="139"/>
        <v>304.45377028780172</v>
      </c>
    </row>
    <row r="333" spans="1:41" x14ac:dyDescent="0.2">
      <c r="A333" s="12">
        <v>44887</v>
      </c>
      <c r="B333" s="6">
        <v>22</v>
      </c>
      <c r="C333" s="6">
        <v>326</v>
      </c>
      <c r="D333" s="6">
        <v>3</v>
      </c>
      <c r="E333" s="6" t="s">
        <v>14</v>
      </c>
      <c r="F333" s="6">
        <v>47</v>
      </c>
      <c r="G333" s="6">
        <v>11</v>
      </c>
      <c r="H333" s="6" t="s">
        <v>27</v>
      </c>
      <c r="I333" s="6">
        <v>4</v>
      </c>
      <c r="J333" s="14">
        <v>24.237410193766618</v>
      </c>
      <c r="K333" s="14">
        <f t="shared" si="127"/>
        <v>24.237410193766618</v>
      </c>
      <c r="L333" s="14">
        <v>7.5770284266562591</v>
      </c>
      <c r="M333" s="14">
        <f t="shared" si="140"/>
        <v>183.64754602669785</v>
      </c>
      <c r="N333" s="16">
        <v>0.56313850276401578</v>
      </c>
      <c r="O333" s="14">
        <f t="shared" si="141"/>
        <v>103.41900410576031</v>
      </c>
      <c r="P333" s="14">
        <f t="shared" si="142"/>
        <v>80.228541920937545</v>
      </c>
      <c r="Q333" s="14">
        <v>41.338720634017704</v>
      </c>
      <c r="R333" s="14">
        <v>17.526777847403533</v>
      </c>
      <c r="S333" s="14">
        <f t="shared" si="129"/>
        <v>12.987012987012987</v>
      </c>
      <c r="T333" s="14">
        <v>39.877414898454127</v>
      </c>
      <c r="U333" s="14">
        <f t="shared" si="143"/>
        <v>128.55328221868848</v>
      </c>
      <c r="V333" s="14">
        <f t="shared" si="144"/>
        <v>5.3039198986593812</v>
      </c>
      <c r="W333" s="14">
        <v>27.551939642945594</v>
      </c>
      <c r="X333" s="16">
        <f t="shared" si="145"/>
        <v>7.793994144682781</v>
      </c>
      <c r="Y333" s="16">
        <f t="shared" si="150"/>
        <v>0.87969887085508225</v>
      </c>
      <c r="Z333" s="16">
        <f t="shared" si="146"/>
        <v>0.80448357537716553</v>
      </c>
      <c r="AA333" s="16">
        <f t="shared" si="147"/>
        <v>4.5697164845745251</v>
      </c>
      <c r="AB333" s="16">
        <f t="shared" si="130"/>
        <v>7.0717051591448948E-2</v>
      </c>
      <c r="AC333" s="14">
        <f t="shared" si="151"/>
        <v>5.3039198986593812</v>
      </c>
      <c r="AD333" s="16">
        <f t="shared" si="131"/>
        <v>2.3131466401450598</v>
      </c>
      <c r="AE333" s="16">
        <f t="shared" si="132"/>
        <v>0.22509813786462504</v>
      </c>
      <c r="AF333" s="23" t="str">
        <f t="shared" si="148"/>
        <v/>
      </c>
      <c r="AG333" s="23" t="str">
        <f t="shared" si="128"/>
        <v/>
      </c>
      <c r="AH333" s="23" t="str">
        <f t="shared" si="133"/>
        <v/>
      </c>
      <c r="AI333" s="23" t="str">
        <f t="shared" si="149"/>
        <v/>
      </c>
      <c r="AJ333" s="23" t="str">
        <f t="shared" si="134"/>
        <v/>
      </c>
      <c r="AK333" s="23" t="str">
        <f t="shared" si="135"/>
        <v/>
      </c>
      <c r="AL333" s="23" t="str">
        <f t="shared" si="136"/>
        <v/>
      </c>
      <c r="AM333" s="23" t="str">
        <f t="shared" si="137"/>
        <v/>
      </c>
      <c r="AN333" s="19">
        <f t="shared" si="138"/>
        <v>0</v>
      </c>
      <c r="AO333" s="26">
        <f t="shared" si="139"/>
        <v>80.228541920937545</v>
      </c>
    </row>
    <row r="334" spans="1:41" x14ac:dyDescent="0.2">
      <c r="A334" s="12">
        <v>44888</v>
      </c>
      <c r="B334" s="6">
        <v>23</v>
      </c>
      <c r="C334" s="6">
        <v>327</v>
      </c>
      <c r="D334" s="6">
        <v>4</v>
      </c>
      <c r="E334" s="6" t="s">
        <v>15</v>
      </c>
      <c r="F334" s="6">
        <v>47</v>
      </c>
      <c r="G334" s="6">
        <v>11</v>
      </c>
      <c r="H334" s="6" t="s">
        <v>27</v>
      </c>
      <c r="I334" s="6">
        <v>4</v>
      </c>
      <c r="J334" s="14">
        <v>12.79518802888494</v>
      </c>
      <c r="K334" s="14">
        <f t="shared" si="127"/>
        <v>12.79518802888494</v>
      </c>
      <c r="L334" s="14">
        <v>91.974932534220159</v>
      </c>
      <c r="M334" s="14">
        <f t="shared" si="140"/>
        <v>1176.8365557193538</v>
      </c>
      <c r="N334" s="16">
        <v>0.57380557983011393</v>
      </c>
      <c r="O334" s="14">
        <f t="shared" si="141"/>
        <v>675.27538221981797</v>
      </c>
      <c r="P334" s="14">
        <f t="shared" si="142"/>
        <v>501.56117349953581</v>
      </c>
      <c r="Q334" s="14">
        <v>43.531823277714857</v>
      </c>
      <c r="R334" s="14">
        <v>12.226457896739639</v>
      </c>
      <c r="S334" s="14">
        <f t="shared" si="129"/>
        <v>12.987012987012987</v>
      </c>
      <c r="T334" s="14">
        <v>38.211533645544229</v>
      </c>
      <c r="U334" s="14">
        <f t="shared" si="143"/>
        <v>823.78558900354756</v>
      </c>
      <c r="V334" s="14">
        <f t="shared" si="144"/>
        <v>64.3824527739541</v>
      </c>
      <c r="W334" s="14">
        <v>32.218049652479607</v>
      </c>
      <c r="X334" s="16">
        <f t="shared" si="145"/>
        <v>0.67614421945921332</v>
      </c>
      <c r="Y334" s="16">
        <f t="shared" si="150"/>
        <v>0.3971434697910145</v>
      </c>
      <c r="Z334" s="16">
        <f t="shared" si="146"/>
        <v>0.81972225690016287</v>
      </c>
      <c r="AA334" s="16">
        <f t="shared" si="147"/>
        <v>0.19873719433785272</v>
      </c>
      <c r="AB334" s="16">
        <f t="shared" si="130"/>
        <v>1.1035528191146763E-2</v>
      </c>
      <c r="AC334" s="14">
        <f t="shared" si="151"/>
        <v>64.3824527739541</v>
      </c>
      <c r="AD334" s="16">
        <f t="shared" si="131"/>
        <v>0.13293250193133513</v>
      </c>
      <c r="AE334" s="16">
        <f t="shared" si="132"/>
        <v>3.6990543050479573E-2</v>
      </c>
      <c r="AF334" s="23" t="str">
        <f t="shared" si="148"/>
        <v/>
      </c>
      <c r="AG334" s="23" t="str">
        <f t="shared" si="128"/>
        <v/>
      </c>
      <c r="AH334" s="23" t="str">
        <f t="shared" si="133"/>
        <v/>
      </c>
      <c r="AI334" s="23" t="str">
        <f t="shared" si="149"/>
        <v/>
      </c>
      <c r="AJ334" s="23" t="str">
        <f t="shared" si="134"/>
        <v/>
      </c>
      <c r="AK334" s="23" t="str">
        <f t="shared" si="135"/>
        <v/>
      </c>
      <c r="AL334" s="23" t="str">
        <f t="shared" si="136"/>
        <v/>
      </c>
      <c r="AM334" s="23" t="str">
        <f t="shared" si="137"/>
        <v/>
      </c>
      <c r="AN334" s="19">
        <f t="shared" si="138"/>
        <v>0</v>
      </c>
      <c r="AO334" s="26">
        <f t="shared" si="139"/>
        <v>501.56117349953581</v>
      </c>
    </row>
    <row r="335" spans="1:41" x14ac:dyDescent="0.2">
      <c r="A335" s="12">
        <v>44889</v>
      </c>
      <c r="B335" s="6">
        <v>24</v>
      </c>
      <c r="C335" s="6">
        <v>328</v>
      </c>
      <c r="D335" s="6">
        <v>5</v>
      </c>
      <c r="E335" s="6" t="s">
        <v>16</v>
      </c>
      <c r="F335" s="6">
        <v>47</v>
      </c>
      <c r="G335" s="6">
        <v>11</v>
      </c>
      <c r="H335" s="6" t="s">
        <v>27</v>
      </c>
      <c r="I335" s="6">
        <v>4</v>
      </c>
      <c r="J335" s="14">
        <v>20.642755519751727</v>
      </c>
      <c r="K335" s="14">
        <f t="shared" si="127"/>
        <v>20.642755519751727</v>
      </c>
      <c r="L335" s="14">
        <v>51.339987111672087</v>
      </c>
      <c r="M335" s="14">
        <f t="shared" si="140"/>
        <v>1059.7988023334515</v>
      </c>
      <c r="N335" s="16">
        <v>0.66413710286219585</v>
      </c>
      <c r="O335" s="14">
        <f t="shared" si="141"/>
        <v>703.85170619856342</v>
      </c>
      <c r="P335" s="14">
        <f t="shared" si="142"/>
        <v>355.94709613488806</v>
      </c>
      <c r="Q335" s="14">
        <v>38.007376165834891</v>
      </c>
      <c r="R335" s="14">
        <v>11.486358037811076</v>
      </c>
      <c r="S335" s="14">
        <f t="shared" si="129"/>
        <v>12.987012987012987</v>
      </c>
      <c r="T335" s="14">
        <v>43.194252320129692</v>
      </c>
      <c r="U335" s="14">
        <f t="shared" si="143"/>
        <v>741.85916163341597</v>
      </c>
      <c r="V335" s="14">
        <f t="shared" si="144"/>
        <v>35.937990978170454</v>
      </c>
      <c r="W335" s="14">
        <v>42.169312234916859</v>
      </c>
      <c r="X335" s="16">
        <f t="shared" si="145"/>
        <v>1.0575821054916907</v>
      </c>
      <c r="Y335" s="16">
        <f t="shared" si="150"/>
        <v>0.4895208014006735</v>
      </c>
      <c r="Z335" s="16">
        <f t="shared" si="146"/>
        <v>0.94876728980313696</v>
      </c>
      <c r="AA335" s="16">
        <f t="shared" si="147"/>
        <v>0.57439926267137753</v>
      </c>
      <c r="AB335" s="16">
        <f t="shared" si="130"/>
        <v>1.2254225008009396E-2</v>
      </c>
      <c r="AC335" s="14">
        <f t="shared" si="151"/>
        <v>35.937990978170454</v>
      </c>
      <c r="AD335" s="16">
        <f t="shared" si="131"/>
        <v>0.22373122168547771</v>
      </c>
      <c r="AE335" s="16">
        <f t="shared" si="132"/>
        <v>3.5862822341514951E-2</v>
      </c>
      <c r="AF335" s="23" t="str">
        <f t="shared" si="148"/>
        <v/>
      </c>
      <c r="AG335" s="23" t="str">
        <f t="shared" si="128"/>
        <v/>
      </c>
      <c r="AH335" s="23" t="str">
        <f t="shared" si="133"/>
        <v/>
      </c>
      <c r="AI335" s="23" t="str">
        <f t="shared" si="149"/>
        <v/>
      </c>
      <c r="AJ335" s="23" t="str">
        <f t="shared" si="134"/>
        <v/>
      </c>
      <c r="AK335" s="23" t="str">
        <f t="shared" si="135"/>
        <v/>
      </c>
      <c r="AL335" s="23" t="str">
        <f t="shared" si="136"/>
        <v/>
      </c>
      <c r="AM335" s="23" t="str">
        <f t="shared" si="137"/>
        <v/>
      </c>
      <c r="AN335" s="19">
        <f t="shared" si="138"/>
        <v>0</v>
      </c>
      <c r="AO335" s="26">
        <f t="shared" si="139"/>
        <v>355.94709613488806</v>
      </c>
    </row>
    <row r="336" spans="1:41" x14ac:dyDescent="0.2">
      <c r="A336" s="12">
        <v>44890</v>
      </c>
      <c r="B336" s="6">
        <v>25</v>
      </c>
      <c r="C336" s="6">
        <v>329</v>
      </c>
      <c r="D336" s="6">
        <v>6</v>
      </c>
      <c r="E336" s="6" t="s">
        <v>17</v>
      </c>
      <c r="F336" s="6">
        <v>47</v>
      </c>
      <c r="G336" s="6">
        <v>11</v>
      </c>
      <c r="H336" s="6" t="s">
        <v>27</v>
      </c>
      <c r="I336" s="6">
        <v>4</v>
      </c>
      <c r="J336" s="14">
        <v>21.679810172649574</v>
      </c>
      <c r="K336" s="14">
        <f t="shared" si="127"/>
        <v>21.679810172649574</v>
      </c>
      <c r="L336" s="14">
        <v>63.923602731621578</v>
      </c>
      <c r="M336" s="14">
        <f t="shared" si="140"/>
        <v>1385.8515727734195</v>
      </c>
      <c r="N336" s="16">
        <v>0.71863560582043751</v>
      </c>
      <c r="O336" s="14">
        <f t="shared" si="141"/>
        <v>995.92228457723252</v>
      </c>
      <c r="P336" s="14">
        <f t="shared" si="142"/>
        <v>389.92928819618703</v>
      </c>
      <c r="Q336" s="14">
        <v>39.698352604509566</v>
      </c>
      <c r="R336" s="14">
        <v>13.294560178167286</v>
      </c>
      <c r="S336" s="14">
        <f t="shared" si="129"/>
        <v>12.987012987012987</v>
      </c>
      <c r="T336" s="14">
        <v>40.398147895984039</v>
      </c>
      <c r="U336" s="14">
        <f t="shared" si="143"/>
        <v>970.09610094139362</v>
      </c>
      <c r="V336" s="14">
        <f t="shared" si="144"/>
        <v>44.746521912135101</v>
      </c>
      <c r="W336" s="14">
        <v>42.039246564932625</v>
      </c>
      <c r="X336" s="16">
        <f t="shared" si="145"/>
        <v>0.88718297887960562</v>
      </c>
      <c r="Y336" s="16">
        <f t="shared" si="150"/>
        <v>0.51570406094608656</v>
      </c>
      <c r="Z336" s="16">
        <f t="shared" si="146"/>
        <v>1.0266222940291965</v>
      </c>
      <c r="AA336" s="16">
        <f t="shared" si="147"/>
        <v>0.48450268861611978</v>
      </c>
      <c r="AB336" s="16">
        <f t="shared" si="130"/>
        <v>9.3711427992413908E-3</v>
      </c>
      <c r="AC336" s="14">
        <f t="shared" si="151"/>
        <v>44.746521912135101</v>
      </c>
      <c r="AD336" s="16">
        <f t="shared" si="131"/>
        <v>0.20797576497656889</v>
      </c>
      <c r="AE336" s="16">
        <f t="shared" si="132"/>
        <v>2.8645457698665156E-2</v>
      </c>
      <c r="AF336" s="23" t="str">
        <f t="shared" si="148"/>
        <v/>
      </c>
      <c r="AG336" s="23" t="str">
        <f t="shared" si="128"/>
        <v/>
      </c>
      <c r="AH336" s="23" t="str">
        <f t="shared" si="133"/>
        <v/>
      </c>
      <c r="AI336" s="23" t="str">
        <f t="shared" si="149"/>
        <v/>
      </c>
      <c r="AJ336" s="23" t="str">
        <f t="shared" si="134"/>
        <v/>
      </c>
      <c r="AK336" s="23" t="str">
        <f t="shared" si="135"/>
        <v/>
      </c>
      <c r="AL336" s="23">
        <f t="shared" si="136"/>
        <v>83</v>
      </c>
      <c r="AM336" s="23" t="str">
        <f t="shared" si="137"/>
        <v/>
      </c>
      <c r="AN336" s="19">
        <f t="shared" si="138"/>
        <v>83</v>
      </c>
      <c r="AO336" s="26">
        <f t="shared" si="139"/>
        <v>306.92928819618703</v>
      </c>
    </row>
    <row r="337" spans="1:41" x14ac:dyDescent="0.2">
      <c r="A337" s="12">
        <v>44891</v>
      </c>
      <c r="B337" s="6">
        <v>26</v>
      </c>
      <c r="C337" s="6">
        <v>330</v>
      </c>
      <c r="D337" s="6">
        <v>7</v>
      </c>
      <c r="E337" s="6" t="s">
        <v>10</v>
      </c>
      <c r="F337" s="6">
        <v>47</v>
      </c>
      <c r="G337" s="6">
        <v>11</v>
      </c>
      <c r="H337" s="6" t="s">
        <v>27</v>
      </c>
      <c r="I337" s="6">
        <v>4</v>
      </c>
      <c r="J337" s="14">
        <v>19.858464650907937</v>
      </c>
      <c r="K337" s="14">
        <f t="shared" si="127"/>
        <v>19.858464650907937</v>
      </c>
      <c r="L337" s="14">
        <v>96.740413073118191</v>
      </c>
      <c r="M337" s="14">
        <f t="shared" si="140"/>
        <v>1921.1160733267498</v>
      </c>
      <c r="N337" s="16">
        <v>0.26726404845906299</v>
      </c>
      <c r="O337" s="14">
        <f t="shared" si="141"/>
        <v>513.44525931708529</v>
      </c>
      <c r="P337" s="14">
        <f t="shared" si="142"/>
        <v>1407.6708140096644</v>
      </c>
      <c r="Q337" s="14">
        <v>45.154389834998916</v>
      </c>
      <c r="R337" s="14">
        <v>13.393761994640222</v>
      </c>
      <c r="S337" s="14">
        <f t="shared" si="129"/>
        <v>12.987012987012987</v>
      </c>
      <c r="T337" s="14">
        <v>29.037262309382871</v>
      </c>
      <c r="U337" s="14">
        <f t="shared" si="143"/>
        <v>1344.7812513287247</v>
      </c>
      <c r="V337" s="14">
        <f t="shared" si="144"/>
        <v>67.718289151182731</v>
      </c>
      <c r="W337" s="14">
        <v>33.387457655624729</v>
      </c>
      <c r="X337" s="16">
        <f t="shared" si="145"/>
        <v>0.66679755795647233</v>
      </c>
      <c r="Y337" s="16">
        <f t="shared" si="150"/>
        <v>0.59478816433818571</v>
      </c>
      <c r="Z337" s="16">
        <f t="shared" si="146"/>
        <v>0.38180578351294719</v>
      </c>
      <c r="AA337" s="16">
        <f t="shared" si="147"/>
        <v>0.2932511275731351</v>
      </c>
      <c r="AB337" s="16">
        <f t="shared" si="130"/>
        <v>6.7601396747067419E-3</v>
      </c>
      <c r="AC337" s="14">
        <f t="shared" si="151"/>
        <v>67.718289151182731</v>
      </c>
      <c r="AD337" s="16">
        <f t="shared" si="131"/>
        <v>0.13845053550181732</v>
      </c>
      <c r="AE337" s="16">
        <f t="shared" si="132"/>
        <v>2.3504248630227827E-2</v>
      </c>
      <c r="AF337" s="23" t="str">
        <f t="shared" si="148"/>
        <v/>
      </c>
      <c r="AG337" s="23" t="str">
        <f t="shared" si="128"/>
        <v/>
      </c>
      <c r="AH337" s="23" t="str">
        <f t="shared" si="133"/>
        <v/>
      </c>
      <c r="AI337" s="23" t="str">
        <f t="shared" si="149"/>
        <v/>
      </c>
      <c r="AJ337" s="23" t="str">
        <f t="shared" si="134"/>
        <v/>
      </c>
      <c r="AK337" s="23" t="str">
        <f t="shared" si="135"/>
        <v/>
      </c>
      <c r="AL337" s="23" t="str">
        <f t="shared" si="136"/>
        <v/>
      </c>
      <c r="AM337" s="23" t="str">
        <f t="shared" si="137"/>
        <v/>
      </c>
      <c r="AN337" s="19">
        <f t="shared" si="138"/>
        <v>0</v>
      </c>
      <c r="AO337" s="26">
        <f t="shared" si="139"/>
        <v>1407.6708140096644</v>
      </c>
    </row>
    <row r="338" spans="1:41" x14ac:dyDescent="0.2">
      <c r="A338" s="12">
        <v>44892</v>
      </c>
      <c r="B338" s="6">
        <v>27</v>
      </c>
      <c r="C338" s="6">
        <v>331</v>
      </c>
      <c r="D338" s="6">
        <v>1</v>
      </c>
      <c r="E338" s="6" t="s">
        <v>12</v>
      </c>
      <c r="F338" s="6">
        <v>48</v>
      </c>
      <c r="G338" s="6">
        <v>11</v>
      </c>
      <c r="H338" s="6" t="s">
        <v>27</v>
      </c>
      <c r="I338" s="6">
        <v>4</v>
      </c>
      <c r="J338" s="14">
        <v>9.2401064164272722</v>
      </c>
      <c r="K338" s="14">
        <f t="shared" si="127"/>
        <v>9.2401064164272722</v>
      </c>
      <c r="L338" s="14">
        <v>30.874807697999884</v>
      </c>
      <c r="M338" s="14">
        <f t="shared" si="140"/>
        <v>285.28650871624689</v>
      </c>
      <c r="N338" s="16">
        <v>0.21842893300092356</v>
      </c>
      <c r="O338" s="14">
        <f t="shared" si="141"/>
        <v>62.314827698448482</v>
      </c>
      <c r="P338" s="14">
        <f t="shared" si="142"/>
        <v>222.9716810177984</v>
      </c>
      <c r="Q338" s="14">
        <v>18.488319978273321</v>
      </c>
      <c r="R338" s="14">
        <v>7.9591777433738056</v>
      </c>
      <c r="S338" s="14">
        <f t="shared" si="129"/>
        <v>28.571428571428573</v>
      </c>
      <c r="T338" s="14">
        <v>16.305418507077523</v>
      </c>
      <c r="U338" s="14">
        <f t="shared" si="143"/>
        <v>199.7005561013728</v>
      </c>
      <c r="V338" s="14">
        <f t="shared" si="144"/>
        <v>21.612365388599919</v>
      </c>
      <c r="W338" s="14">
        <v>17.666519068395125</v>
      </c>
      <c r="X338" s="16">
        <f t="shared" si="145"/>
        <v>0.8554510182409526</v>
      </c>
      <c r="Y338" s="16">
        <f t="shared" si="150"/>
        <v>0.52302926120616178</v>
      </c>
      <c r="Z338" s="16">
        <f t="shared" si="146"/>
        <v>0.31204133285846225</v>
      </c>
      <c r="AA338" s="16">
        <f t="shared" si="147"/>
        <v>0.427537951088928</v>
      </c>
      <c r="AB338" s="16">
        <f t="shared" si="130"/>
        <v>0.10014994645206456</v>
      </c>
      <c r="AC338" s="14">
        <f t="shared" si="151"/>
        <v>21.612365388599919</v>
      </c>
      <c r="AD338" s="16">
        <f t="shared" si="131"/>
        <v>0.25778873900126065</v>
      </c>
      <c r="AE338" s="16">
        <f t="shared" si="132"/>
        <v>6.4806148953444789E-2</v>
      </c>
      <c r="AF338" s="23" t="str">
        <f t="shared" si="148"/>
        <v/>
      </c>
      <c r="AG338" s="23">
        <f t="shared" si="128"/>
        <v>1000</v>
      </c>
      <c r="AH338" s="23" t="str">
        <f t="shared" si="133"/>
        <v/>
      </c>
      <c r="AI338" s="23" t="str">
        <f t="shared" si="149"/>
        <v/>
      </c>
      <c r="AJ338" s="23" t="str">
        <f t="shared" si="134"/>
        <v/>
      </c>
      <c r="AK338" s="23" t="str">
        <f t="shared" si="135"/>
        <v/>
      </c>
      <c r="AL338" s="23" t="str">
        <f t="shared" si="136"/>
        <v/>
      </c>
      <c r="AM338" s="23" t="str">
        <f t="shared" si="137"/>
        <v/>
      </c>
      <c r="AN338" s="19">
        <f t="shared" si="138"/>
        <v>1000</v>
      </c>
      <c r="AO338" s="26">
        <f t="shared" si="139"/>
        <v>-777.02831898220165</v>
      </c>
    </row>
    <row r="339" spans="1:41" x14ac:dyDescent="0.2">
      <c r="A339" s="12">
        <v>44893</v>
      </c>
      <c r="B339" s="6">
        <v>28</v>
      </c>
      <c r="C339" s="6">
        <v>332</v>
      </c>
      <c r="D339" s="6">
        <v>2</v>
      </c>
      <c r="E339" s="6" t="s">
        <v>13</v>
      </c>
      <c r="F339" s="6">
        <v>48</v>
      </c>
      <c r="G339" s="6">
        <v>11</v>
      </c>
      <c r="H339" s="6" t="s">
        <v>27</v>
      </c>
      <c r="I339" s="6">
        <v>4</v>
      </c>
      <c r="J339" s="14">
        <v>24.645011198511185</v>
      </c>
      <c r="K339" s="14">
        <f t="shared" si="127"/>
        <v>24.645011198511185</v>
      </c>
      <c r="L339" s="14">
        <v>72.152174155883458</v>
      </c>
      <c r="M339" s="14">
        <f t="shared" si="140"/>
        <v>1778.191140068677</v>
      </c>
      <c r="N339" s="16">
        <v>0.41997973365967001</v>
      </c>
      <c r="O339" s="14">
        <f t="shared" si="141"/>
        <v>746.80424140202797</v>
      </c>
      <c r="P339" s="14">
        <f t="shared" si="142"/>
        <v>1031.3868986666489</v>
      </c>
      <c r="Q339" s="14">
        <v>38.831624021094363</v>
      </c>
      <c r="R339" s="14">
        <v>12.977273098560344</v>
      </c>
      <c r="S339" s="14">
        <f t="shared" si="129"/>
        <v>12.987012987012987</v>
      </c>
      <c r="T339" s="14">
        <v>35.629044351654059</v>
      </c>
      <c r="U339" s="14">
        <f t="shared" si="143"/>
        <v>1244.7337980480738</v>
      </c>
      <c r="V339" s="14">
        <f t="shared" si="144"/>
        <v>50.506521909118412</v>
      </c>
      <c r="W339" s="14">
        <v>39.192962042635877</v>
      </c>
      <c r="X339" s="16">
        <f t="shared" si="145"/>
        <v>0.76884375627702306</v>
      </c>
      <c r="Y339" s="16">
        <f t="shared" si="150"/>
        <v>0.62881216203310242</v>
      </c>
      <c r="Z339" s="16">
        <f t="shared" si="146"/>
        <v>0.59997104808524293</v>
      </c>
      <c r="AA339" s="16">
        <f t="shared" si="147"/>
        <v>0.48795700568844341</v>
      </c>
      <c r="AB339" s="16">
        <f t="shared" si="130"/>
        <v>7.3034966232659359E-3</v>
      </c>
      <c r="AC339" s="14">
        <f t="shared" si="151"/>
        <v>50.506521909118412</v>
      </c>
      <c r="AD339" s="16">
        <f t="shared" si="131"/>
        <v>0.17985976514752255</v>
      </c>
      <c r="AE339" s="16">
        <f t="shared" si="132"/>
        <v>2.1837710888377621E-2</v>
      </c>
      <c r="AF339" s="23" t="str">
        <f t="shared" si="148"/>
        <v/>
      </c>
      <c r="AG339" s="23" t="str">
        <f t="shared" si="128"/>
        <v/>
      </c>
      <c r="AH339" s="23" t="str">
        <f t="shared" si="133"/>
        <v/>
      </c>
      <c r="AI339" s="23" t="str">
        <f t="shared" si="149"/>
        <v/>
      </c>
      <c r="AJ339" s="23" t="str">
        <f t="shared" si="134"/>
        <v/>
      </c>
      <c r="AK339" s="23" t="str">
        <f t="shared" si="135"/>
        <v/>
      </c>
      <c r="AL339" s="23" t="str">
        <f t="shared" si="136"/>
        <v/>
      </c>
      <c r="AM339" s="23" t="str">
        <f t="shared" si="137"/>
        <v/>
      </c>
      <c r="AN339" s="19">
        <f t="shared" si="138"/>
        <v>0</v>
      </c>
      <c r="AO339" s="26">
        <f t="shared" si="139"/>
        <v>1031.3868986666489</v>
      </c>
    </row>
    <row r="340" spans="1:41" x14ac:dyDescent="0.2">
      <c r="A340" s="12">
        <v>44894</v>
      </c>
      <c r="B340" s="6">
        <v>29</v>
      </c>
      <c r="C340" s="6">
        <v>333</v>
      </c>
      <c r="D340" s="6">
        <v>3</v>
      </c>
      <c r="E340" s="6" t="s">
        <v>14</v>
      </c>
      <c r="F340" s="6">
        <v>48</v>
      </c>
      <c r="G340" s="6">
        <v>11</v>
      </c>
      <c r="H340" s="6" t="s">
        <v>27</v>
      </c>
      <c r="I340" s="6">
        <v>4</v>
      </c>
      <c r="J340" s="14">
        <v>12.979648612053976</v>
      </c>
      <c r="K340" s="14">
        <f t="shared" si="127"/>
        <v>12.979648612053976</v>
      </c>
      <c r="L340" s="14">
        <v>37.906361497396873</v>
      </c>
      <c r="M340" s="14">
        <f t="shared" si="140"/>
        <v>492.01125239770363</v>
      </c>
      <c r="N340" s="16">
        <v>0.66997179975351273</v>
      </c>
      <c r="O340" s="14">
        <f t="shared" si="141"/>
        <v>329.63366426786928</v>
      </c>
      <c r="P340" s="14">
        <f t="shared" si="142"/>
        <v>162.37758812983435</v>
      </c>
      <c r="Q340" s="14">
        <v>43.850976464278162</v>
      </c>
      <c r="R340" s="14">
        <v>15.941292787176236</v>
      </c>
      <c r="S340" s="14">
        <f t="shared" si="129"/>
        <v>12.987012987012987</v>
      </c>
      <c r="T340" s="14">
        <v>35.968643440360673</v>
      </c>
      <c r="U340" s="14">
        <f t="shared" si="143"/>
        <v>344.40787667839254</v>
      </c>
      <c r="V340" s="14">
        <f t="shared" si="144"/>
        <v>26.534453048177813</v>
      </c>
      <c r="W340" s="14">
        <v>35.506535190200729</v>
      </c>
      <c r="X340" s="16">
        <f t="shared" si="145"/>
        <v>1.6526052519213137</v>
      </c>
      <c r="Y340" s="16">
        <f t="shared" si="150"/>
        <v>0.3655566092981149</v>
      </c>
      <c r="Z340" s="16">
        <f t="shared" si="146"/>
        <v>0.9571025710764467</v>
      </c>
      <c r="AA340" s="16">
        <f t="shared" si="147"/>
        <v>0.48916209384407572</v>
      </c>
      <c r="AB340" s="16">
        <f t="shared" si="130"/>
        <v>2.6395764169465163E-2</v>
      </c>
      <c r="AC340" s="14">
        <f t="shared" si="151"/>
        <v>26.534453048177813</v>
      </c>
      <c r="AD340" s="16">
        <f t="shared" si="131"/>
        <v>0.42054399729900127</v>
      </c>
      <c r="AE340" s="16">
        <f t="shared" si="132"/>
        <v>8.9125962568092743E-2</v>
      </c>
      <c r="AF340" s="23" t="str">
        <f t="shared" si="148"/>
        <v/>
      </c>
      <c r="AG340" s="23" t="str">
        <f t="shared" si="128"/>
        <v/>
      </c>
      <c r="AH340" s="23" t="str">
        <f t="shared" si="133"/>
        <v/>
      </c>
      <c r="AI340" s="23" t="str">
        <f t="shared" si="149"/>
        <v/>
      </c>
      <c r="AJ340" s="23" t="str">
        <f t="shared" si="134"/>
        <v/>
      </c>
      <c r="AK340" s="23" t="str">
        <f t="shared" si="135"/>
        <v/>
      </c>
      <c r="AL340" s="23" t="str">
        <f t="shared" si="136"/>
        <v/>
      </c>
      <c r="AM340" s="23" t="str">
        <f t="shared" si="137"/>
        <v/>
      </c>
      <c r="AN340" s="19">
        <f t="shared" si="138"/>
        <v>0</v>
      </c>
      <c r="AO340" s="26">
        <f t="shared" si="139"/>
        <v>162.37758812983435</v>
      </c>
    </row>
    <row r="341" spans="1:41" x14ac:dyDescent="0.2">
      <c r="A341" s="12">
        <v>44895</v>
      </c>
      <c r="B341" s="6">
        <v>30</v>
      </c>
      <c r="C341" s="6">
        <v>334</v>
      </c>
      <c r="D341" s="6">
        <v>4</v>
      </c>
      <c r="E341" s="6" t="s">
        <v>15</v>
      </c>
      <c r="F341" s="6">
        <v>48</v>
      </c>
      <c r="G341" s="6">
        <v>11</v>
      </c>
      <c r="H341" s="6" t="s">
        <v>27</v>
      </c>
      <c r="I341" s="6">
        <v>4</v>
      </c>
      <c r="J341" s="14">
        <v>16.088254584938856</v>
      </c>
      <c r="K341" s="14">
        <f t="shared" si="127"/>
        <v>16.088254584938856</v>
      </c>
      <c r="L341" s="14">
        <v>125.09340206764884</v>
      </c>
      <c r="M341" s="14">
        <f t="shared" si="140"/>
        <v>2012.5344993604513</v>
      </c>
      <c r="N341" s="16">
        <v>0.68302656848968224</v>
      </c>
      <c r="O341" s="14">
        <f t="shared" si="141"/>
        <v>1374.6145330652696</v>
      </c>
      <c r="P341" s="14">
        <f t="shared" si="142"/>
        <v>637.91996629518167</v>
      </c>
      <c r="Q341" s="14">
        <v>38.241386017454808</v>
      </c>
      <c r="R341" s="14">
        <v>17.553359680848885</v>
      </c>
      <c r="S341" s="14">
        <f t="shared" si="129"/>
        <v>12.987012987012987</v>
      </c>
      <c r="T341" s="14">
        <v>41.309195749308486</v>
      </c>
      <c r="U341" s="14">
        <f t="shared" si="143"/>
        <v>1408.7741495523157</v>
      </c>
      <c r="V341" s="14">
        <f t="shared" si="144"/>
        <v>87.565381447354184</v>
      </c>
      <c r="W341" s="14">
        <v>32.405776477730619</v>
      </c>
      <c r="X341" s="16">
        <f t="shared" si="145"/>
        <v>0.43671808864837969</v>
      </c>
      <c r="Y341" s="16">
        <f t="shared" si="150"/>
        <v>0.49646255493969632</v>
      </c>
      <c r="Z341" s="16">
        <f t="shared" si="146"/>
        <v>0.97575224069954614</v>
      </c>
      <c r="AA341" s="16">
        <f t="shared" si="147"/>
        <v>0.18372848172438319</v>
      </c>
      <c r="AB341" s="16">
        <f t="shared" si="130"/>
        <v>6.4530635331419336E-3</v>
      </c>
      <c r="AC341" s="14">
        <f t="shared" si="151"/>
        <v>87.565381447354184</v>
      </c>
      <c r="AD341" s="16">
        <f t="shared" si="131"/>
        <v>0.14032202650749129</v>
      </c>
      <c r="AE341" s="16">
        <f t="shared" si="132"/>
        <v>1.9001605204585194E-2</v>
      </c>
      <c r="AF341" s="23" t="str">
        <f t="shared" si="148"/>
        <v/>
      </c>
      <c r="AG341" s="23" t="str">
        <f t="shared" si="128"/>
        <v/>
      </c>
      <c r="AH341" s="23" t="str">
        <f t="shared" si="133"/>
        <v/>
      </c>
      <c r="AI341" s="23" t="str">
        <f t="shared" si="149"/>
        <v/>
      </c>
      <c r="AJ341" s="23" t="str">
        <f t="shared" si="134"/>
        <v/>
      </c>
      <c r="AK341" s="23" t="str">
        <f t="shared" si="135"/>
        <v/>
      </c>
      <c r="AL341" s="23" t="str">
        <f t="shared" si="136"/>
        <v/>
      </c>
      <c r="AM341" s="23" t="str">
        <f t="shared" si="137"/>
        <v/>
      </c>
      <c r="AN341" s="19">
        <f t="shared" si="138"/>
        <v>0</v>
      </c>
      <c r="AO341" s="26">
        <f t="shared" si="139"/>
        <v>637.91996629518167</v>
      </c>
    </row>
    <row r="342" spans="1:41" x14ac:dyDescent="0.2">
      <c r="A342" s="12">
        <v>44896</v>
      </c>
      <c r="B342" s="6">
        <v>1</v>
      </c>
      <c r="C342" s="6">
        <v>335</v>
      </c>
      <c r="D342" s="6">
        <v>5</v>
      </c>
      <c r="E342" s="6" t="s">
        <v>16</v>
      </c>
      <c r="F342" s="6">
        <v>48</v>
      </c>
      <c r="G342" s="6">
        <v>12</v>
      </c>
      <c r="H342" s="6" t="s">
        <v>28</v>
      </c>
      <c r="I342" s="6">
        <v>4</v>
      </c>
      <c r="J342" s="14">
        <v>13.030814619952341</v>
      </c>
      <c r="K342" s="14">
        <f t="shared" si="127"/>
        <v>13.030814619952341</v>
      </c>
      <c r="L342" s="14">
        <v>86.227151713788061</v>
      </c>
      <c r="M342" s="14">
        <f t="shared" si="140"/>
        <v>1123.6100291888781</v>
      </c>
      <c r="N342" s="16">
        <v>0.37827019990131111</v>
      </c>
      <c r="O342" s="14">
        <f t="shared" si="141"/>
        <v>425.02819035239492</v>
      </c>
      <c r="P342" s="14">
        <f t="shared" si="142"/>
        <v>698.58183883648326</v>
      </c>
      <c r="Q342" s="14">
        <v>46.51769892382007</v>
      </c>
      <c r="R342" s="14">
        <v>11.346692570045482</v>
      </c>
      <c r="S342" s="14">
        <f t="shared" si="129"/>
        <v>12.987012987012987</v>
      </c>
      <c r="T342" s="14">
        <v>33.189388170549989</v>
      </c>
      <c r="U342" s="14">
        <f t="shared" si="143"/>
        <v>786.52702043221461</v>
      </c>
      <c r="V342" s="14">
        <f t="shared" si="144"/>
        <v>60.359006199651638</v>
      </c>
      <c r="W342" s="14">
        <v>27.773276028362506</v>
      </c>
      <c r="X342" s="16">
        <f t="shared" si="145"/>
        <v>0.77068364528653466</v>
      </c>
      <c r="Y342" s="16">
        <f t="shared" si="150"/>
        <v>0.46918536389603693</v>
      </c>
      <c r="Z342" s="16">
        <f t="shared" si="146"/>
        <v>0.54038599985901592</v>
      </c>
      <c r="AA342" s="16">
        <f t="shared" si="147"/>
        <v>0.21588848856871254</v>
      </c>
      <c r="AB342" s="16">
        <f t="shared" si="130"/>
        <v>1.1558292156210256E-2</v>
      </c>
      <c r="AC342" s="14">
        <f t="shared" si="151"/>
        <v>60.359006199651638</v>
      </c>
      <c r="AD342" s="16">
        <f t="shared" si="131"/>
        <v>0.13159071527386543</v>
      </c>
      <c r="AE342" s="16">
        <f t="shared" si="132"/>
        <v>4.1400216903902762E-2</v>
      </c>
      <c r="AF342" s="23">
        <f t="shared" si="148"/>
        <v>3000</v>
      </c>
      <c r="AG342" s="23" t="str">
        <f t="shared" si="128"/>
        <v/>
      </c>
      <c r="AH342" s="23" t="str">
        <f t="shared" si="133"/>
        <v/>
      </c>
      <c r="AI342" s="23" t="str">
        <f t="shared" si="149"/>
        <v/>
      </c>
      <c r="AJ342" s="23" t="str">
        <f t="shared" si="134"/>
        <v/>
      </c>
      <c r="AK342" s="23" t="str">
        <f t="shared" si="135"/>
        <v/>
      </c>
      <c r="AL342" s="23" t="str">
        <f t="shared" si="136"/>
        <v/>
      </c>
      <c r="AM342" s="23" t="str">
        <f t="shared" si="137"/>
        <v/>
      </c>
      <c r="AN342" s="19">
        <f t="shared" si="138"/>
        <v>3000</v>
      </c>
      <c r="AO342" s="26">
        <f t="shared" si="139"/>
        <v>-2301.4181611635167</v>
      </c>
    </row>
    <row r="343" spans="1:41" x14ac:dyDescent="0.2">
      <c r="A343" s="12">
        <v>44897</v>
      </c>
      <c r="B343" s="6">
        <v>2</v>
      </c>
      <c r="C343" s="6">
        <v>336</v>
      </c>
      <c r="D343" s="6">
        <v>6</v>
      </c>
      <c r="E343" s="6" t="s">
        <v>17</v>
      </c>
      <c r="F343" s="6">
        <v>48</v>
      </c>
      <c r="G343" s="6">
        <v>12</v>
      </c>
      <c r="H343" s="6" t="s">
        <v>28</v>
      </c>
      <c r="I343" s="6">
        <v>4</v>
      </c>
      <c r="J343" s="14">
        <v>8.2869891360896073</v>
      </c>
      <c r="K343" s="14">
        <f t="shared" si="127"/>
        <v>8.2869891360896073</v>
      </c>
      <c r="L343" s="14">
        <v>86.96079652051705</v>
      </c>
      <c r="M343" s="14">
        <f t="shared" si="140"/>
        <v>720.64317603122367</v>
      </c>
      <c r="N343" s="16">
        <v>0.79243747724362346</v>
      </c>
      <c r="O343" s="14">
        <f t="shared" si="141"/>
        <v>571.06466040701537</v>
      </c>
      <c r="P343" s="14">
        <f t="shared" si="142"/>
        <v>149.57851562420831</v>
      </c>
      <c r="Q343" s="14">
        <v>46.336542148989317</v>
      </c>
      <c r="R343" s="14">
        <v>14.568282323078789</v>
      </c>
      <c r="S343" s="14">
        <f t="shared" si="129"/>
        <v>12.987012987012987</v>
      </c>
      <c r="T343" s="14">
        <v>39.518117204467003</v>
      </c>
      <c r="U343" s="14">
        <f t="shared" si="143"/>
        <v>504.45022322185656</v>
      </c>
      <c r="V343" s="14">
        <f t="shared" si="144"/>
        <v>60.872557564361927</v>
      </c>
      <c r="W343" s="14">
        <v>34.892186524877609</v>
      </c>
      <c r="X343" s="16">
        <f t="shared" si="145"/>
        <v>0.76120577158264868</v>
      </c>
      <c r="Y343" s="16">
        <f t="shared" si="150"/>
        <v>0.23750271798475878</v>
      </c>
      <c r="Z343" s="16">
        <f t="shared" si="146"/>
        <v>1.1320535389194621</v>
      </c>
      <c r="AA343" s="16">
        <f t="shared" si="147"/>
        <v>0.13613670047176163</v>
      </c>
      <c r="AB343" s="16">
        <f t="shared" si="130"/>
        <v>1.8021419502694758E-2</v>
      </c>
      <c r="AC343" s="14">
        <f t="shared" si="151"/>
        <v>60.872557564361927</v>
      </c>
      <c r="AD343" s="16">
        <f t="shared" si="131"/>
        <v>0.16752701108989529</v>
      </c>
      <c r="AE343" s="16">
        <f t="shared" si="132"/>
        <v>6.4298870356585006E-2</v>
      </c>
      <c r="AF343" s="23" t="str">
        <f t="shared" si="148"/>
        <v/>
      </c>
      <c r="AG343" s="23" t="str">
        <f t="shared" si="128"/>
        <v/>
      </c>
      <c r="AH343" s="23" t="str">
        <f t="shared" si="133"/>
        <v/>
      </c>
      <c r="AI343" s="23" t="str">
        <f t="shared" si="149"/>
        <v/>
      </c>
      <c r="AJ343" s="23" t="str">
        <f t="shared" si="134"/>
        <v/>
      </c>
      <c r="AK343" s="23" t="str">
        <f t="shared" si="135"/>
        <v/>
      </c>
      <c r="AL343" s="23" t="str">
        <f t="shared" si="136"/>
        <v/>
      </c>
      <c r="AM343" s="23" t="str">
        <f t="shared" si="137"/>
        <v/>
      </c>
      <c r="AN343" s="19">
        <f t="shared" si="138"/>
        <v>0</v>
      </c>
      <c r="AO343" s="26">
        <f t="shared" si="139"/>
        <v>149.57851562420831</v>
      </c>
    </row>
    <row r="344" spans="1:41" x14ac:dyDescent="0.2">
      <c r="A344" s="12">
        <v>44898</v>
      </c>
      <c r="B344" s="6">
        <v>3</v>
      </c>
      <c r="C344" s="6">
        <v>337</v>
      </c>
      <c r="D344" s="6">
        <v>7</v>
      </c>
      <c r="E344" s="6" t="s">
        <v>10</v>
      </c>
      <c r="F344" s="6">
        <v>48</v>
      </c>
      <c r="G344" s="6">
        <v>12</v>
      </c>
      <c r="H344" s="6" t="s">
        <v>28</v>
      </c>
      <c r="I344" s="6">
        <v>4</v>
      </c>
      <c r="J344" s="14">
        <v>8.2165424414631296</v>
      </c>
      <c r="K344" s="14">
        <f t="shared" si="127"/>
        <v>8.2165424414631296</v>
      </c>
      <c r="L344" s="14">
        <v>22.881997380987201</v>
      </c>
      <c r="M344" s="14">
        <f t="shared" si="140"/>
        <v>188.01090262632951</v>
      </c>
      <c r="N344" s="16">
        <v>0.66069568096760767</v>
      </c>
      <c r="O344" s="14">
        <f t="shared" si="141"/>
        <v>124.21799134003736</v>
      </c>
      <c r="P344" s="14">
        <f t="shared" si="142"/>
        <v>63.792911286292153</v>
      </c>
      <c r="Q344" s="14">
        <v>32.823694397474377</v>
      </c>
      <c r="R344" s="14">
        <v>11.817531219188448</v>
      </c>
      <c r="S344" s="14">
        <f t="shared" si="129"/>
        <v>12.987012987012987</v>
      </c>
      <c r="T344" s="14">
        <v>35.112319114428715</v>
      </c>
      <c r="U344" s="14">
        <f t="shared" si="143"/>
        <v>131.60763183843065</v>
      </c>
      <c r="V344" s="14">
        <f t="shared" si="144"/>
        <v>16.017398166691038</v>
      </c>
      <c r="W344" s="14">
        <v>29.00857321371851</v>
      </c>
      <c r="X344" s="16">
        <f t="shared" si="145"/>
        <v>2.0492525724766493</v>
      </c>
      <c r="Y344" s="16">
        <f t="shared" si="150"/>
        <v>0.2832453144430222</v>
      </c>
      <c r="Z344" s="16">
        <f t="shared" si="146"/>
        <v>0.94385097281086816</v>
      </c>
      <c r="AA344" s="16">
        <f t="shared" si="147"/>
        <v>0.51297609986057735</v>
      </c>
      <c r="AB344" s="16">
        <f t="shared" si="130"/>
        <v>6.9075850419295065E-2</v>
      </c>
      <c r="AC344" s="14">
        <f t="shared" si="151"/>
        <v>16.017398166691038</v>
      </c>
      <c r="AD344" s="16">
        <f t="shared" si="131"/>
        <v>0.51645540476320961</v>
      </c>
      <c r="AE344" s="16">
        <f t="shared" si="132"/>
        <v>0.17458399453946169</v>
      </c>
      <c r="AF344" s="23" t="str">
        <f t="shared" si="148"/>
        <v/>
      </c>
      <c r="AG344" s="23" t="str">
        <f t="shared" si="128"/>
        <v/>
      </c>
      <c r="AH344" s="23" t="str">
        <f t="shared" si="133"/>
        <v/>
      </c>
      <c r="AI344" s="23" t="str">
        <f t="shared" si="149"/>
        <v/>
      </c>
      <c r="AJ344" s="23" t="str">
        <f t="shared" si="134"/>
        <v/>
      </c>
      <c r="AK344" s="23" t="str">
        <f t="shared" si="135"/>
        <v/>
      </c>
      <c r="AL344" s="23" t="str">
        <f t="shared" si="136"/>
        <v/>
      </c>
      <c r="AM344" s="23" t="str">
        <f t="shared" si="137"/>
        <v/>
      </c>
      <c r="AN344" s="19">
        <f t="shared" si="138"/>
        <v>0</v>
      </c>
      <c r="AO344" s="26">
        <f t="shared" si="139"/>
        <v>63.792911286292153</v>
      </c>
    </row>
    <row r="345" spans="1:41" x14ac:dyDescent="0.2">
      <c r="A345" s="12">
        <v>44899</v>
      </c>
      <c r="B345" s="6">
        <v>4</v>
      </c>
      <c r="C345" s="6">
        <v>338</v>
      </c>
      <c r="D345" s="6">
        <v>1</v>
      </c>
      <c r="E345" s="6" t="s">
        <v>12</v>
      </c>
      <c r="F345" s="6">
        <v>49</v>
      </c>
      <c r="G345" s="6">
        <v>12</v>
      </c>
      <c r="H345" s="6" t="s">
        <v>28</v>
      </c>
      <c r="I345" s="6">
        <v>4</v>
      </c>
      <c r="J345" s="14">
        <v>3.1155231310056486</v>
      </c>
      <c r="K345" s="14">
        <f t="shared" si="127"/>
        <v>3.1155231310056486</v>
      </c>
      <c r="L345" s="14">
        <v>25.772128300093517</v>
      </c>
      <c r="M345" s="14">
        <f t="shared" si="140"/>
        <v>80.293661854186638</v>
      </c>
      <c r="N345" s="16">
        <v>0.13378139176856862</v>
      </c>
      <c r="O345" s="14">
        <f t="shared" si="141"/>
        <v>10.741797833047917</v>
      </c>
      <c r="P345" s="14">
        <f t="shared" si="142"/>
        <v>69.551864021138726</v>
      </c>
      <c r="Q345" s="14">
        <v>17.707369036906783</v>
      </c>
      <c r="R345" s="14">
        <v>7.5512330867343822</v>
      </c>
      <c r="S345" s="14">
        <f t="shared" si="129"/>
        <v>28.571428571428573</v>
      </c>
      <c r="T345" s="14">
        <v>18.221113490188898</v>
      </c>
      <c r="U345" s="14">
        <f t="shared" si="143"/>
        <v>56.205563297930645</v>
      </c>
      <c r="V345" s="14">
        <f t="shared" si="144"/>
        <v>18.040489810065463</v>
      </c>
      <c r="W345" s="14">
        <v>17.560729287808748</v>
      </c>
      <c r="X345" s="16">
        <f t="shared" si="145"/>
        <v>0.98153482656702484</v>
      </c>
      <c r="Y345" s="16">
        <f t="shared" si="150"/>
        <v>0.17741422237905291</v>
      </c>
      <c r="Z345" s="16">
        <f t="shared" si="146"/>
        <v>0.19111627395509803</v>
      </c>
      <c r="AA345" s="16">
        <f t="shared" si="147"/>
        <v>0.17269614981669631</v>
      </c>
      <c r="AB345" s="16">
        <f t="shared" si="130"/>
        <v>0.35583666147041981</v>
      </c>
      <c r="AC345" s="14">
        <f t="shared" si="151"/>
        <v>18.040489810065463</v>
      </c>
      <c r="AD345" s="16">
        <f t="shared" si="131"/>
        <v>0.29299998039769892</v>
      </c>
      <c r="AE345" s="16">
        <f t="shared" si="132"/>
        <v>0.22053258785311575</v>
      </c>
      <c r="AF345" s="23" t="str">
        <f t="shared" si="148"/>
        <v/>
      </c>
      <c r="AG345" s="23">
        <f t="shared" si="128"/>
        <v>1000</v>
      </c>
      <c r="AH345" s="23" t="str">
        <f t="shared" si="133"/>
        <v/>
      </c>
      <c r="AI345" s="23" t="str">
        <f t="shared" si="149"/>
        <v/>
      </c>
      <c r="AJ345" s="23" t="str">
        <f t="shared" si="134"/>
        <v/>
      </c>
      <c r="AK345" s="23" t="str">
        <f t="shared" si="135"/>
        <v/>
      </c>
      <c r="AL345" s="23" t="str">
        <f t="shared" si="136"/>
        <v/>
      </c>
      <c r="AM345" s="23" t="str">
        <f t="shared" si="137"/>
        <v/>
      </c>
      <c r="AN345" s="19">
        <f t="shared" si="138"/>
        <v>1000</v>
      </c>
      <c r="AO345" s="26">
        <f t="shared" si="139"/>
        <v>-930.44813597886127</v>
      </c>
    </row>
    <row r="346" spans="1:41" x14ac:dyDescent="0.2">
      <c r="A346" s="12">
        <v>44900</v>
      </c>
      <c r="B346" s="6">
        <v>5</v>
      </c>
      <c r="C346" s="6">
        <v>339</v>
      </c>
      <c r="D346" s="6">
        <v>2</v>
      </c>
      <c r="E346" s="6" t="s">
        <v>13</v>
      </c>
      <c r="F346" s="6">
        <v>49</v>
      </c>
      <c r="G346" s="6">
        <v>12</v>
      </c>
      <c r="H346" s="6" t="s">
        <v>28</v>
      </c>
      <c r="I346" s="6">
        <v>4</v>
      </c>
      <c r="J346" s="14">
        <v>18.173121218107205</v>
      </c>
      <c r="K346" s="14">
        <f t="shared" si="127"/>
        <v>18.173121218107205</v>
      </c>
      <c r="L346" s="14">
        <v>84.268349659627802</v>
      </c>
      <c r="M346" s="14">
        <f t="shared" si="140"/>
        <v>1531.4189332142591</v>
      </c>
      <c r="N346" s="16">
        <v>0.58218815210069585</v>
      </c>
      <c r="O346" s="14">
        <f t="shared" si="141"/>
        <v>891.57395882002845</v>
      </c>
      <c r="P346" s="14">
        <f t="shared" si="142"/>
        <v>639.84497439423069</v>
      </c>
      <c r="Q346" s="14">
        <v>35.83362166380703</v>
      </c>
      <c r="R346" s="14">
        <v>13.452818994725442</v>
      </c>
      <c r="S346" s="14">
        <f t="shared" si="129"/>
        <v>12.987012987012987</v>
      </c>
      <c r="T346" s="14">
        <v>35.303728843974497</v>
      </c>
      <c r="U346" s="14">
        <f t="shared" si="143"/>
        <v>1071.9932532499813</v>
      </c>
      <c r="V346" s="14">
        <f t="shared" si="144"/>
        <v>58.98784476173946</v>
      </c>
      <c r="W346" s="14">
        <v>37.102885177078925</v>
      </c>
      <c r="X346" s="16">
        <f t="shared" si="145"/>
        <v>0.60747467225738239</v>
      </c>
      <c r="Y346" s="16">
        <f t="shared" si="150"/>
        <v>0.48980345143978254</v>
      </c>
      <c r="Z346" s="16">
        <f t="shared" si="146"/>
        <v>0.83169736014385121</v>
      </c>
      <c r="AA346" s="16">
        <f t="shared" si="147"/>
        <v>0.30808247515248444</v>
      </c>
      <c r="AB346" s="16">
        <f t="shared" si="130"/>
        <v>8.4803790167037128E-3</v>
      </c>
      <c r="AC346" s="14">
        <f t="shared" si="151"/>
        <v>58.98784476173946</v>
      </c>
      <c r="AD346" s="16">
        <f t="shared" si="131"/>
        <v>0.15964260661402943</v>
      </c>
      <c r="AE346" s="16">
        <f t="shared" si="132"/>
        <v>2.3398967380269149E-2</v>
      </c>
      <c r="AF346" s="23" t="str">
        <f t="shared" si="148"/>
        <v/>
      </c>
      <c r="AG346" s="23" t="str">
        <f t="shared" si="128"/>
        <v/>
      </c>
      <c r="AH346" s="23" t="str">
        <f t="shared" si="133"/>
        <v/>
      </c>
      <c r="AI346" s="23" t="str">
        <f t="shared" si="149"/>
        <v/>
      </c>
      <c r="AJ346" s="23" t="str">
        <f t="shared" si="134"/>
        <v/>
      </c>
      <c r="AK346" s="23" t="str">
        <f t="shared" si="135"/>
        <v/>
      </c>
      <c r="AL346" s="23" t="str">
        <f t="shared" si="136"/>
        <v/>
      </c>
      <c r="AM346" s="23">
        <f t="shared" si="137"/>
        <v>1000</v>
      </c>
      <c r="AN346" s="19">
        <f t="shared" si="138"/>
        <v>1000</v>
      </c>
      <c r="AO346" s="26">
        <f t="shared" si="139"/>
        <v>-360.15502560576931</v>
      </c>
    </row>
    <row r="347" spans="1:41" x14ac:dyDescent="0.2">
      <c r="A347" s="12">
        <v>44901</v>
      </c>
      <c r="B347" s="6">
        <v>6</v>
      </c>
      <c r="C347" s="6">
        <v>340</v>
      </c>
      <c r="D347" s="6">
        <v>3</v>
      </c>
      <c r="E347" s="6" t="s">
        <v>14</v>
      </c>
      <c r="F347" s="6">
        <v>49</v>
      </c>
      <c r="G347" s="6">
        <v>12</v>
      </c>
      <c r="H347" s="6" t="s">
        <v>28</v>
      </c>
      <c r="I347" s="6">
        <v>4</v>
      </c>
      <c r="J347" s="14">
        <v>17.659162395419401</v>
      </c>
      <c r="K347" s="14">
        <f t="shared" si="127"/>
        <v>17.659162395419401</v>
      </c>
      <c r="L347" s="14">
        <v>22.07113523148211</v>
      </c>
      <c r="M347" s="14">
        <f t="shared" si="140"/>
        <v>389.75776130400516</v>
      </c>
      <c r="N347" s="16">
        <v>0.46451765169030018</v>
      </c>
      <c r="O347" s="14">
        <f t="shared" si="141"/>
        <v>181.04936000900503</v>
      </c>
      <c r="P347" s="14">
        <f t="shared" si="142"/>
        <v>208.70840129500013</v>
      </c>
      <c r="Q347" s="14">
        <v>44.288670637607517</v>
      </c>
      <c r="R347" s="14">
        <v>8.4243379040425932</v>
      </c>
      <c r="S347" s="14">
        <f t="shared" si="129"/>
        <v>12.987012987012987</v>
      </c>
      <c r="T347" s="14">
        <v>34.075391775963787</v>
      </c>
      <c r="U347" s="14">
        <f t="shared" si="143"/>
        <v>272.83043291280359</v>
      </c>
      <c r="V347" s="14">
        <f t="shared" si="144"/>
        <v>15.449794662037476</v>
      </c>
      <c r="W347" s="14">
        <v>29.271705356399409</v>
      </c>
      <c r="X347" s="16">
        <f t="shared" si="145"/>
        <v>2.8666187225407986</v>
      </c>
      <c r="Y347" s="16">
        <f t="shared" si="150"/>
        <v>0.60328437241387911</v>
      </c>
      <c r="Z347" s="16">
        <f t="shared" si="146"/>
        <v>0.66359664527185747</v>
      </c>
      <c r="AA347" s="16">
        <f t="shared" si="147"/>
        <v>1.1430030483712952</v>
      </c>
      <c r="AB347" s="16">
        <f t="shared" si="130"/>
        <v>3.3320729633612899E-2</v>
      </c>
      <c r="AC347" s="14">
        <f t="shared" si="151"/>
        <v>15.449794662037476</v>
      </c>
      <c r="AD347" s="16">
        <f t="shared" si="131"/>
        <v>0.38169028532914689</v>
      </c>
      <c r="AE347" s="16">
        <f t="shared" si="132"/>
        <v>0.11363127315138447</v>
      </c>
      <c r="AF347" s="23" t="str">
        <f t="shared" si="148"/>
        <v/>
      </c>
      <c r="AG347" s="23" t="str">
        <f t="shared" si="128"/>
        <v/>
      </c>
      <c r="AH347" s="23" t="str">
        <f t="shared" si="133"/>
        <v/>
      </c>
      <c r="AI347" s="23" t="str">
        <f t="shared" si="149"/>
        <v/>
      </c>
      <c r="AJ347" s="23" t="str">
        <f t="shared" si="134"/>
        <v/>
      </c>
      <c r="AK347" s="23" t="str">
        <f t="shared" si="135"/>
        <v/>
      </c>
      <c r="AL347" s="23" t="str">
        <f t="shared" si="136"/>
        <v/>
      </c>
      <c r="AM347" s="23" t="str">
        <f t="shared" si="137"/>
        <v/>
      </c>
      <c r="AN347" s="19">
        <f t="shared" si="138"/>
        <v>0</v>
      </c>
      <c r="AO347" s="26">
        <f t="shared" si="139"/>
        <v>208.70840129500013</v>
      </c>
    </row>
    <row r="348" spans="1:41" x14ac:dyDescent="0.2">
      <c r="A348" s="12">
        <v>44902</v>
      </c>
      <c r="B348" s="6">
        <v>7</v>
      </c>
      <c r="C348" s="6">
        <v>341</v>
      </c>
      <c r="D348" s="6">
        <v>4</v>
      </c>
      <c r="E348" s="6" t="s">
        <v>15</v>
      </c>
      <c r="F348" s="6">
        <v>49</v>
      </c>
      <c r="G348" s="6">
        <v>12</v>
      </c>
      <c r="H348" s="6" t="s">
        <v>28</v>
      </c>
      <c r="I348" s="6">
        <v>4</v>
      </c>
      <c r="J348" s="14">
        <v>6.115273393596671</v>
      </c>
      <c r="K348" s="14">
        <f t="shared" si="127"/>
        <v>6.115273393596671</v>
      </c>
      <c r="L348" s="14">
        <v>79.495005669750896</v>
      </c>
      <c r="M348" s="14">
        <f t="shared" si="140"/>
        <v>486.13369309604417</v>
      </c>
      <c r="N348" s="16">
        <v>0.98351114073853785</v>
      </c>
      <c r="O348" s="14">
        <f t="shared" si="141"/>
        <v>478.11790304832869</v>
      </c>
      <c r="P348" s="14">
        <f t="shared" si="142"/>
        <v>8.015790047715484</v>
      </c>
      <c r="Q348" s="14">
        <v>40.22784725987291</v>
      </c>
      <c r="R348" s="14">
        <v>14.551474742791065</v>
      </c>
      <c r="S348" s="14">
        <f t="shared" si="129"/>
        <v>12.987012987012987</v>
      </c>
      <c r="T348" s="14">
        <v>40.009131094099061</v>
      </c>
      <c r="U348" s="14">
        <f t="shared" si="143"/>
        <v>340.2935851672309</v>
      </c>
      <c r="V348" s="14">
        <f t="shared" si="144"/>
        <v>55.646503968825627</v>
      </c>
      <c r="W348" s="14">
        <v>35.048718681563187</v>
      </c>
      <c r="X348" s="16">
        <f t="shared" si="145"/>
        <v>0.72291778262313511</v>
      </c>
      <c r="Y348" s="16">
        <f t="shared" si="150"/>
        <v>0.17447922844647418</v>
      </c>
      <c r="Z348" s="16">
        <f t="shared" si="146"/>
        <v>1.4050159153407684</v>
      </c>
      <c r="AA348" s="16">
        <f t="shared" si="147"/>
        <v>0.10989501509425605</v>
      </c>
      <c r="AB348" s="16">
        <f t="shared" si="130"/>
        <v>2.6714899978033772E-2</v>
      </c>
      <c r="AC348" s="14">
        <f t="shared" si="151"/>
        <v>55.646503968825627</v>
      </c>
      <c r="AD348" s="16">
        <f t="shared" si="131"/>
        <v>0.18304891760424305</v>
      </c>
      <c r="AE348" s="16">
        <f t="shared" si="132"/>
        <v>8.27505845226926E-2</v>
      </c>
      <c r="AF348" s="23" t="str">
        <f t="shared" si="148"/>
        <v/>
      </c>
      <c r="AG348" s="23" t="str">
        <f t="shared" si="128"/>
        <v/>
      </c>
      <c r="AH348" s="23" t="str">
        <f t="shared" si="133"/>
        <v/>
      </c>
      <c r="AI348" s="23" t="str">
        <f t="shared" si="149"/>
        <v/>
      </c>
      <c r="AJ348" s="23" t="str">
        <f t="shared" si="134"/>
        <v/>
      </c>
      <c r="AK348" s="23" t="str">
        <f t="shared" si="135"/>
        <v/>
      </c>
      <c r="AL348" s="23" t="str">
        <f t="shared" si="136"/>
        <v/>
      </c>
      <c r="AM348" s="23" t="str">
        <f t="shared" si="137"/>
        <v/>
      </c>
      <c r="AN348" s="19">
        <f t="shared" si="138"/>
        <v>0</v>
      </c>
      <c r="AO348" s="26">
        <f t="shared" si="139"/>
        <v>8.015790047715484</v>
      </c>
    </row>
    <row r="349" spans="1:41" x14ac:dyDescent="0.2">
      <c r="A349" s="12">
        <v>44903</v>
      </c>
      <c r="B349" s="6">
        <v>8</v>
      </c>
      <c r="C349" s="6">
        <v>342</v>
      </c>
      <c r="D349" s="6">
        <v>5</v>
      </c>
      <c r="E349" s="6" t="s">
        <v>16</v>
      </c>
      <c r="F349" s="6">
        <v>49</v>
      </c>
      <c r="G349" s="6">
        <v>12</v>
      </c>
      <c r="H349" s="6" t="s">
        <v>28</v>
      </c>
      <c r="I349" s="6">
        <v>4</v>
      </c>
      <c r="J349" s="14">
        <v>18.289035496547577</v>
      </c>
      <c r="K349" s="14">
        <f t="shared" si="127"/>
        <v>18.289035496547577</v>
      </c>
      <c r="L349" s="14">
        <v>45.051413436595922</v>
      </c>
      <c r="M349" s="14">
        <f t="shared" si="140"/>
        <v>823.94689951154328</v>
      </c>
      <c r="N349" s="16">
        <v>0.3913633058319973</v>
      </c>
      <c r="O349" s="14">
        <f t="shared" si="141"/>
        <v>322.46258242286206</v>
      </c>
      <c r="P349" s="14">
        <f t="shared" si="142"/>
        <v>501.48431708868122</v>
      </c>
      <c r="Q349" s="14">
        <v>36.18650013593907</v>
      </c>
      <c r="R349" s="14">
        <v>13.244734354034096</v>
      </c>
      <c r="S349" s="14">
        <f t="shared" si="129"/>
        <v>12.987012987012987</v>
      </c>
      <c r="T349" s="14">
        <v>37.794307151434921</v>
      </c>
      <c r="U349" s="14">
        <f t="shared" si="143"/>
        <v>576.76282965808025</v>
      </c>
      <c r="V349" s="14">
        <f t="shared" si="144"/>
        <v>31.535989405617144</v>
      </c>
      <c r="W349" s="14">
        <v>47.640609877475555</v>
      </c>
      <c r="X349" s="16">
        <f t="shared" si="145"/>
        <v>1.1474667774175997</v>
      </c>
      <c r="Y349" s="16">
        <f t="shared" si="150"/>
        <v>0.38389591450622085</v>
      </c>
      <c r="Z349" s="16">
        <f t="shared" si="146"/>
        <v>0.55909043690285332</v>
      </c>
      <c r="AA349" s="16">
        <f t="shared" si="147"/>
        <v>0.57994170600811912</v>
      </c>
      <c r="AB349" s="16">
        <f t="shared" si="130"/>
        <v>1.5761953828228516E-2</v>
      </c>
      <c r="AC349" s="14">
        <f t="shared" si="151"/>
        <v>31.535989405617144</v>
      </c>
      <c r="AD349" s="16">
        <f t="shared" si="131"/>
        <v>0.29399153863783561</v>
      </c>
      <c r="AE349" s="16">
        <f t="shared" si="132"/>
        <v>4.3918485714784961E-2</v>
      </c>
      <c r="AF349" s="23" t="str">
        <f t="shared" si="148"/>
        <v/>
      </c>
      <c r="AG349" s="23" t="str">
        <f t="shared" si="128"/>
        <v/>
      </c>
      <c r="AH349" s="23" t="str">
        <f t="shared" si="133"/>
        <v/>
      </c>
      <c r="AI349" s="23" t="str">
        <f t="shared" si="149"/>
        <v/>
      </c>
      <c r="AJ349" s="23" t="str">
        <f t="shared" si="134"/>
        <v/>
      </c>
      <c r="AK349" s="23" t="str">
        <f t="shared" si="135"/>
        <v/>
      </c>
      <c r="AL349" s="23" t="str">
        <f t="shared" si="136"/>
        <v/>
      </c>
      <c r="AM349" s="23" t="str">
        <f t="shared" si="137"/>
        <v/>
      </c>
      <c r="AN349" s="19">
        <f t="shared" si="138"/>
        <v>0</v>
      </c>
      <c r="AO349" s="26">
        <f t="shared" si="139"/>
        <v>501.48431708868122</v>
      </c>
    </row>
    <row r="350" spans="1:41" x14ac:dyDescent="0.2">
      <c r="A350" s="12">
        <v>44904</v>
      </c>
      <c r="B350" s="6">
        <v>9</v>
      </c>
      <c r="C350" s="6">
        <v>343</v>
      </c>
      <c r="D350" s="6">
        <v>6</v>
      </c>
      <c r="E350" s="6" t="s">
        <v>17</v>
      </c>
      <c r="F350" s="6">
        <v>49</v>
      </c>
      <c r="G350" s="6">
        <v>12</v>
      </c>
      <c r="H350" s="6" t="s">
        <v>28</v>
      </c>
      <c r="I350" s="6">
        <v>4</v>
      </c>
      <c r="J350" s="14">
        <v>24.366466586957088</v>
      </c>
      <c r="K350" s="14">
        <f t="shared" si="127"/>
        <v>24.366466586957088</v>
      </c>
      <c r="L350" s="14">
        <v>92.323326623657152</v>
      </c>
      <c r="M350" s="14">
        <f t="shared" si="140"/>
        <v>2249.5932533720679</v>
      </c>
      <c r="N350" s="16">
        <v>0.88405763314344343</v>
      </c>
      <c r="O350" s="14">
        <f t="shared" si="141"/>
        <v>1988.770087111569</v>
      </c>
      <c r="P350" s="14">
        <f t="shared" si="142"/>
        <v>260.82316626049897</v>
      </c>
      <c r="Q350" s="14">
        <v>41.467343068000467</v>
      </c>
      <c r="R350" s="14">
        <v>15.543862049920202</v>
      </c>
      <c r="S350" s="14">
        <f t="shared" si="129"/>
        <v>12.987012987012987</v>
      </c>
      <c r="T350" s="14">
        <v>37.288820023681673</v>
      </c>
      <c r="U350" s="14">
        <f t="shared" si="143"/>
        <v>1574.7152773604475</v>
      </c>
      <c r="V350" s="14">
        <f t="shared" si="144"/>
        <v>64.626328636560018</v>
      </c>
      <c r="W350" s="14">
        <v>35.237461608505214</v>
      </c>
      <c r="X350" s="16">
        <f t="shared" si="145"/>
        <v>0.64164782284323996</v>
      </c>
      <c r="Y350" s="16">
        <f t="shared" si="150"/>
        <v>0.69149324255172195</v>
      </c>
      <c r="Z350" s="16">
        <f t="shared" si="146"/>
        <v>1.262939475919205</v>
      </c>
      <c r="AA350" s="16">
        <f t="shared" si="147"/>
        <v>0.37703621884490957</v>
      </c>
      <c r="AB350" s="16">
        <f t="shared" si="130"/>
        <v>5.7730494023956877E-3</v>
      </c>
      <c r="AC350" s="14">
        <f t="shared" si="151"/>
        <v>64.626328636560018</v>
      </c>
      <c r="AD350" s="16">
        <f t="shared" si="131"/>
        <v>0.16836332288244479</v>
      </c>
      <c r="AE350" s="16">
        <f t="shared" si="132"/>
        <v>1.8433262549059592E-2</v>
      </c>
      <c r="AF350" s="23" t="str">
        <f t="shared" si="148"/>
        <v/>
      </c>
      <c r="AG350" s="23" t="str">
        <f t="shared" si="128"/>
        <v/>
      </c>
      <c r="AH350" s="23" t="str">
        <f t="shared" si="133"/>
        <v/>
      </c>
      <c r="AI350" s="23" t="str">
        <f t="shared" si="149"/>
        <v/>
      </c>
      <c r="AJ350" s="23" t="str">
        <f t="shared" si="134"/>
        <v/>
      </c>
      <c r="AK350" s="23" t="str">
        <f t="shared" si="135"/>
        <v/>
      </c>
      <c r="AL350" s="23" t="str">
        <f t="shared" si="136"/>
        <v/>
      </c>
      <c r="AM350" s="23" t="str">
        <f t="shared" si="137"/>
        <v/>
      </c>
      <c r="AN350" s="19">
        <f t="shared" si="138"/>
        <v>0</v>
      </c>
      <c r="AO350" s="26">
        <f t="shared" si="139"/>
        <v>260.82316626049897</v>
      </c>
    </row>
    <row r="351" spans="1:41" x14ac:dyDescent="0.2">
      <c r="A351" s="12">
        <v>44905</v>
      </c>
      <c r="B351" s="6">
        <v>10</v>
      </c>
      <c r="C351" s="6">
        <v>344</v>
      </c>
      <c r="D351" s="6">
        <v>7</v>
      </c>
      <c r="E351" s="6" t="s">
        <v>10</v>
      </c>
      <c r="F351" s="6">
        <v>49</v>
      </c>
      <c r="G351" s="6">
        <v>12</v>
      </c>
      <c r="H351" s="6" t="s">
        <v>28</v>
      </c>
      <c r="I351" s="6">
        <v>4</v>
      </c>
      <c r="J351" s="14">
        <v>13.204794709474811</v>
      </c>
      <c r="K351" s="14">
        <f t="shared" si="127"/>
        <v>13.204794709474811</v>
      </c>
      <c r="L351" s="14">
        <v>105.4667729897901</v>
      </c>
      <c r="M351" s="14">
        <f t="shared" si="140"/>
        <v>1392.6670860009613</v>
      </c>
      <c r="N351" s="16">
        <v>0.59558051958833158</v>
      </c>
      <c r="O351" s="14">
        <f t="shared" si="141"/>
        <v>829.44538669402016</v>
      </c>
      <c r="P351" s="14">
        <f t="shared" si="142"/>
        <v>563.2216993069411</v>
      </c>
      <c r="Q351" s="14">
        <v>40.230405202579306</v>
      </c>
      <c r="R351" s="14">
        <v>17.351039578458849</v>
      </c>
      <c r="S351" s="14">
        <f t="shared" si="129"/>
        <v>12.987012987012987</v>
      </c>
      <c r="T351" s="14">
        <v>37.174558709279545</v>
      </c>
      <c r="U351" s="14">
        <f t="shared" si="143"/>
        <v>974.86696020067279</v>
      </c>
      <c r="V351" s="14">
        <f t="shared" si="144"/>
        <v>73.826741092853069</v>
      </c>
      <c r="W351" s="14">
        <v>38.420132108033471</v>
      </c>
      <c r="X351" s="16">
        <f t="shared" si="145"/>
        <v>0.54492998887734845</v>
      </c>
      <c r="Y351" s="16">
        <f t="shared" si="150"/>
        <v>0.34369467216677657</v>
      </c>
      <c r="Z351" s="16">
        <f t="shared" si="146"/>
        <v>0.85082931369761661</v>
      </c>
      <c r="AA351" s="16">
        <f t="shared" si="147"/>
        <v>0.1788619477712951</v>
      </c>
      <c r="AB351" s="16">
        <f t="shared" si="130"/>
        <v>9.3252817687428449E-3</v>
      </c>
      <c r="AC351" s="14">
        <f t="shared" si="151"/>
        <v>73.826741092853069</v>
      </c>
      <c r="AD351" s="16">
        <f t="shared" si="131"/>
        <v>0.16451664430975382</v>
      </c>
      <c r="AE351" s="16">
        <f t="shared" si="132"/>
        <v>2.8887309542225757E-2</v>
      </c>
      <c r="AF351" s="23" t="str">
        <f t="shared" si="148"/>
        <v/>
      </c>
      <c r="AG351" s="23" t="str">
        <f t="shared" si="128"/>
        <v/>
      </c>
      <c r="AH351" s="23" t="str">
        <f t="shared" si="133"/>
        <v/>
      </c>
      <c r="AI351" s="23">
        <f t="shared" si="149"/>
        <v>300</v>
      </c>
      <c r="AJ351" s="23" t="str">
        <f t="shared" si="134"/>
        <v/>
      </c>
      <c r="AK351" s="23" t="str">
        <f t="shared" si="135"/>
        <v/>
      </c>
      <c r="AL351" s="23" t="str">
        <f t="shared" si="136"/>
        <v/>
      </c>
      <c r="AM351" s="23" t="str">
        <f t="shared" si="137"/>
        <v/>
      </c>
      <c r="AN351" s="19">
        <f t="shared" si="138"/>
        <v>300</v>
      </c>
      <c r="AO351" s="26">
        <f t="shared" si="139"/>
        <v>263.2216993069411</v>
      </c>
    </row>
    <row r="352" spans="1:41" x14ac:dyDescent="0.2">
      <c r="A352" s="12">
        <v>44906</v>
      </c>
      <c r="B352" s="6">
        <v>11</v>
      </c>
      <c r="C352" s="6">
        <v>345</v>
      </c>
      <c r="D352" s="6">
        <v>1</v>
      </c>
      <c r="E352" s="6" t="s">
        <v>12</v>
      </c>
      <c r="F352" s="6">
        <v>50</v>
      </c>
      <c r="G352" s="6">
        <v>12</v>
      </c>
      <c r="H352" s="6" t="s">
        <v>28</v>
      </c>
      <c r="I352" s="6">
        <v>4</v>
      </c>
      <c r="J352" s="14">
        <v>6.776892568352924</v>
      </c>
      <c r="K352" s="14">
        <f t="shared" si="127"/>
        <v>6.776892568352924</v>
      </c>
      <c r="L352" s="14">
        <v>41.073223751642004</v>
      </c>
      <c r="M352" s="14">
        <f t="shared" si="140"/>
        <v>278.34882480079949</v>
      </c>
      <c r="N352" s="16">
        <v>0.43291311927986775</v>
      </c>
      <c r="O352" s="14">
        <f t="shared" si="141"/>
        <v>120.50085799239952</v>
      </c>
      <c r="P352" s="14">
        <f t="shared" si="142"/>
        <v>157.84796680839997</v>
      </c>
      <c r="Q352" s="14">
        <v>23.432402730972175</v>
      </c>
      <c r="R352" s="14">
        <v>6.7196538523186655</v>
      </c>
      <c r="S352" s="14">
        <f t="shared" si="129"/>
        <v>28.571428571428573</v>
      </c>
      <c r="T352" s="14">
        <v>18.346237138386027</v>
      </c>
      <c r="U352" s="14">
        <f t="shared" si="143"/>
        <v>194.84417736055963</v>
      </c>
      <c r="V352" s="14">
        <f t="shared" si="144"/>
        <v>28.751256626149399</v>
      </c>
      <c r="W352" s="14">
        <v>18.088691779147567</v>
      </c>
      <c r="X352" s="16">
        <f t="shared" si="145"/>
        <v>0.8150044721753239</v>
      </c>
      <c r="Y352" s="16">
        <f t="shared" si="150"/>
        <v>0.37464802049229712</v>
      </c>
      <c r="Z352" s="16">
        <f t="shared" si="146"/>
        <v>0.61844731325695401</v>
      </c>
      <c r="AA352" s="16">
        <f t="shared" si="147"/>
        <v>0.23570769989195217</v>
      </c>
      <c r="AB352" s="16">
        <f t="shared" si="130"/>
        <v>0.10264612610409163</v>
      </c>
      <c r="AC352" s="14">
        <f t="shared" si="151"/>
        <v>28.751256626149399</v>
      </c>
      <c r="AD352" s="16">
        <f t="shared" si="131"/>
        <v>0.1636018125324295</v>
      </c>
      <c r="AE352" s="16">
        <f t="shared" si="132"/>
        <v>8.4183587797583087E-2</v>
      </c>
      <c r="AF352" s="23" t="str">
        <f t="shared" si="148"/>
        <v/>
      </c>
      <c r="AG352" s="23">
        <f t="shared" si="128"/>
        <v>1000</v>
      </c>
      <c r="AH352" s="23" t="str">
        <f t="shared" si="133"/>
        <v/>
      </c>
      <c r="AI352" s="23" t="str">
        <f t="shared" si="149"/>
        <v/>
      </c>
      <c r="AJ352" s="23" t="str">
        <f t="shared" si="134"/>
        <v/>
      </c>
      <c r="AK352" s="23" t="str">
        <f t="shared" si="135"/>
        <v/>
      </c>
      <c r="AL352" s="23" t="str">
        <f t="shared" si="136"/>
        <v/>
      </c>
      <c r="AM352" s="23" t="str">
        <f t="shared" si="137"/>
        <v/>
      </c>
      <c r="AN352" s="19">
        <f t="shared" si="138"/>
        <v>1000</v>
      </c>
      <c r="AO352" s="26">
        <f t="shared" si="139"/>
        <v>-842.15203319160003</v>
      </c>
    </row>
    <row r="353" spans="1:41" x14ac:dyDescent="0.2">
      <c r="A353" s="12">
        <v>44907</v>
      </c>
      <c r="B353" s="6">
        <v>12</v>
      </c>
      <c r="C353" s="6">
        <v>346</v>
      </c>
      <c r="D353" s="6">
        <v>2</v>
      </c>
      <c r="E353" s="6" t="s">
        <v>13</v>
      </c>
      <c r="F353" s="6">
        <v>50</v>
      </c>
      <c r="G353" s="6">
        <v>12</v>
      </c>
      <c r="H353" s="6" t="s">
        <v>28</v>
      </c>
      <c r="I353" s="6">
        <v>4</v>
      </c>
      <c r="J353" s="14">
        <v>23.571027595515229</v>
      </c>
      <c r="K353" s="14">
        <f t="shared" si="127"/>
        <v>23.571027595515229</v>
      </c>
      <c r="L353" s="14">
        <v>74.94051936366094</v>
      </c>
      <c r="M353" s="14">
        <f t="shared" si="140"/>
        <v>1766.4250499430955</v>
      </c>
      <c r="N353" s="16">
        <v>0.6496135416126918</v>
      </c>
      <c r="O353" s="14">
        <f t="shared" si="141"/>
        <v>1147.4936326869104</v>
      </c>
      <c r="P353" s="14">
        <f t="shared" si="142"/>
        <v>618.93141725618511</v>
      </c>
      <c r="Q353" s="14">
        <v>40.149820093531432</v>
      </c>
      <c r="R353" s="14">
        <v>21.560786251957463</v>
      </c>
      <c r="S353" s="14">
        <f t="shared" si="129"/>
        <v>12.987012987012987</v>
      </c>
      <c r="T353" s="14">
        <v>46.247777626626963</v>
      </c>
      <c r="U353" s="14">
        <f t="shared" si="143"/>
        <v>1236.4975349601668</v>
      </c>
      <c r="V353" s="14">
        <f t="shared" si="144"/>
        <v>52.458363554562659</v>
      </c>
      <c r="W353" s="14">
        <v>39.982622835306103</v>
      </c>
      <c r="X353" s="16">
        <f t="shared" si="145"/>
        <v>0.76536547030810553</v>
      </c>
      <c r="Y353" s="16">
        <f t="shared" si="150"/>
        <v>0.58953179966725844</v>
      </c>
      <c r="Z353" s="16">
        <f t="shared" si="146"/>
        <v>0.92801934516098838</v>
      </c>
      <c r="AA353" s="16">
        <f t="shared" si="147"/>
        <v>0.44932830531395973</v>
      </c>
      <c r="AB353" s="16">
        <f t="shared" si="130"/>
        <v>7.3521449367078195E-3</v>
      </c>
      <c r="AC353" s="14">
        <f t="shared" si="151"/>
        <v>52.458363554562659</v>
      </c>
      <c r="AD353" s="16">
        <f t="shared" si="131"/>
        <v>0.28770532196781656</v>
      </c>
      <c r="AE353" s="16">
        <f t="shared" si="132"/>
        <v>2.2729421831299799E-2</v>
      </c>
      <c r="AF353" s="23" t="str">
        <f t="shared" si="148"/>
        <v/>
      </c>
      <c r="AG353" s="23" t="str">
        <f t="shared" si="128"/>
        <v/>
      </c>
      <c r="AH353" s="23" t="str">
        <f t="shared" si="133"/>
        <v/>
      </c>
      <c r="AI353" s="23" t="str">
        <f t="shared" si="149"/>
        <v/>
      </c>
      <c r="AJ353" s="23" t="str">
        <f t="shared" si="134"/>
        <v/>
      </c>
      <c r="AK353" s="23">
        <f t="shared" si="135"/>
        <v>480</v>
      </c>
      <c r="AL353" s="23" t="str">
        <f t="shared" si="136"/>
        <v/>
      </c>
      <c r="AM353" s="23" t="str">
        <f t="shared" si="137"/>
        <v/>
      </c>
      <c r="AN353" s="19">
        <f t="shared" si="138"/>
        <v>480</v>
      </c>
      <c r="AO353" s="26">
        <f t="shared" si="139"/>
        <v>138.93141725618511</v>
      </c>
    </row>
    <row r="354" spans="1:41" x14ac:dyDescent="0.2">
      <c r="A354" s="12">
        <v>44908</v>
      </c>
      <c r="B354" s="6">
        <v>13</v>
      </c>
      <c r="C354" s="6">
        <v>347</v>
      </c>
      <c r="D354" s="6">
        <v>3</v>
      </c>
      <c r="E354" s="6" t="s">
        <v>14</v>
      </c>
      <c r="F354" s="6">
        <v>50</v>
      </c>
      <c r="G354" s="6">
        <v>12</v>
      </c>
      <c r="H354" s="6" t="s">
        <v>28</v>
      </c>
      <c r="I354" s="6">
        <v>4</v>
      </c>
      <c r="J354" s="14">
        <v>15.484761690140104</v>
      </c>
      <c r="K354" s="14">
        <f t="shared" si="127"/>
        <v>15.484761690140104</v>
      </c>
      <c r="L354" s="14">
        <v>79.229620611913973</v>
      </c>
      <c r="M354" s="14">
        <f t="shared" si="140"/>
        <v>1226.8517939757003</v>
      </c>
      <c r="N354" s="16">
        <v>0.733399984820858</v>
      </c>
      <c r="O354" s="14">
        <f t="shared" si="141"/>
        <v>899.773087079221</v>
      </c>
      <c r="P354" s="14">
        <f t="shared" si="142"/>
        <v>327.07870689647928</v>
      </c>
      <c r="Q354" s="14">
        <v>44.433916501549831</v>
      </c>
      <c r="R354" s="14">
        <v>13.706652174245638</v>
      </c>
      <c r="S354" s="14">
        <f t="shared" si="129"/>
        <v>12.987012987012987</v>
      </c>
      <c r="T354" s="14">
        <v>39.520548489860431</v>
      </c>
      <c r="U354" s="14">
        <f t="shared" si="143"/>
        <v>858.7962557829901</v>
      </c>
      <c r="V354" s="14">
        <f t="shared" si="144"/>
        <v>55.460734428339777</v>
      </c>
      <c r="W354" s="14">
        <v>43.940651572115719</v>
      </c>
      <c r="X354" s="16">
        <f t="shared" si="145"/>
        <v>0.80117793173046459</v>
      </c>
      <c r="Y354" s="16">
        <f t="shared" si="150"/>
        <v>0.35240173133815278</v>
      </c>
      <c r="Z354" s="16">
        <f t="shared" si="146"/>
        <v>1.0477142640297972</v>
      </c>
      <c r="AA354" s="16">
        <f t="shared" si="147"/>
        <v>0.27920224731513066</v>
      </c>
      <c r="AB354" s="16">
        <f t="shared" si="130"/>
        <v>1.0585641273692603E-2</v>
      </c>
      <c r="AC354" s="14">
        <f t="shared" si="151"/>
        <v>55.460734428339777</v>
      </c>
      <c r="AD354" s="16">
        <f t="shared" si="131"/>
        <v>0.17299908883047879</v>
      </c>
      <c r="AE354" s="16">
        <f t="shared" si="132"/>
        <v>3.6217835536237489E-2</v>
      </c>
      <c r="AF354" s="23" t="str">
        <f t="shared" si="148"/>
        <v/>
      </c>
      <c r="AG354" s="23" t="str">
        <f t="shared" si="128"/>
        <v/>
      </c>
      <c r="AH354" s="23" t="str">
        <f t="shared" si="133"/>
        <v/>
      </c>
      <c r="AI354" s="23" t="str">
        <f t="shared" si="149"/>
        <v/>
      </c>
      <c r="AJ354" s="23" t="str">
        <f t="shared" si="134"/>
        <v/>
      </c>
      <c r="AK354" s="23" t="str">
        <f t="shared" si="135"/>
        <v/>
      </c>
      <c r="AL354" s="23" t="str">
        <f t="shared" si="136"/>
        <v/>
      </c>
      <c r="AM354" s="23" t="str">
        <f t="shared" si="137"/>
        <v/>
      </c>
      <c r="AN354" s="19">
        <f t="shared" si="138"/>
        <v>0</v>
      </c>
      <c r="AO354" s="26">
        <f t="shared" si="139"/>
        <v>327.07870689647928</v>
      </c>
    </row>
    <row r="355" spans="1:41" x14ac:dyDescent="0.2">
      <c r="A355" s="12">
        <v>44909</v>
      </c>
      <c r="B355" s="6">
        <v>14</v>
      </c>
      <c r="C355" s="6">
        <v>348</v>
      </c>
      <c r="D355" s="6">
        <v>4</v>
      </c>
      <c r="E355" s="6" t="s">
        <v>15</v>
      </c>
      <c r="F355" s="6">
        <v>50</v>
      </c>
      <c r="G355" s="6">
        <v>12</v>
      </c>
      <c r="H355" s="6" t="s">
        <v>28</v>
      </c>
      <c r="I355" s="6">
        <v>4</v>
      </c>
      <c r="J355" s="14">
        <v>30.93981752915203</v>
      </c>
      <c r="K355" s="14">
        <f t="shared" si="127"/>
        <v>30.93981752915203</v>
      </c>
      <c r="L355" s="14">
        <v>58.883137771681092</v>
      </c>
      <c r="M355" s="14">
        <f t="shared" si="140"/>
        <v>1821.8335381997326</v>
      </c>
      <c r="N355" s="16">
        <v>0.51102817694254832</v>
      </c>
      <c r="O355" s="14">
        <f t="shared" si="141"/>
        <v>931.00827171900187</v>
      </c>
      <c r="P355" s="14">
        <f t="shared" si="142"/>
        <v>890.82526648073076</v>
      </c>
      <c r="Q355" s="14">
        <v>20.60883590637712</v>
      </c>
      <c r="R355" s="14">
        <v>19.421121851525989</v>
      </c>
      <c r="S355" s="14">
        <f t="shared" si="129"/>
        <v>12.987012987012987</v>
      </c>
      <c r="T355" s="14">
        <v>45.730135092990608</v>
      </c>
      <c r="U355" s="14">
        <f t="shared" si="143"/>
        <v>1275.2834767398128</v>
      </c>
      <c r="V355" s="14">
        <f t="shared" si="144"/>
        <v>41.218196440176762</v>
      </c>
      <c r="W355" s="14">
        <v>43.471540968621959</v>
      </c>
      <c r="X355" s="16">
        <f t="shared" si="145"/>
        <v>0.4999936359730916</v>
      </c>
      <c r="Y355" s="16">
        <f t="shared" si="150"/>
        <v>0.7117258058895265</v>
      </c>
      <c r="Z355" s="16">
        <f t="shared" si="146"/>
        <v>0.73004025277506901</v>
      </c>
      <c r="AA355" s="16">
        <f t="shared" si="147"/>
        <v>0.75063491858644138</v>
      </c>
      <c r="AB355" s="16">
        <f t="shared" si="130"/>
        <v>7.1285398554284301E-3</v>
      </c>
      <c r="AC355" s="14">
        <f t="shared" si="151"/>
        <v>41.218196440176762</v>
      </c>
      <c r="AD355" s="16">
        <f t="shared" si="131"/>
        <v>0.32982484606766777</v>
      </c>
      <c r="AE355" s="16">
        <f t="shared" si="132"/>
        <v>1.1312139926209722E-2</v>
      </c>
      <c r="AF355" s="23" t="str">
        <f t="shared" si="148"/>
        <v/>
      </c>
      <c r="AG355" s="23" t="str">
        <f t="shared" si="128"/>
        <v/>
      </c>
      <c r="AH355" s="23" t="str">
        <f t="shared" si="133"/>
        <v/>
      </c>
      <c r="AI355" s="23" t="str">
        <f t="shared" si="149"/>
        <v/>
      </c>
      <c r="AJ355" s="23" t="str">
        <f t="shared" si="134"/>
        <v/>
      </c>
      <c r="AK355" s="23" t="str">
        <f t="shared" si="135"/>
        <v/>
      </c>
      <c r="AL355" s="23" t="str">
        <f t="shared" si="136"/>
        <v/>
      </c>
      <c r="AM355" s="23" t="str">
        <f t="shared" si="137"/>
        <v/>
      </c>
      <c r="AN355" s="19">
        <f t="shared" si="138"/>
        <v>0</v>
      </c>
      <c r="AO355" s="26">
        <f t="shared" si="139"/>
        <v>890.82526648073076</v>
      </c>
    </row>
    <row r="356" spans="1:41" x14ac:dyDescent="0.2">
      <c r="A356" s="12">
        <v>44910</v>
      </c>
      <c r="B356" s="6">
        <v>15</v>
      </c>
      <c r="C356" s="6">
        <v>349</v>
      </c>
      <c r="D356" s="6">
        <v>5</v>
      </c>
      <c r="E356" s="6" t="s">
        <v>16</v>
      </c>
      <c r="F356" s="6">
        <v>50</v>
      </c>
      <c r="G356" s="6">
        <v>12</v>
      </c>
      <c r="H356" s="6" t="s">
        <v>28</v>
      </c>
      <c r="I356" s="6">
        <v>4</v>
      </c>
      <c r="J356" s="14">
        <v>15.261157817760528</v>
      </c>
      <c r="K356" s="14">
        <f t="shared" si="127"/>
        <v>15.261157817760528</v>
      </c>
      <c r="L356" s="14">
        <v>159.21851197828045</v>
      </c>
      <c r="M356" s="14">
        <f t="shared" si="140"/>
        <v>2429.8588388095332</v>
      </c>
      <c r="N356" s="16">
        <v>0.79106869623508735</v>
      </c>
      <c r="O356" s="14">
        <f t="shared" si="141"/>
        <v>1922.1852636523606</v>
      </c>
      <c r="P356" s="14">
        <f t="shared" si="142"/>
        <v>507.67357515717254</v>
      </c>
      <c r="Q356" s="14">
        <v>46.88635929826242</v>
      </c>
      <c r="R356" s="14">
        <v>17.892520762051021</v>
      </c>
      <c r="S356" s="14">
        <f t="shared" si="129"/>
        <v>12.987012987012987</v>
      </c>
      <c r="T356" s="14">
        <v>41.924008437389851</v>
      </c>
      <c r="U356" s="14">
        <f t="shared" si="143"/>
        <v>1700.901187166673</v>
      </c>
      <c r="V356" s="14">
        <f t="shared" si="144"/>
        <v>111.4529583847963</v>
      </c>
      <c r="W356" s="14">
        <v>43.499905981821748</v>
      </c>
      <c r="X356" s="16">
        <f t="shared" si="145"/>
        <v>0.42068294980905913</v>
      </c>
      <c r="Y356" s="16">
        <f t="shared" si="150"/>
        <v>0.35083197246766556</v>
      </c>
      <c r="Z356" s="16">
        <f t="shared" si="146"/>
        <v>1.1300981374786963</v>
      </c>
      <c r="AA356" s="16">
        <f t="shared" si="147"/>
        <v>0.13692914067898226</v>
      </c>
      <c r="AB356" s="16">
        <f t="shared" si="130"/>
        <v>5.3447602714961611E-3</v>
      </c>
      <c r="AC356" s="14">
        <f t="shared" si="151"/>
        <v>111.4529583847963</v>
      </c>
      <c r="AD356" s="16">
        <f t="shared" si="131"/>
        <v>0.11237713843533347</v>
      </c>
      <c r="AE356" s="16">
        <f t="shared" si="132"/>
        <v>1.9295918984838466E-2</v>
      </c>
      <c r="AF356" s="23" t="str">
        <f t="shared" si="148"/>
        <v/>
      </c>
      <c r="AG356" s="23" t="str">
        <f t="shared" si="128"/>
        <v/>
      </c>
      <c r="AH356" s="23">
        <f t="shared" si="133"/>
        <v>300</v>
      </c>
      <c r="AI356" s="23" t="str">
        <f t="shared" si="149"/>
        <v/>
      </c>
      <c r="AJ356" s="23" t="str">
        <f t="shared" si="134"/>
        <v/>
      </c>
      <c r="AK356" s="23" t="str">
        <f t="shared" si="135"/>
        <v/>
      </c>
      <c r="AL356" s="23" t="str">
        <f t="shared" si="136"/>
        <v/>
      </c>
      <c r="AM356" s="23" t="str">
        <f t="shared" si="137"/>
        <v/>
      </c>
      <c r="AN356" s="19">
        <f t="shared" si="138"/>
        <v>300</v>
      </c>
      <c r="AO356" s="26">
        <f t="shared" si="139"/>
        <v>207.67357515717254</v>
      </c>
    </row>
    <row r="357" spans="1:41" x14ac:dyDescent="0.2">
      <c r="A357" s="12">
        <v>44911</v>
      </c>
      <c r="B357" s="6">
        <v>16</v>
      </c>
      <c r="C357" s="6">
        <v>350</v>
      </c>
      <c r="D357" s="6">
        <v>6</v>
      </c>
      <c r="E357" s="6" t="s">
        <v>17</v>
      </c>
      <c r="F357" s="6">
        <v>50</v>
      </c>
      <c r="G357" s="6">
        <v>12</v>
      </c>
      <c r="H357" s="6" t="s">
        <v>28</v>
      </c>
      <c r="I357" s="6">
        <v>4</v>
      </c>
      <c r="J357" s="14">
        <v>2.3817212309360958</v>
      </c>
      <c r="K357" s="14">
        <f t="shared" si="127"/>
        <v>2.3817212309360958</v>
      </c>
      <c r="L357" s="14">
        <v>57.602033626083461</v>
      </c>
      <c r="M357" s="14">
        <f t="shared" si="140"/>
        <v>137.19198643233787</v>
      </c>
      <c r="N357" s="16">
        <v>0.82999583652703113</v>
      </c>
      <c r="O357" s="14">
        <f t="shared" si="141"/>
        <v>113.86877754371338</v>
      </c>
      <c r="P357" s="14">
        <f t="shared" si="142"/>
        <v>23.323208888624492</v>
      </c>
      <c r="Q357" s="14">
        <v>66.310597281762625</v>
      </c>
      <c r="R357" s="14">
        <v>23.733049877898427</v>
      </c>
      <c r="S357" s="14">
        <f t="shared" si="129"/>
        <v>12.987012987012987</v>
      </c>
      <c r="T357" s="14">
        <v>38.691042591231955</v>
      </c>
      <c r="U357" s="14">
        <f t="shared" si="143"/>
        <v>96.034390502636498</v>
      </c>
      <c r="V357" s="14">
        <f t="shared" si="144"/>
        <v>40.321423538258415</v>
      </c>
      <c r="W357" s="14">
        <v>31.976063718401349</v>
      </c>
      <c r="X357" s="16">
        <f t="shared" si="145"/>
        <v>1.6445500050077535</v>
      </c>
      <c r="Y357" s="16">
        <f t="shared" si="150"/>
        <v>7.4484503530854562E-2</v>
      </c>
      <c r="Z357" s="16">
        <f t="shared" si="146"/>
        <v>1.1857083378957589</v>
      </c>
      <c r="AA357" s="16">
        <f t="shared" si="147"/>
        <v>5.9068381568330122E-2</v>
      </c>
      <c r="AB357" s="16">
        <f t="shared" si="130"/>
        <v>9.4663058132904071E-2</v>
      </c>
      <c r="AC357" s="14">
        <f t="shared" si="151"/>
        <v>40.321423538258415</v>
      </c>
      <c r="AD357" s="16">
        <f t="shared" si="131"/>
        <v>0.41201756923997873</v>
      </c>
      <c r="AE357" s="16">
        <f t="shared" si="132"/>
        <v>0.48334162224895366</v>
      </c>
      <c r="AF357" s="23" t="str">
        <f t="shared" si="148"/>
        <v/>
      </c>
      <c r="AG357" s="23" t="str">
        <f t="shared" si="128"/>
        <v/>
      </c>
      <c r="AH357" s="23" t="str">
        <f t="shared" si="133"/>
        <v/>
      </c>
      <c r="AI357" s="23" t="str">
        <f t="shared" si="149"/>
        <v/>
      </c>
      <c r="AJ357" s="23" t="str">
        <f t="shared" si="134"/>
        <v/>
      </c>
      <c r="AK357" s="23" t="str">
        <f t="shared" si="135"/>
        <v/>
      </c>
      <c r="AL357" s="23" t="str">
        <f t="shared" si="136"/>
        <v/>
      </c>
      <c r="AM357" s="23" t="str">
        <f t="shared" si="137"/>
        <v/>
      </c>
      <c r="AN357" s="19">
        <f t="shared" si="138"/>
        <v>0</v>
      </c>
      <c r="AO357" s="26">
        <f t="shared" si="139"/>
        <v>23.323208888624492</v>
      </c>
    </row>
    <row r="358" spans="1:41" x14ac:dyDescent="0.2">
      <c r="A358" s="12">
        <v>44912</v>
      </c>
      <c r="B358" s="6">
        <v>17</v>
      </c>
      <c r="C358" s="6">
        <v>351</v>
      </c>
      <c r="D358" s="6">
        <v>7</v>
      </c>
      <c r="E358" s="6" t="s">
        <v>10</v>
      </c>
      <c r="F358" s="6">
        <v>50</v>
      </c>
      <c r="G358" s="6">
        <v>12</v>
      </c>
      <c r="H358" s="6" t="s">
        <v>28</v>
      </c>
      <c r="I358" s="6">
        <v>4</v>
      </c>
      <c r="J358" s="14">
        <v>32.555199474233973</v>
      </c>
      <c r="K358" s="14">
        <f t="shared" si="127"/>
        <v>32.555199474233973</v>
      </c>
      <c r="L358" s="14">
        <v>72.01704359425257</v>
      </c>
      <c r="M358" s="14">
        <f t="shared" si="140"/>
        <v>2344.5292197554963</v>
      </c>
      <c r="N358" s="16">
        <v>0.67037563938798406</v>
      </c>
      <c r="O358" s="14">
        <f t="shared" si="141"/>
        <v>1571.7152747574023</v>
      </c>
      <c r="P358" s="14">
        <f t="shared" si="142"/>
        <v>772.81394499809403</v>
      </c>
      <c r="Q358" s="14">
        <v>39.840468934222194</v>
      </c>
      <c r="R358" s="14">
        <v>12.933119455223757</v>
      </c>
      <c r="S358" s="14">
        <f t="shared" si="129"/>
        <v>12.987012987012987</v>
      </c>
      <c r="T358" s="14">
        <v>46.812803747303107</v>
      </c>
      <c r="U358" s="14">
        <f t="shared" si="143"/>
        <v>1641.1704538288473</v>
      </c>
      <c r="V358" s="14">
        <f t="shared" si="144"/>
        <v>50.411930515976792</v>
      </c>
      <c r="W358" s="14">
        <v>49.477067238105917</v>
      </c>
      <c r="X358" s="16">
        <f t="shared" si="145"/>
        <v>0.79029841798254008</v>
      </c>
      <c r="Y358" s="16">
        <f t="shared" si="150"/>
        <v>0.65798563438620361</v>
      </c>
      <c r="Z358" s="16">
        <f t="shared" si="146"/>
        <v>0.95767948483997734</v>
      </c>
      <c r="AA358" s="16">
        <f t="shared" si="147"/>
        <v>0.64578362980795634</v>
      </c>
      <c r="AB358" s="16">
        <f t="shared" si="130"/>
        <v>5.5392839114913493E-3</v>
      </c>
      <c r="AC358" s="14">
        <f t="shared" si="151"/>
        <v>50.411930515976792</v>
      </c>
      <c r="AD358" s="16">
        <f t="shared" si="131"/>
        <v>0.17958414855363355</v>
      </c>
      <c r="AE358" s="16">
        <f t="shared" si="132"/>
        <v>1.6992950481707809E-2</v>
      </c>
      <c r="AF358" s="23" t="str">
        <f t="shared" si="148"/>
        <v/>
      </c>
      <c r="AG358" s="23" t="str">
        <f t="shared" si="128"/>
        <v/>
      </c>
      <c r="AH358" s="23" t="str">
        <f t="shared" si="133"/>
        <v/>
      </c>
      <c r="AI358" s="23" t="str">
        <f t="shared" si="149"/>
        <v/>
      </c>
      <c r="AJ358" s="23" t="str">
        <f t="shared" si="134"/>
        <v/>
      </c>
      <c r="AK358" s="23" t="str">
        <f t="shared" si="135"/>
        <v/>
      </c>
      <c r="AL358" s="23" t="str">
        <f t="shared" si="136"/>
        <v/>
      </c>
      <c r="AM358" s="23" t="str">
        <f t="shared" si="137"/>
        <v/>
      </c>
      <c r="AN358" s="19">
        <f t="shared" si="138"/>
        <v>0</v>
      </c>
      <c r="AO358" s="26">
        <f t="shared" si="139"/>
        <v>772.81394499809403</v>
      </c>
    </row>
    <row r="359" spans="1:41" x14ac:dyDescent="0.2">
      <c r="A359" s="12">
        <v>44913</v>
      </c>
      <c r="B359" s="6">
        <v>18</v>
      </c>
      <c r="C359" s="6">
        <v>352</v>
      </c>
      <c r="D359" s="6">
        <v>1</v>
      </c>
      <c r="E359" s="6" t="s">
        <v>12</v>
      </c>
      <c r="F359" s="6">
        <v>51</v>
      </c>
      <c r="G359" s="6">
        <v>12</v>
      </c>
      <c r="H359" s="6" t="s">
        <v>28</v>
      </c>
      <c r="I359" s="6">
        <v>4</v>
      </c>
      <c r="J359" s="14">
        <v>6.3974944783203922</v>
      </c>
      <c r="K359" s="14">
        <f t="shared" si="127"/>
        <v>6.3974944783203922</v>
      </c>
      <c r="L359" s="14">
        <v>13.652911393397186</v>
      </c>
      <c r="M359" s="14">
        <f t="shared" si="140"/>
        <v>87.344425252256073</v>
      </c>
      <c r="N359" s="16">
        <v>0.34050627750891294</v>
      </c>
      <c r="O359" s="14">
        <f t="shared" si="141"/>
        <v>29.741325103801209</v>
      </c>
      <c r="P359" s="14">
        <f t="shared" si="142"/>
        <v>57.603100148454864</v>
      </c>
      <c r="Q359" s="14">
        <v>23.419152012108633</v>
      </c>
      <c r="R359" s="14">
        <v>10.490258575936998</v>
      </c>
      <c r="S359" s="14">
        <f t="shared" si="129"/>
        <v>28.571428571428573</v>
      </c>
      <c r="T359" s="14">
        <v>17.248269108128554</v>
      </c>
      <c r="U359" s="14">
        <f t="shared" si="143"/>
        <v>61.14109767657925</v>
      </c>
      <c r="V359" s="14">
        <f t="shared" si="144"/>
        <v>9.5570379753780301</v>
      </c>
      <c r="W359" s="14">
        <v>18.642941360177595</v>
      </c>
      <c r="X359" s="16">
        <f t="shared" si="145"/>
        <v>2.4504613325220448</v>
      </c>
      <c r="Y359" s="16">
        <f t="shared" si="150"/>
        <v>0.34315907316995653</v>
      </c>
      <c r="Z359" s="16">
        <f t="shared" si="146"/>
        <v>0.48643753929844707</v>
      </c>
      <c r="AA359" s="16">
        <f t="shared" si="147"/>
        <v>0.66940138720829334</v>
      </c>
      <c r="AB359" s="16">
        <f t="shared" si="130"/>
        <v>0.32711221682336944</v>
      </c>
      <c r="AC359" s="14">
        <f t="shared" si="151"/>
        <v>9.5570379753780301</v>
      </c>
      <c r="AD359" s="16">
        <f t="shared" si="131"/>
        <v>0.76835323057983751</v>
      </c>
      <c r="AE359" s="16">
        <f t="shared" si="132"/>
        <v>0.26812417557815144</v>
      </c>
      <c r="AF359" s="23" t="str">
        <f t="shared" si="148"/>
        <v/>
      </c>
      <c r="AG359" s="23">
        <f t="shared" si="128"/>
        <v>1000</v>
      </c>
      <c r="AH359" s="23" t="str">
        <f t="shared" si="133"/>
        <v/>
      </c>
      <c r="AI359" s="23" t="str">
        <f t="shared" si="149"/>
        <v/>
      </c>
      <c r="AJ359" s="23" t="str">
        <f t="shared" si="134"/>
        <v/>
      </c>
      <c r="AK359" s="23" t="str">
        <f t="shared" si="135"/>
        <v/>
      </c>
      <c r="AL359" s="23" t="str">
        <f t="shared" si="136"/>
        <v/>
      </c>
      <c r="AM359" s="23" t="str">
        <f t="shared" si="137"/>
        <v/>
      </c>
      <c r="AN359" s="19">
        <f t="shared" si="138"/>
        <v>1000</v>
      </c>
      <c r="AO359" s="26">
        <f t="shared" si="139"/>
        <v>-942.39689985154519</v>
      </c>
    </row>
    <row r="360" spans="1:41" x14ac:dyDescent="0.2">
      <c r="A360" s="12">
        <v>44914</v>
      </c>
      <c r="B360" s="6">
        <v>19</v>
      </c>
      <c r="C360" s="6">
        <v>353</v>
      </c>
      <c r="D360" s="6">
        <v>2</v>
      </c>
      <c r="E360" s="6" t="s">
        <v>13</v>
      </c>
      <c r="F360" s="6">
        <v>51</v>
      </c>
      <c r="G360" s="6">
        <v>12</v>
      </c>
      <c r="H360" s="6" t="s">
        <v>28</v>
      </c>
      <c r="I360" s="6">
        <v>4</v>
      </c>
      <c r="J360" s="14">
        <v>6.8184140944228737</v>
      </c>
      <c r="K360" s="14">
        <f t="shared" si="127"/>
        <v>6.8184140944228737</v>
      </c>
      <c r="L360" s="14">
        <v>28.518699482229103</v>
      </c>
      <c r="M360" s="14">
        <f t="shared" si="140"/>
        <v>194.45230250424123</v>
      </c>
      <c r="N360" s="16">
        <v>0.48413577424314902</v>
      </c>
      <c r="O360" s="14">
        <f t="shared" si="141"/>
        <v>94.141316026253847</v>
      </c>
      <c r="P360" s="14">
        <f t="shared" si="142"/>
        <v>100.31098647798738</v>
      </c>
      <c r="Q360" s="14">
        <v>35.067245140251586</v>
      </c>
      <c r="R360" s="14">
        <v>22.482860594514051</v>
      </c>
      <c r="S360" s="14">
        <f t="shared" si="129"/>
        <v>12.987012987012987</v>
      </c>
      <c r="T360" s="14">
        <v>46.152846381443702</v>
      </c>
      <c r="U360" s="14">
        <f t="shared" si="143"/>
        <v>136.11661175296885</v>
      </c>
      <c r="V360" s="14">
        <f t="shared" si="144"/>
        <v>19.963089637560373</v>
      </c>
      <c r="W360" s="14">
        <v>45.832731020967451</v>
      </c>
      <c r="X360" s="16">
        <f t="shared" si="145"/>
        <v>1.7566041017154419</v>
      </c>
      <c r="Y360" s="16">
        <f t="shared" si="150"/>
        <v>0.14876735342922509</v>
      </c>
      <c r="Z360" s="16">
        <f t="shared" si="146"/>
        <v>0.69162253463307</v>
      </c>
      <c r="AA360" s="16">
        <f t="shared" si="147"/>
        <v>0.34155104336124853</v>
      </c>
      <c r="AB360" s="16">
        <f t="shared" si="130"/>
        <v>6.6787653423284743E-2</v>
      </c>
      <c r="AC360" s="14">
        <f t="shared" si="151"/>
        <v>19.963089637560373</v>
      </c>
      <c r="AD360" s="16">
        <f t="shared" si="131"/>
        <v>0.78835504432885617</v>
      </c>
      <c r="AE360" s="16">
        <f t="shared" si="132"/>
        <v>0.18033854415010966</v>
      </c>
      <c r="AF360" s="23" t="str">
        <f t="shared" si="148"/>
        <v/>
      </c>
      <c r="AG360" s="23" t="str">
        <f t="shared" si="128"/>
        <v/>
      </c>
      <c r="AH360" s="23" t="str">
        <f t="shared" si="133"/>
        <v/>
      </c>
      <c r="AI360" s="23" t="str">
        <f t="shared" si="149"/>
        <v/>
      </c>
      <c r="AJ360" s="23" t="str">
        <f t="shared" si="134"/>
        <v/>
      </c>
      <c r="AK360" s="23" t="str">
        <f t="shared" si="135"/>
        <v/>
      </c>
      <c r="AL360" s="23" t="str">
        <f t="shared" si="136"/>
        <v/>
      </c>
      <c r="AM360" s="23" t="str">
        <f t="shared" si="137"/>
        <v/>
      </c>
      <c r="AN360" s="19">
        <f t="shared" si="138"/>
        <v>0</v>
      </c>
      <c r="AO360" s="26">
        <f t="shared" si="139"/>
        <v>100.31098647798738</v>
      </c>
    </row>
    <row r="361" spans="1:41" x14ac:dyDescent="0.2">
      <c r="A361" s="12">
        <v>44915</v>
      </c>
      <c r="B361" s="6">
        <v>20</v>
      </c>
      <c r="C361" s="6">
        <v>354</v>
      </c>
      <c r="D361" s="6">
        <v>3</v>
      </c>
      <c r="E361" s="6" t="s">
        <v>14</v>
      </c>
      <c r="F361" s="6">
        <v>51</v>
      </c>
      <c r="G361" s="6">
        <v>12</v>
      </c>
      <c r="H361" s="6" t="s">
        <v>28</v>
      </c>
      <c r="I361" s="6">
        <v>4</v>
      </c>
      <c r="J361" s="14">
        <v>34.729871884581947</v>
      </c>
      <c r="K361" s="14">
        <f t="shared" si="127"/>
        <v>34.729871884581947</v>
      </c>
      <c r="L361" s="14">
        <v>87.633024449566122</v>
      </c>
      <c r="M361" s="14">
        <f t="shared" si="140"/>
        <v>3043.4837119918689</v>
      </c>
      <c r="N361" s="16">
        <v>0.38146444970618087</v>
      </c>
      <c r="O361" s="14">
        <f t="shared" si="141"/>
        <v>1160.9808393847029</v>
      </c>
      <c r="P361" s="14">
        <f t="shared" si="142"/>
        <v>1882.502872607166</v>
      </c>
      <c r="Q361" s="14">
        <v>61.378809330687098</v>
      </c>
      <c r="R361" s="14">
        <v>9.6321763522633255</v>
      </c>
      <c r="S361" s="14">
        <f t="shared" si="129"/>
        <v>12.987012987012987</v>
      </c>
      <c r="T361" s="14">
        <v>37.333047705538704</v>
      </c>
      <c r="U361" s="14">
        <f t="shared" si="143"/>
        <v>2130.438598394308</v>
      </c>
      <c r="V361" s="14">
        <f t="shared" si="144"/>
        <v>61.343117114696284</v>
      </c>
      <c r="W361" s="14">
        <v>52.870810898689513</v>
      </c>
      <c r="X361" s="16">
        <f t="shared" si="145"/>
        <v>1.0005818454892679</v>
      </c>
      <c r="Y361" s="16">
        <f t="shared" si="150"/>
        <v>0.65688177075874543</v>
      </c>
      <c r="Z361" s="16">
        <f t="shared" si="146"/>
        <v>0.54494921386597273</v>
      </c>
      <c r="AA361" s="16">
        <f t="shared" si="147"/>
        <v>0.56615759873509153</v>
      </c>
      <c r="AB361" s="16">
        <f t="shared" si="130"/>
        <v>4.2671537671917998E-3</v>
      </c>
      <c r="AC361" s="14">
        <f t="shared" si="151"/>
        <v>61.343117114696284</v>
      </c>
      <c r="AD361" s="16">
        <f t="shared" si="131"/>
        <v>0.10991491407222582</v>
      </c>
      <c r="AE361" s="16">
        <f t="shared" si="132"/>
        <v>2.0167286944511528E-2</v>
      </c>
      <c r="AF361" s="23" t="str">
        <f t="shared" si="148"/>
        <v/>
      </c>
      <c r="AG361" s="23" t="str">
        <f t="shared" si="128"/>
        <v/>
      </c>
      <c r="AH361" s="23" t="str">
        <f t="shared" si="133"/>
        <v/>
      </c>
      <c r="AI361" s="23" t="str">
        <f t="shared" si="149"/>
        <v/>
      </c>
      <c r="AJ361" s="23">
        <f t="shared" si="134"/>
        <v>100</v>
      </c>
      <c r="AK361" s="23" t="str">
        <f t="shared" si="135"/>
        <v/>
      </c>
      <c r="AL361" s="23" t="str">
        <f t="shared" si="136"/>
        <v/>
      </c>
      <c r="AM361" s="23" t="str">
        <f t="shared" si="137"/>
        <v/>
      </c>
      <c r="AN361" s="19">
        <f t="shared" si="138"/>
        <v>100</v>
      </c>
      <c r="AO361" s="26">
        <f t="shared" si="139"/>
        <v>1782.502872607166</v>
      </c>
    </row>
    <row r="362" spans="1:41" x14ac:dyDescent="0.2">
      <c r="A362" s="12">
        <v>44916</v>
      </c>
      <c r="B362" s="6">
        <v>21</v>
      </c>
      <c r="C362" s="6">
        <v>355</v>
      </c>
      <c r="D362" s="6">
        <v>4</v>
      </c>
      <c r="E362" s="6" t="s">
        <v>15</v>
      </c>
      <c r="F362" s="6">
        <v>51</v>
      </c>
      <c r="G362" s="6">
        <v>12</v>
      </c>
      <c r="H362" s="6" t="s">
        <v>28</v>
      </c>
      <c r="I362" s="6">
        <v>4</v>
      </c>
      <c r="J362" s="14">
        <v>10.265541850465992</v>
      </c>
      <c r="K362" s="14">
        <f t="shared" si="127"/>
        <v>10.265541850465992</v>
      </c>
      <c r="L362" s="14">
        <v>95.81800119617489</v>
      </c>
      <c r="M362" s="14">
        <f t="shared" si="140"/>
        <v>983.62370130733382</v>
      </c>
      <c r="N362" s="16">
        <v>0.71915437466318222</v>
      </c>
      <c r="O362" s="14">
        <f t="shared" si="141"/>
        <v>707.37728781756039</v>
      </c>
      <c r="P362" s="14">
        <f t="shared" si="142"/>
        <v>276.24641348977343</v>
      </c>
      <c r="Q362" s="14">
        <v>30.361882825055915</v>
      </c>
      <c r="R362" s="14">
        <v>24.584827582109497</v>
      </c>
      <c r="S362" s="14">
        <f t="shared" si="129"/>
        <v>12.987012987012987</v>
      </c>
      <c r="T362" s="14">
        <v>41.685306558920885</v>
      </c>
      <c r="U362" s="14">
        <f t="shared" si="143"/>
        <v>688.53659091513362</v>
      </c>
      <c r="V362" s="14">
        <f t="shared" si="144"/>
        <v>67.072600837322426</v>
      </c>
      <c r="W362" s="14">
        <v>38.255350668984278</v>
      </c>
      <c r="X362" s="16">
        <f t="shared" si="145"/>
        <v>0.45267191738539386</v>
      </c>
      <c r="Y362" s="16">
        <f t="shared" si="150"/>
        <v>0.26834264151155285</v>
      </c>
      <c r="Z362" s="16">
        <f t="shared" si="146"/>
        <v>1.0273633923759746</v>
      </c>
      <c r="AA362" s="16">
        <f t="shared" si="147"/>
        <v>0.15305119709557691</v>
      </c>
      <c r="AB362" s="16">
        <f t="shared" si="130"/>
        <v>1.3203233075567368E-2</v>
      </c>
      <c r="AC362" s="14">
        <f t="shared" si="151"/>
        <v>67.072600837322426</v>
      </c>
      <c r="AD362" s="16">
        <f t="shared" si="131"/>
        <v>0.25657838062991173</v>
      </c>
      <c r="AE362" s="16">
        <f t="shared" si="132"/>
        <v>3.0867376197525487E-2</v>
      </c>
      <c r="AF362" s="23" t="str">
        <f t="shared" si="148"/>
        <v/>
      </c>
      <c r="AG362" s="23" t="str">
        <f t="shared" si="128"/>
        <v/>
      </c>
      <c r="AH362" s="23" t="str">
        <f t="shared" si="133"/>
        <v/>
      </c>
      <c r="AI362" s="23" t="str">
        <f t="shared" si="149"/>
        <v/>
      </c>
      <c r="AJ362" s="23" t="str">
        <f t="shared" si="134"/>
        <v/>
      </c>
      <c r="AK362" s="23" t="str">
        <f t="shared" si="135"/>
        <v/>
      </c>
      <c r="AL362" s="23" t="str">
        <f t="shared" si="136"/>
        <v/>
      </c>
      <c r="AM362" s="23" t="str">
        <f t="shared" si="137"/>
        <v/>
      </c>
      <c r="AN362" s="19">
        <f t="shared" si="138"/>
        <v>0</v>
      </c>
      <c r="AO362" s="26">
        <f t="shared" si="139"/>
        <v>276.24641348977343</v>
      </c>
    </row>
    <row r="363" spans="1:41" x14ac:dyDescent="0.2">
      <c r="A363" s="12">
        <v>44917</v>
      </c>
      <c r="B363" s="6">
        <v>22</v>
      </c>
      <c r="C363" s="6">
        <v>356</v>
      </c>
      <c r="D363" s="6">
        <v>5</v>
      </c>
      <c r="E363" s="6" t="s">
        <v>16</v>
      </c>
      <c r="F363" s="6">
        <v>51</v>
      </c>
      <c r="G363" s="6">
        <v>12</v>
      </c>
      <c r="H363" s="6" t="s">
        <v>28</v>
      </c>
      <c r="I363" s="6">
        <v>4</v>
      </c>
      <c r="J363" s="14">
        <v>20.317870927934127</v>
      </c>
      <c r="K363" s="14">
        <f t="shared" si="127"/>
        <v>20.317870927934127</v>
      </c>
      <c r="L363" s="14">
        <v>8.5887738437486796</v>
      </c>
      <c r="M363" s="14">
        <f t="shared" si="140"/>
        <v>174.50559838650236</v>
      </c>
      <c r="N363" s="16">
        <v>0.34541968957984565</v>
      </c>
      <c r="O363" s="14">
        <f t="shared" si="141"/>
        <v>60.277669624610859</v>
      </c>
      <c r="P363" s="14">
        <f t="shared" si="142"/>
        <v>114.22792876189149</v>
      </c>
      <c r="Q363" s="14">
        <v>52.821631316728471</v>
      </c>
      <c r="R363" s="14">
        <v>18.605359009551503</v>
      </c>
      <c r="S363" s="14">
        <f t="shared" si="129"/>
        <v>12.987012987012987</v>
      </c>
      <c r="T363" s="14">
        <v>43.516424346620433</v>
      </c>
      <c r="U363" s="14">
        <f t="shared" si="143"/>
        <v>122.15391887055164</v>
      </c>
      <c r="V363" s="14">
        <f t="shared" si="144"/>
        <v>6.0121416906240759</v>
      </c>
      <c r="W363" s="14">
        <v>42.098055794818372</v>
      </c>
      <c r="X363" s="16">
        <f t="shared" si="145"/>
        <v>8.7858260890796558</v>
      </c>
      <c r="Y363" s="16">
        <f t="shared" si="150"/>
        <v>0.48263204901816265</v>
      </c>
      <c r="Z363" s="16">
        <f t="shared" si="146"/>
        <v>0.49345669939977954</v>
      </c>
      <c r="AA363" s="16">
        <f t="shared" si="147"/>
        <v>3.3794730685771777</v>
      </c>
      <c r="AB363" s="16">
        <f t="shared" si="130"/>
        <v>7.4421755560235975E-2</v>
      </c>
      <c r="AC363" s="14">
        <f t="shared" si="151"/>
        <v>6.0121416906240759</v>
      </c>
      <c r="AD363" s="16">
        <f t="shared" si="131"/>
        <v>2.1662415786036062</v>
      </c>
      <c r="AE363" s="16">
        <f t="shared" si="132"/>
        <v>0.3026930471292783</v>
      </c>
      <c r="AF363" s="23" t="str">
        <f t="shared" si="148"/>
        <v/>
      </c>
      <c r="AG363" s="23" t="str">
        <f t="shared" si="128"/>
        <v/>
      </c>
      <c r="AH363" s="23" t="str">
        <f t="shared" si="133"/>
        <v/>
      </c>
      <c r="AI363" s="23" t="str">
        <f t="shared" si="149"/>
        <v/>
      </c>
      <c r="AJ363" s="23" t="str">
        <f t="shared" si="134"/>
        <v/>
      </c>
      <c r="AK363" s="23" t="str">
        <f t="shared" si="135"/>
        <v/>
      </c>
      <c r="AL363" s="23" t="str">
        <f t="shared" si="136"/>
        <v/>
      </c>
      <c r="AM363" s="23" t="str">
        <f t="shared" si="137"/>
        <v/>
      </c>
      <c r="AN363" s="19">
        <f t="shared" si="138"/>
        <v>0</v>
      </c>
      <c r="AO363" s="26">
        <f t="shared" si="139"/>
        <v>114.22792876189149</v>
      </c>
    </row>
    <row r="364" spans="1:41" x14ac:dyDescent="0.2">
      <c r="A364" s="12">
        <v>44918</v>
      </c>
      <c r="B364" s="6">
        <v>23</v>
      </c>
      <c r="C364" s="6">
        <v>357</v>
      </c>
      <c r="D364" s="6">
        <v>6</v>
      </c>
      <c r="E364" s="6" t="s">
        <v>17</v>
      </c>
      <c r="F364" s="6">
        <v>51</v>
      </c>
      <c r="G364" s="6">
        <v>12</v>
      </c>
      <c r="H364" s="6" t="s">
        <v>28</v>
      </c>
      <c r="I364" s="6">
        <v>4</v>
      </c>
      <c r="J364" s="14">
        <v>27.07235547270961</v>
      </c>
      <c r="K364" s="14">
        <f t="shared" si="127"/>
        <v>27.07235547270961</v>
      </c>
      <c r="L364" s="14">
        <v>53.693965275205862</v>
      </c>
      <c r="M364" s="14">
        <f t="shared" si="140"/>
        <v>1453.6221146696992</v>
      </c>
      <c r="N364" s="16">
        <v>0.6252053528206768</v>
      </c>
      <c r="O364" s="14">
        <f t="shared" si="141"/>
        <v>908.81232707000754</v>
      </c>
      <c r="P364" s="14">
        <f t="shared" si="142"/>
        <v>544.80978759969162</v>
      </c>
      <c r="Q364" s="14">
        <v>56.2960107968768</v>
      </c>
      <c r="R364" s="14">
        <v>21.532837066243598</v>
      </c>
      <c r="S364" s="14">
        <f t="shared" si="129"/>
        <v>12.987012987012987</v>
      </c>
      <c r="T364" s="14">
        <v>35.255250644564519</v>
      </c>
      <c r="U364" s="14">
        <f t="shared" si="143"/>
        <v>1017.5354802687893</v>
      </c>
      <c r="V364" s="14">
        <f t="shared" si="144"/>
        <v>37.585775692644098</v>
      </c>
      <c r="W364" s="14">
        <v>42.975650399808423</v>
      </c>
      <c r="X364" s="16">
        <f t="shared" si="145"/>
        <v>1.4978009568629038</v>
      </c>
      <c r="Y364" s="16">
        <f t="shared" si="150"/>
        <v>0.62994638174993844</v>
      </c>
      <c r="Z364" s="16">
        <f t="shared" si="146"/>
        <v>0.89315050402953833</v>
      </c>
      <c r="AA364" s="16">
        <f t="shared" si="147"/>
        <v>0.72028194107506294</v>
      </c>
      <c r="AB364" s="16">
        <f t="shared" si="130"/>
        <v>8.9342428516671086E-3</v>
      </c>
      <c r="AC364" s="14">
        <f t="shared" si="151"/>
        <v>37.585775692644098</v>
      </c>
      <c r="AD364" s="16">
        <f t="shared" si="131"/>
        <v>0.40102899750238352</v>
      </c>
      <c r="AE364" s="16">
        <f t="shared" si="132"/>
        <v>3.8728091867031564E-2</v>
      </c>
      <c r="AF364" s="23" t="str">
        <f t="shared" si="148"/>
        <v/>
      </c>
      <c r="AG364" s="23" t="str">
        <f t="shared" si="128"/>
        <v/>
      </c>
      <c r="AH364" s="23" t="str">
        <f t="shared" si="133"/>
        <v/>
      </c>
      <c r="AI364" s="23" t="str">
        <f t="shared" si="149"/>
        <v/>
      </c>
      <c r="AJ364" s="23" t="str">
        <f t="shared" si="134"/>
        <v/>
      </c>
      <c r="AK364" s="23" t="str">
        <f t="shared" si="135"/>
        <v/>
      </c>
      <c r="AL364" s="23" t="str">
        <f t="shared" si="136"/>
        <v/>
      </c>
      <c r="AM364" s="23" t="str">
        <f t="shared" si="137"/>
        <v/>
      </c>
      <c r="AN364" s="19">
        <f t="shared" si="138"/>
        <v>0</v>
      </c>
      <c r="AO364" s="26">
        <f t="shared" si="139"/>
        <v>544.80978759969162</v>
      </c>
    </row>
    <row r="365" spans="1:41" x14ac:dyDescent="0.2">
      <c r="A365" s="12">
        <v>44919</v>
      </c>
      <c r="B365" s="6">
        <v>24</v>
      </c>
      <c r="C365" s="6">
        <v>358</v>
      </c>
      <c r="D365" s="6">
        <v>7</v>
      </c>
      <c r="E365" s="6" t="s">
        <v>10</v>
      </c>
      <c r="F365" s="6">
        <v>51</v>
      </c>
      <c r="G365" s="6">
        <v>12</v>
      </c>
      <c r="H365" s="6" t="s">
        <v>28</v>
      </c>
      <c r="I365" s="6">
        <v>4</v>
      </c>
      <c r="J365" s="14">
        <v>23.923232664044921</v>
      </c>
      <c r="K365" s="14">
        <f t="shared" si="127"/>
        <v>23.923232664044921</v>
      </c>
      <c r="L365" s="14">
        <v>85.222040677679871</v>
      </c>
      <c r="M365" s="14">
        <f t="shared" si="140"/>
        <v>2038.786707236836</v>
      </c>
      <c r="N365" s="16">
        <v>0.54986694539842895</v>
      </c>
      <c r="O365" s="14">
        <f t="shared" si="141"/>
        <v>1121.0614190272402</v>
      </c>
      <c r="P365" s="14">
        <f t="shared" si="142"/>
        <v>917.72528820959587</v>
      </c>
      <c r="Q365" s="14">
        <v>42.83419174667992</v>
      </c>
      <c r="R365" s="14">
        <v>26.15171471134077</v>
      </c>
      <c r="S365" s="14">
        <f t="shared" si="129"/>
        <v>12.987012987012987</v>
      </c>
      <c r="T365" s="14">
        <v>41.956360645334087</v>
      </c>
      <c r="U365" s="14">
        <f t="shared" si="143"/>
        <v>1427.1506950657852</v>
      </c>
      <c r="V365" s="14">
        <f t="shared" si="144"/>
        <v>59.65542847437591</v>
      </c>
      <c r="W365" s="14">
        <v>39.370492261587231</v>
      </c>
      <c r="X365" s="16">
        <f t="shared" si="145"/>
        <v>0.71802672182764893</v>
      </c>
      <c r="Y365" s="16">
        <f t="shared" si="150"/>
        <v>0.60764372731468741</v>
      </c>
      <c r="Z365" s="16">
        <f t="shared" si="146"/>
        <v>0.78552420771204146</v>
      </c>
      <c r="AA365" s="16">
        <f t="shared" si="147"/>
        <v>0.40102356610045614</v>
      </c>
      <c r="AB365" s="16">
        <f t="shared" si="130"/>
        <v>6.3699713858809005E-3</v>
      </c>
      <c r="AC365" s="14">
        <f t="shared" si="151"/>
        <v>59.65542847437591</v>
      </c>
      <c r="AD365" s="16">
        <f t="shared" si="131"/>
        <v>0.30686562423739344</v>
      </c>
      <c r="AE365" s="16">
        <f t="shared" si="132"/>
        <v>2.1009648333803893E-2</v>
      </c>
      <c r="AF365" s="23" t="str">
        <f t="shared" si="148"/>
        <v/>
      </c>
      <c r="AG365" s="23" t="str">
        <f t="shared" si="128"/>
        <v/>
      </c>
      <c r="AH365" s="23" t="str">
        <f t="shared" si="133"/>
        <v/>
      </c>
      <c r="AI365" s="23" t="str">
        <f t="shared" si="149"/>
        <v/>
      </c>
      <c r="AJ365" s="23" t="str">
        <f t="shared" si="134"/>
        <v/>
      </c>
      <c r="AK365" s="23" t="str">
        <f t="shared" si="135"/>
        <v/>
      </c>
      <c r="AL365" s="23" t="str">
        <f t="shared" si="136"/>
        <v/>
      </c>
      <c r="AM365" s="23" t="str">
        <f t="shared" si="137"/>
        <v/>
      </c>
      <c r="AN365" s="19">
        <f t="shared" si="138"/>
        <v>0</v>
      </c>
      <c r="AO365" s="26">
        <f t="shared" si="139"/>
        <v>917.72528820959587</v>
      </c>
    </row>
    <row r="366" spans="1:41" x14ac:dyDescent="0.2">
      <c r="A366" s="12">
        <v>44920</v>
      </c>
      <c r="B366" s="6">
        <v>25</v>
      </c>
      <c r="C366" s="6">
        <v>359</v>
      </c>
      <c r="D366" s="6">
        <v>1</v>
      </c>
      <c r="E366" s="6" t="s">
        <v>12</v>
      </c>
      <c r="F366" s="6">
        <v>52</v>
      </c>
      <c r="G366" s="6">
        <v>12</v>
      </c>
      <c r="H366" s="6" t="s">
        <v>28</v>
      </c>
      <c r="I366" s="6">
        <v>4</v>
      </c>
      <c r="J366" s="14">
        <v>1.5888530885347976</v>
      </c>
      <c r="K366" s="14">
        <f t="shared" si="127"/>
        <v>1.5888530885347976</v>
      </c>
      <c r="L366" s="14">
        <v>12.699583439974466</v>
      </c>
      <c r="M366" s="14">
        <f t="shared" si="140"/>
        <v>20.177772371708798</v>
      </c>
      <c r="N366" s="16">
        <v>0.29650657664005214</v>
      </c>
      <c r="O366" s="14">
        <f t="shared" si="141"/>
        <v>5.9828422101576013</v>
      </c>
      <c r="P366" s="14">
        <f t="shared" si="142"/>
        <v>14.194930161551197</v>
      </c>
      <c r="Q366" s="14">
        <v>15.206224197956232</v>
      </c>
      <c r="R366" s="14">
        <v>3.7851211217498504</v>
      </c>
      <c r="S366" s="14">
        <f t="shared" si="129"/>
        <v>28.571428571428573</v>
      </c>
      <c r="T366" s="14">
        <v>16.194880842472141</v>
      </c>
      <c r="U366" s="14">
        <f t="shared" si="143"/>
        <v>14.124440660196157</v>
      </c>
      <c r="V366" s="14">
        <f t="shared" si="144"/>
        <v>8.8897084079821251</v>
      </c>
      <c r="W366" s="14">
        <v>15.691890940363386</v>
      </c>
      <c r="X366" s="16">
        <f t="shared" si="145"/>
        <v>1.7105425172666482</v>
      </c>
      <c r="Y366" s="16">
        <f t="shared" si="150"/>
        <v>0.10125313096893111</v>
      </c>
      <c r="Z366" s="16">
        <f t="shared" si="146"/>
        <v>0.42358082377150308</v>
      </c>
      <c r="AA366" s="16">
        <f t="shared" si="147"/>
        <v>0.17872949433393748</v>
      </c>
      <c r="AB366" s="16">
        <f t="shared" si="130"/>
        <v>1.4159852755346025</v>
      </c>
      <c r="AC366" s="14">
        <f t="shared" si="151"/>
        <v>8.8897084079821251</v>
      </c>
      <c r="AD366" s="16">
        <f t="shared" si="131"/>
        <v>0.29805080927579314</v>
      </c>
      <c r="AE366" s="16">
        <f t="shared" si="132"/>
        <v>0.75361263462743977</v>
      </c>
      <c r="AF366" s="23" t="str">
        <f t="shared" si="148"/>
        <v/>
      </c>
      <c r="AG366" s="23">
        <f t="shared" si="128"/>
        <v>1000</v>
      </c>
      <c r="AH366" s="23" t="str">
        <f t="shared" si="133"/>
        <v/>
      </c>
      <c r="AI366" s="23" t="str">
        <f t="shared" si="149"/>
        <v/>
      </c>
      <c r="AJ366" s="23" t="str">
        <f t="shared" si="134"/>
        <v/>
      </c>
      <c r="AK366" s="23" t="str">
        <f t="shared" si="135"/>
        <v/>
      </c>
      <c r="AL366" s="23">
        <f t="shared" si="136"/>
        <v>83</v>
      </c>
      <c r="AM366" s="23" t="str">
        <f t="shared" si="137"/>
        <v/>
      </c>
      <c r="AN366" s="19">
        <f t="shared" si="138"/>
        <v>1083</v>
      </c>
      <c r="AO366" s="26">
        <f t="shared" si="139"/>
        <v>-1068.8050698384488</v>
      </c>
    </row>
    <row r="367" spans="1:41" x14ac:dyDescent="0.2">
      <c r="A367" s="12">
        <v>44921</v>
      </c>
      <c r="B367" s="6">
        <v>26</v>
      </c>
      <c r="C367" s="6">
        <v>360</v>
      </c>
      <c r="D367" s="6">
        <v>2</v>
      </c>
      <c r="E367" s="6" t="s">
        <v>13</v>
      </c>
      <c r="F367" s="6">
        <v>52</v>
      </c>
      <c r="G367" s="6">
        <v>12</v>
      </c>
      <c r="H367" s="6" t="s">
        <v>28</v>
      </c>
      <c r="I367" s="6">
        <v>4</v>
      </c>
      <c r="J367" s="14">
        <v>4.6741504365318844</v>
      </c>
      <c r="K367" s="14">
        <f t="shared" si="127"/>
        <v>4.6741504365318844</v>
      </c>
      <c r="L367" s="14">
        <v>111.60407812956583</v>
      </c>
      <c r="M367" s="14">
        <f t="shared" si="140"/>
        <v>521.65425050804868</v>
      </c>
      <c r="N367" s="16">
        <v>0.48601575950727183</v>
      </c>
      <c r="O367" s="14">
        <f t="shared" si="141"/>
        <v>253.53218676086593</v>
      </c>
      <c r="P367" s="14">
        <f t="shared" si="142"/>
        <v>268.12206374718278</v>
      </c>
      <c r="Q367" s="14">
        <v>44.34054176455512</v>
      </c>
      <c r="R367" s="14">
        <v>14.151808095797911</v>
      </c>
      <c r="S367" s="14">
        <f t="shared" si="129"/>
        <v>12.987012987012987</v>
      </c>
      <c r="T367" s="14">
        <v>39.521038977079712</v>
      </c>
      <c r="U367" s="14">
        <f t="shared" si="143"/>
        <v>365.15797535563405</v>
      </c>
      <c r="V367" s="14">
        <f t="shared" si="144"/>
        <v>78.122854690696073</v>
      </c>
      <c r="W367" s="14">
        <v>29.957687879436804</v>
      </c>
      <c r="X367" s="16">
        <f t="shared" si="145"/>
        <v>0.56757452015940979</v>
      </c>
      <c r="Y367" s="16">
        <f t="shared" si="150"/>
        <v>0.15602507294096812</v>
      </c>
      <c r="Z367" s="16">
        <f t="shared" si="146"/>
        <v>0.69430822786753121</v>
      </c>
      <c r="AA367" s="16">
        <f t="shared" si="147"/>
        <v>5.9830768538064516E-2</v>
      </c>
      <c r="AB367" s="16">
        <f t="shared" si="130"/>
        <v>2.4895825107079442E-2</v>
      </c>
      <c r="AC367" s="14">
        <f t="shared" si="151"/>
        <v>78.122854690696073</v>
      </c>
      <c r="AD367" s="16">
        <f t="shared" si="131"/>
        <v>0.12680368256228491</v>
      </c>
      <c r="AE367" s="16">
        <f t="shared" si="132"/>
        <v>8.4999866715110728E-2</v>
      </c>
      <c r="AF367" s="23" t="str">
        <f t="shared" si="148"/>
        <v/>
      </c>
      <c r="AG367" s="23" t="str">
        <f t="shared" si="128"/>
        <v/>
      </c>
      <c r="AH367" s="23" t="str">
        <f t="shared" si="133"/>
        <v/>
      </c>
      <c r="AI367" s="23" t="str">
        <f t="shared" si="149"/>
        <v/>
      </c>
      <c r="AJ367" s="23" t="str">
        <f t="shared" si="134"/>
        <v/>
      </c>
      <c r="AK367" s="23" t="str">
        <f t="shared" si="135"/>
        <v/>
      </c>
      <c r="AL367" s="23" t="str">
        <f t="shared" si="136"/>
        <v/>
      </c>
      <c r="AM367" s="23" t="str">
        <f t="shared" si="137"/>
        <v/>
      </c>
      <c r="AN367" s="19">
        <f t="shared" si="138"/>
        <v>0</v>
      </c>
      <c r="AO367" s="26">
        <f t="shared" si="139"/>
        <v>268.12206374718278</v>
      </c>
    </row>
    <row r="368" spans="1:41" x14ac:dyDescent="0.2">
      <c r="A368" s="12">
        <v>44922</v>
      </c>
      <c r="B368" s="6">
        <v>27</v>
      </c>
      <c r="C368" s="6">
        <v>361</v>
      </c>
      <c r="D368" s="6">
        <v>3</v>
      </c>
      <c r="E368" s="6" t="s">
        <v>14</v>
      </c>
      <c r="F368" s="6">
        <v>52</v>
      </c>
      <c r="G368" s="6">
        <v>12</v>
      </c>
      <c r="H368" s="6" t="s">
        <v>28</v>
      </c>
      <c r="I368" s="6">
        <v>4</v>
      </c>
      <c r="J368" s="14">
        <v>12.657227295214664</v>
      </c>
      <c r="K368" s="14">
        <f t="shared" si="127"/>
        <v>12.657227295214664</v>
      </c>
      <c r="L368" s="14">
        <v>79.692877380686554</v>
      </c>
      <c r="M368" s="14">
        <f t="shared" si="140"/>
        <v>1008.6908628170212</v>
      </c>
      <c r="N368" s="16">
        <v>0.75585498859483868</v>
      </c>
      <c r="O368" s="14">
        <f t="shared" si="141"/>
        <v>762.42402061027758</v>
      </c>
      <c r="P368" s="14">
        <f t="shared" si="142"/>
        <v>246.2668422067436</v>
      </c>
      <c r="Q368" s="14">
        <v>42.809632965915299</v>
      </c>
      <c r="R368" s="14">
        <v>21.08775782350639</v>
      </c>
      <c r="S368" s="14">
        <f t="shared" si="129"/>
        <v>12.987012987012987</v>
      </c>
      <c r="T368" s="14">
        <v>34.115317544305839</v>
      </c>
      <c r="U368" s="14">
        <f t="shared" si="143"/>
        <v>706.08360397191484</v>
      </c>
      <c r="V368" s="14">
        <f t="shared" si="144"/>
        <v>55.785014166480593</v>
      </c>
      <c r="W368" s="14">
        <v>36.796045488311186</v>
      </c>
      <c r="X368" s="16">
        <f t="shared" si="145"/>
        <v>0.76740381992478224</v>
      </c>
      <c r="Y368" s="16">
        <f t="shared" si="150"/>
        <v>0.34398335819090725</v>
      </c>
      <c r="Z368" s="16">
        <f t="shared" si="146"/>
        <v>1.0797928408497697</v>
      </c>
      <c r="AA368" s="16">
        <f t="shared" si="147"/>
        <v>0.22689296550936403</v>
      </c>
      <c r="AB368" s="16">
        <f t="shared" si="130"/>
        <v>1.2875117110452958E-2</v>
      </c>
      <c r="AC368" s="14">
        <f t="shared" si="151"/>
        <v>55.785014166480593</v>
      </c>
      <c r="AD368" s="16">
        <f t="shared" si="131"/>
        <v>0.26461283011243081</v>
      </c>
      <c r="AE368" s="16">
        <f t="shared" si="132"/>
        <v>4.2440785917658368E-2</v>
      </c>
      <c r="AF368" s="23" t="str">
        <f t="shared" si="148"/>
        <v/>
      </c>
      <c r="AG368" s="23" t="str">
        <f t="shared" si="128"/>
        <v/>
      </c>
      <c r="AH368" s="23" t="str">
        <f t="shared" si="133"/>
        <v/>
      </c>
      <c r="AI368" s="23" t="str">
        <f t="shared" si="149"/>
        <v/>
      </c>
      <c r="AJ368" s="23" t="str">
        <f t="shared" si="134"/>
        <v/>
      </c>
      <c r="AK368" s="23" t="str">
        <f t="shared" si="135"/>
        <v/>
      </c>
      <c r="AL368" s="23" t="str">
        <f t="shared" si="136"/>
        <v/>
      </c>
      <c r="AM368" s="23" t="str">
        <f t="shared" si="137"/>
        <v/>
      </c>
      <c r="AN368" s="19">
        <f t="shared" si="138"/>
        <v>0</v>
      </c>
      <c r="AO368" s="26">
        <f t="shared" si="139"/>
        <v>246.2668422067436</v>
      </c>
    </row>
    <row r="369" spans="1:41" x14ac:dyDescent="0.2">
      <c r="A369" s="12">
        <v>44923</v>
      </c>
      <c r="B369" s="6">
        <v>28</v>
      </c>
      <c r="C369" s="6">
        <v>362</v>
      </c>
      <c r="D369" s="6">
        <v>4</v>
      </c>
      <c r="E369" s="6" t="s">
        <v>15</v>
      </c>
      <c r="F369" s="6">
        <v>52</v>
      </c>
      <c r="G369" s="6">
        <v>12</v>
      </c>
      <c r="H369" s="6" t="s">
        <v>28</v>
      </c>
      <c r="I369" s="6">
        <v>4</v>
      </c>
      <c r="J369" s="14">
        <v>17.054586254131944</v>
      </c>
      <c r="K369" s="14">
        <f t="shared" si="127"/>
        <v>17.054586254131944</v>
      </c>
      <c r="L369" s="14">
        <v>45.871309267224653</v>
      </c>
      <c r="M369" s="14">
        <f t="shared" si="140"/>
        <v>782.31620048784487</v>
      </c>
      <c r="N369" s="16">
        <v>0.83468092323098109</v>
      </c>
      <c r="O369" s="14">
        <f t="shared" si="141"/>
        <v>652.98440848174766</v>
      </c>
      <c r="P369" s="14">
        <f t="shared" si="142"/>
        <v>129.3317920060972</v>
      </c>
      <c r="Q369" s="14">
        <v>32.750515949208236</v>
      </c>
      <c r="R369" s="14">
        <v>16.653137944851263</v>
      </c>
      <c r="S369" s="14">
        <f t="shared" si="129"/>
        <v>12.987012987012987</v>
      </c>
      <c r="T369" s="14">
        <v>35.290840549624171</v>
      </c>
      <c r="U369" s="14">
        <f t="shared" si="143"/>
        <v>547.62134034149142</v>
      </c>
      <c r="V369" s="14">
        <f t="shared" si="144"/>
        <v>32.109916487057262</v>
      </c>
      <c r="W369" s="14">
        <v>38.493286719355709</v>
      </c>
      <c r="X369" s="16">
        <f t="shared" si="145"/>
        <v>1.0199502064232768</v>
      </c>
      <c r="Y369" s="16">
        <f t="shared" si="150"/>
        <v>0.4430535219939099</v>
      </c>
      <c r="Z369" s="16">
        <f t="shared" si="146"/>
        <v>1.1924013189014016</v>
      </c>
      <c r="AA369" s="16">
        <f t="shared" si="147"/>
        <v>0.53113144224483544</v>
      </c>
      <c r="AB369" s="16">
        <f t="shared" si="130"/>
        <v>1.6600721011420204E-2</v>
      </c>
      <c r="AC369" s="14">
        <f t="shared" si="151"/>
        <v>32.109916487057262</v>
      </c>
      <c r="AD369" s="16">
        <f t="shared" si="131"/>
        <v>0.36304038866294225</v>
      </c>
      <c r="AE369" s="16">
        <f t="shared" si="132"/>
        <v>4.1863527725471271E-2</v>
      </c>
      <c r="AF369" s="23" t="str">
        <f t="shared" si="148"/>
        <v/>
      </c>
      <c r="AG369" s="23" t="str">
        <f t="shared" si="128"/>
        <v/>
      </c>
      <c r="AH369" s="23" t="str">
        <f t="shared" si="133"/>
        <v/>
      </c>
      <c r="AI369" s="23" t="str">
        <f t="shared" si="149"/>
        <v/>
      </c>
      <c r="AJ369" s="23" t="str">
        <f t="shared" si="134"/>
        <v/>
      </c>
      <c r="AK369" s="23" t="str">
        <f t="shared" si="135"/>
        <v/>
      </c>
      <c r="AL369" s="23" t="str">
        <f t="shared" si="136"/>
        <v/>
      </c>
      <c r="AM369" s="23" t="str">
        <f t="shared" si="137"/>
        <v/>
      </c>
      <c r="AN369" s="19">
        <f t="shared" si="138"/>
        <v>0</v>
      </c>
      <c r="AO369" s="26">
        <f t="shared" si="139"/>
        <v>129.3317920060972</v>
      </c>
    </row>
    <row r="370" spans="1:41" x14ac:dyDescent="0.2">
      <c r="A370" s="12">
        <v>44924</v>
      </c>
      <c r="B370" s="6">
        <v>29</v>
      </c>
      <c r="C370" s="6">
        <v>363</v>
      </c>
      <c r="D370" s="6">
        <v>5</v>
      </c>
      <c r="E370" s="6" t="s">
        <v>16</v>
      </c>
      <c r="F370" s="6">
        <v>52</v>
      </c>
      <c r="G370" s="6">
        <v>12</v>
      </c>
      <c r="H370" s="6" t="s">
        <v>28</v>
      </c>
      <c r="I370" s="6">
        <v>4</v>
      </c>
      <c r="J370" s="14">
        <v>20.391536886353411</v>
      </c>
      <c r="K370" s="14">
        <f t="shared" si="127"/>
        <v>20.391536886353411</v>
      </c>
      <c r="L370" s="14">
        <v>56.738477546018132</v>
      </c>
      <c r="M370" s="14">
        <f t="shared" si="140"/>
        <v>1156.9847577551634</v>
      </c>
      <c r="N370" s="16">
        <v>0.51233570220035562</v>
      </c>
      <c r="O370" s="14">
        <f t="shared" si="141"/>
        <v>592.76459829960004</v>
      </c>
      <c r="P370" s="14">
        <f t="shared" si="142"/>
        <v>564.22015945556336</v>
      </c>
      <c r="Q370" s="14">
        <v>38.522717319205427</v>
      </c>
      <c r="R370" s="14">
        <v>17.296552246714448</v>
      </c>
      <c r="S370" s="14">
        <f t="shared" si="129"/>
        <v>12.987012987012987</v>
      </c>
      <c r="T370" s="14">
        <v>40.762154675542</v>
      </c>
      <c r="U370" s="14">
        <f t="shared" si="143"/>
        <v>809.88933042861436</v>
      </c>
      <c r="V370" s="14">
        <f t="shared" si="144"/>
        <v>39.716934282212691</v>
      </c>
      <c r="W370" s="14">
        <v>36.646902012124329</v>
      </c>
      <c r="X370" s="16">
        <f t="shared" si="145"/>
        <v>0.96993179396673379</v>
      </c>
      <c r="Y370" s="16">
        <f t="shared" si="150"/>
        <v>0.55643276148164</v>
      </c>
      <c r="Z370" s="16">
        <f t="shared" si="146"/>
        <v>0.73190814600050813</v>
      </c>
      <c r="AA370" s="16">
        <f t="shared" si="147"/>
        <v>0.51342172438233236</v>
      </c>
      <c r="AB370" s="16">
        <f t="shared" si="130"/>
        <v>1.1224878201689541E-2</v>
      </c>
      <c r="AC370" s="14">
        <f t="shared" si="151"/>
        <v>39.716934282212691</v>
      </c>
      <c r="AD370" s="16">
        <f t="shared" si="131"/>
        <v>0.30484695738770856</v>
      </c>
      <c r="AE370" s="16">
        <f t="shared" si="132"/>
        <v>3.3295786362777177E-2</v>
      </c>
      <c r="AF370" s="23" t="str">
        <f t="shared" si="148"/>
        <v/>
      </c>
      <c r="AG370" s="23" t="str">
        <f t="shared" si="128"/>
        <v/>
      </c>
      <c r="AH370" s="23" t="str">
        <f t="shared" si="133"/>
        <v/>
      </c>
      <c r="AI370" s="23" t="str">
        <f t="shared" si="149"/>
        <v/>
      </c>
      <c r="AJ370" s="23" t="str">
        <f t="shared" si="134"/>
        <v/>
      </c>
      <c r="AK370" s="23" t="str">
        <f t="shared" si="135"/>
        <v/>
      </c>
      <c r="AL370" s="23" t="str">
        <f t="shared" si="136"/>
        <v/>
      </c>
      <c r="AM370" s="23" t="str">
        <f t="shared" si="137"/>
        <v/>
      </c>
      <c r="AN370" s="19">
        <f t="shared" si="138"/>
        <v>0</v>
      </c>
      <c r="AO370" s="26">
        <f t="shared" si="139"/>
        <v>564.22015945556336</v>
      </c>
    </row>
    <row r="371" spans="1:41" x14ac:dyDescent="0.2">
      <c r="A371" s="12">
        <v>44925</v>
      </c>
      <c r="B371" s="6">
        <v>30</v>
      </c>
      <c r="C371" s="6">
        <v>364</v>
      </c>
      <c r="D371" s="6">
        <v>6</v>
      </c>
      <c r="E371" s="6" t="s">
        <v>17</v>
      </c>
      <c r="F371" s="6">
        <v>52</v>
      </c>
      <c r="G371" s="6">
        <v>12</v>
      </c>
      <c r="H371" s="6" t="s">
        <v>28</v>
      </c>
      <c r="I371" s="6">
        <v>4</v>
      </c>
      <c r="J371" s="14">
        <v>21.387380544250561</v>
      </c>
      <c r="K371" s="14">
        <f t="shared" si="127"/>
        <v>21.387380544250561</v>
      </c>
      <c r="L371" s="14">
        <v>33.597033370839725</v>
      </c>
      <c r="M371" s="14">
        <f t="shared" si="140"/>
        <v>718.55253786003436</v>
      </c>
      <c r="N371" s="16">
        <v>0.65940319256310997</v>
      </c>
      <c r="O371" s="14">
        <f t="shared" si="141"/>
        <v>473.81583748923163</v>
      </c>
      <c r="P371" s="14">
        <f t="shared" si="142"/>
        <v>244.73670037080274</v>
      </c>
      <c r="Q371" s="14">
        <v>47.393265752335758</v>
      </c>
      <c r="R371" s="14">
        <v>11.196263315479129</v>
      </c>
      <c r="S371" s="14">
        <f t="shared" si="129"/>
        <v>12.987012987012987</v>
      </c>
      <c r="T371" s="14">
        <v>48.075286681356182</v>
      </c>
      <c r="U371" s="14">
        <f t="shared" si="143"/>
        <v>502.98677650202404</v>
      </c>
      <c r="V371" s="14">
        <f t="shared" si="144"/>
        <v>23.517923359587805</v>
      </c>
      <c r="W371" s="14">
        <v>46.81645162159807</v>
      </c>
      <c r="X371" s="16">
        <f t="shared" si="145"/>
        <v>2.0151977293103318</v>
      </c>
      <c r="Y371" s="16">
        <f t="shared" si="150"/>
        <v>0.45683471949385873</v>
      </c>
      <c r="Z371" s="16">
        <f t="shared" si="146"/>
        <v>0.94200456080444284</v>
      </c>
      <c r="AA371" s="16">
        <f t="shared" si="147"/>
        <v>0.90940769800286547</v>
      </c>
      <c r="AB371" s="16">
        <f t="shared" si="130"/>
        <v>1.8073853062561592E-2</v>
      </c>
      <c r="AC371" s="14">
        <f t="shared" si="151"/>
        <v>23.517923359587805</v>
      </c>
      <c r="AD371" s="16">
        <f t="shared" si="131"/>
        <v>0.33325154610814051</v>
      </c>
      <c r="AE371" s="16">
        <f t="shared" si="132"/>
        <v>6.5956576944923975E-2</v>
      </c>
      <c r="AF371" s="23" t="str">
        <f t="shared" si="148"/>
        <v/>
      </c>
      <c r="AG371" s="23" t="str">
        <f t="shared" si="128"/>
        <v/>
      </c>
      <c r="AH371" s="23" t="str">
        <f t="shared" si="133"/>
        <v/>
      </c>
      <c r="AI371" s="23" t="str">
        <f t="shared" si="149"/>
        <v/>
      </c>
      <c r="AJ371" s="23" t="str">
        <f t="shared" si="134"/>
        <v/>
      </c>
      <c r="AK371" s="23" t="str">
        <f t="shared" si="135"/>
        <v/>
      </c>
      <c r="AL371" s="23" t="str">
        <f t="shared" si="136"/>
        <v/>
      </c>
      <c r="AM371" s="23" t="str">
        <f t="shared" si="137"/>
        <v/>
      </c>
      <c r="AN371" s="19">
        <f t="shared" si="138"/>
        <v>0</v>
      </c>
      <c r="AO371" s="26">
        <f t="shared" si="139"/>
        <v>244.73670037080274</v>
      </c>
    </row>
    <row r="372" spans="1:41" x14ac:dyDescent="0.2">
      <c r="A372" s="12">
        <v>44926</v>
      </c>
      <c r="B372" s="6">
        <v>31</v>
      </c>
      <c r="C372" s="6">
        <v>365</v>
      </c>
      <c r="D372" s="6">
        <v>7</v>
      </c>
      <c r="E372" s="6" t="s">
        <v>10</v>
      </c>
      <c r="F372" s="6">
        <v>52</v>
      </c>
      <c r="G372" s="6">
        <v>12</v>
      </c>
      <c r="H372" s="6" t="s">
        <v>28</v>
      </c>
      <c r="I372" s="6">
        <v>4</v>
      </c>
      <c r="J372" s="14">
        <v>6.4038069555508628</v>
      </c>
      <c r="K372" s="14">
        <f t="shared" si="127"/>
        <v>6.4038069555508628</v>
      </c>
      <c r="L372" s="14">
        <v>55.163928043924201</v>
      </c>
      <c r="M372" s="14">
        <f t="shared" si="140"/>
        <v>353.2591461031891</v>
      </c>
      <c r="N372" s="16">
        <v>0.73075665084783348</v>
      </c>
      <c r="O372" s="14">
        <f t="shared" si="141"/>
        <v>258.14647048773196</v>
      </c>
      <c r="P372" s="14">
        <f t="shared" si="142"/>
        <v>95.112675615457135</v>
      </c>
      <c r="Q372" s="14">
        <v>43.641931842011786</v>
      </c>
      <c r="R372" s="14">
        <v>10.292481360014161</v>
      </c>
      <c r="S372" s="14">
        <f t="shared" si="129"/>
        <v>12.987012987012987</v>
      </c>
      <c r="T372" s="14">
        <v>40.949615880372797</v>
      </c>
      <c r="U372" s="14">
        <f t="shared" si="143"/>
        <v>247.28140227223236</v>
      </c>
      <c r="V372" s="14">
        <f t="shared" si="144"/>
        <v>38.614749630746935</v>
      </c>
      <c r="W372" s="14">
        <v>38.734059230206817</v>
      </c>
      <c r="X372" s="16">
        <f t="shared" si="145"/>
        <v>1.1301881343097449</v>
      </c>
      <c r="Y372" s="16">
        <f t="shared" si="150"/>
        <v>0.16532754590711329</v>
      </c>
      <c r="Z372" s="16">
        <f t="shared" si="146"/>
        <v>1.0439380726397622</v>
      </c>
      <c r="AA372" s="16">
        <f t="shared" si="147"/>
        <v>0.1658383653082614</v>
      </c>
      <c r="AB372" s="16">
        <f t="shared" si="130"/>
        <v>3.676341612177085E-2</v>
      </c>
      <c r="AC372" s="14">
        <f t="shared" si="151"/>
        <v>38.614749630746935</v>
      </c>
      <c r="AD372" s="16">
        <f t="shared" si="131"/>
        <v>0.18657992142653052</v>
      </c>
      <c r="AE372" s="16">
        <f t="shared" si="132"/>
        <v>0.12354084055126974</v>
      </c>
      <c r="AF372" s="23" t="str">
        <f t="shared" si="148"/>
        <v/>
      </c>
      <c r="AG372" s="23" t="str">
        <f t="shared" si="128"/>
        <v/>
      </c>
      <c r="AH372" s="23" t="str">
        <f t="shared" si="133"/>
        <v/>
      </c>
      <c r="AI372" s="23" t="str">
        <f t="shared" si="149"/>
        <v/>
      </c>
      <c r="AJ372" s="23" t="str">
        <f t="shared" si="134"/>
        <v/>
      </c>
      <c r="AK372" s="23" t="str">
        <f t="shared" si="135"/>
        <v/>
      </c>
      <c r="AL372" s="23" t="str">
        <f t="shared" si="136"/>
        <v/>
      </c>
      <c r="AM372" s="23" t="str">
        <f t="shared" si="137"/>
        <v/>
      </c>
      <c r="AN372" s="19">
        <f t="shared" si="138"/>
        <v>0</v>
      </c>
      <c r="AO372" s="26">
        <f t="shared" si="139"/>
        <v>95.112675615457135</v>
      </c>
    </row>
    <row r="373" spans="1:41" x14ac:dyDescent="0.2">
      <c r="A373" s="12">
        <v>44927</v>
      </c>
      <c r="B373" s="6">
        <v>1</v>
      </c>
      <c r="C373" s="6">
        <v>366</v>
      </c>
      <c r="D373" s="6">
        <v>1</v>
      </c>
      <c r="E373" s="6" t="s">
        <v>12</v>
      </c>
      <c r="F373" s="6">
        <v>52</v>
      </c>
      <c r="G373" s="6">
        <v>1</v>
      </c>
      <c r="H373" s="6" t="s">
        <v>11</v>
      </c>
      <c r="I373" s="6">
        <v>4</v>
      </c>
      <c r="J373" s="14">
        <v>13.60869710528582</v>
      </c>
      <c r="K373" s="14">
        <f t="shared" si="127"/>
        <v>13.60869710528582</v>
      </c>
      <c r="L373" s="14">
        <v>28.088596900676407</v>
      </c>
      <c r="M373" s="14">
        <f t="shared" si="140"/>
        <v>382.2492073337753</v>
      </c>
      <c r="N373" s="16">
        <v>0.17156509093467959</v>
      </c>
      <c r="O373" s="14">
        <f t="shared" si="141"/>
        <v>65.580620015928346</v>
      </c>
      <c r="P373" s="14">
        <f t="shared" si="142"/>
        <v>316.66858731784697</v>
      </c>
      <c r="Q373" s="14">
        <v>28.984361582868587</v>
      </c>
      <c r="R373" s="14">
        <v>5.6991992770189324</v>
      </c>
      <c r="S373" s="14">
        <f t="shared" si="129"/>
        <v>28.571428571428573</v>
      </c>
      <c r="T373" s="14">
        <v>15.912486630439108</v>
      </c>
      <c r="U373" s="14">
        <f t="shared" si="143"/>
        <v>267.57444513364271</v>
      </c>
      <c r="V373" s="14">
        <f t="shared" si="144"/>
        <v>19.662017830473484</v>
      </c>
      <c r="W373" s="14">
        <v>19.553896898321032</v>
      </c>
      <c r="X373" s="16">
        <f t="shared" si="145"/>
        <v>1.4741295543912447</v>
      </c>
      <c r="Y373" s="16">
        <f t="shared" si="150"/>
        <v>0.69595831337610825</v>
      </c>
      <c r="Z373" s="16">
        <f t="shared" si="146"/>
        <v>0.24509298704954224</v>
      </c>
      <c r="AA373" s="16">
        <f t="shared" si="147"/>
        <v>0.69213125644684181</v>
      </c>
      <c r="AB373" s="16">
        <f t="shared" si="130"/>
        <v>7.4745553485164859E-2</v>
      </c>
      <c r="AC373" s="14">
        <f t="shared" si="151"/>
        <v>19.662017830473484</v>
      </c>
      <c r="AD373" s="16">
        <f t="shared" si="131"/>
        <v>0.20290081762260218</v>
      </c>
      <c r="AE373" s="16">
        <f t="shared" si="132"/>
        <v>7.5825825212398154E-2</v>
      </c>
      <c r="AF373" s="23">
        <f t="shared" si="148"/>
        <v>3000</v>
      </c>
      <c r="AG373" s="23">
        <f t="shared" si="128"/>
        <v>1000</v>
      </c>
      <c r="AH373" s="23" t="str">
        <f t="shared" si="133"/>
        <v/>
      </c>
      <c r="AI373" s="23" t="str">
        <f t="shared" si="149"/>
        <v/>
      </c>
      <c r="AJ373" s="23" t="str">
        <f t="shared" si="134"/>
        <v/>
      </c>
      <c r="AK373" s="23" t="str">
        <f t="shared" si="135"/>
        <v/>
      </c>
      <c r="AL373" s="23" t="str">
        <f t="shared" si="136"/>
        <v/>
      </c>
      <c r="AM373" s="23" t="str">
        <f t="shared" si="137"/>
        <v/>
      </c>
      <c r="AN373" s="19">
        <f t="shared" si="138"/>
        <v>4000</v>
      </c>
      <c r="AO373" s="26">
        <f t="shared" si="139"/>
        <v>-3683.3314126821529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5DC3-E6A6-4DDF-B209-53EC913B9F56}">
  <dimension ref="B5:J25"/>
  <sheetViews>
    <sheetView workbookViewId="0">
      <selection activeCell="T20" sqref="T20"/>
    </sheetView>
  </sheetViews>
  <sheetFormatPr baseColWidth="10" defaultColWidth="8.83203125" defaultRowHeight="15" x14ac:dyDescent="0.2"/>
  <cols>
    <col min="7" max="8" width="15.33203125" customWidth="1"/>
  </cols>
  <sheetData>
    <row r="5" spans="2:10" ht="16" thickBot="1" x14ac:dyDescent="0.25"/>
    <row r="6" spans="2:10" ht="16" thickBot="1" x14ac:dyDescent="0.25">
      <c r="B6" t="s">
        <v>32</v>
      </c>
      <c r="H6" s="18">
        <f>SUM('Landing Sheet'!L8:L373)</f>
        <v>344165.43021124712</v>
      </c>
    </row>
    <row r="11" spans="2:10" x14ac:dyDescent="0.2">
      <c r="B11" t="s">
        <v>38</v>
      </c>
      <c r="J11" s="8"/>
    </row>
    <row r="12" spans="2:10" x14ac:dyDescent="0.2">
      <c r="B12" s="13" t="s">
        <v>39</v>
      </c>
    </row>
    <row r="17" spans="2:9" ht="16" thickBot="1" x14ac:dyDescent="0.25"/>
    <row r="18" spans="2:9" ht="16" thickBot="1" x14ac:dyDescent="0.25">
      <c r="B18" t="s">
        <v>33</v>
      </c>
      <c r="H18" s="18">
        <f>MIN('Landing Sheet'!L8:L373)</f>
        <v>2.9383006632910829</v>
      </c>
      <c r="I18" t="s">
        <v>34</v>
      </c>
    </row>
    <row r="19" spans="2:9" ht="16" thickBot="1" x14ac:dyDescent="0.25">
      <c r="H19" s="18">
        <f>MAX('Landing Sheet'!L8:L373)</f>
        <v>4486.4679139741193</v>
      </c>
      <c r="I19" t="s">
        <v>35</v>
      </c>
    </row>
    <row r="24" spans="2:9" x14ac:dyDescent="0.2">
      <c r="B24" t="s">
        <v>36</v>
      </c>
    </row>
    <row r="25" spans="2:9" x14ac:dyDescent="0.2">
      <c r="C25" t="s">
        <v>37</v>
      </c>
      <c r="G2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639A-FE46-734C-A9B8-0F59A878EEF0}">
  <dimension ref="A2:X59"/>
  <sheetViews>
    <sheetView showGridLines="0" tabSelected="1" topLeftCell="B1" zoomScale="92" workbookViewId="0">
      <selection activeCell="P61" sqref="P61"/>
    </sheetView>
  </sheetViews>
  <sheetFormatPr baseColWidth="10" defaultRowHeight="15" x14ac:dyDescent="0.2"/>
  <cols>
    <col min="1" max="1" width="17.83203125" bestFit="1" customWidth="1"/>
    <col min="2" max="2" width="17.6640625" bestFit="1" customWidth="1"/>
    <col min="3" max="3" width="14.83203125" bestFit="1" customWidth="1"/>
    <col min="4" max="5" width="12.1640625" bestFit="1" customWidth="1"/>
    <col min="6" max="6" width="32.83203125" bestFit="1" customWidth="1"/>
    <col min="7" max="7" width="4.6640625" bestFit="1" customWidth="1"/>
    <col min="8" max="8" width="10.1640625" bestFit="1" customWidth="1"/>
    <col min="9" max="9" width="19.6640625" bestFit="1" customWidth="1"/>
    <col min="10" max="10" width="8.6640625" bestFit="1" customWidth="1"/>
    <col min="11" max="11" width="20.83203125" bestFit="1" customWidth="1"/>
    <col min="12" max="12" width="13.33203125" bestFit="1" customWidth="1"/>
    <col min="13" max="13" width="16.83203125" bestFit="1" customWidth="1"/>
    <col min="14" max="14" width="18" bestFit="1" customWidth="1"/>
    <col min="15" max="42" width="15.6640625" bestFit="1" customWidth="1"/>
    <col min="43" max="43" width="10" bestFit="1" customWidth="1"/>
    <col min="44" max="376" width="14.83203125" bestFit="1" customWidth="1"/>
    <col min="377" max="377" width="10" bestFit="1" customWidth="1"/>
    <col min="378" max="378" width="12.1640625" bestFit="1" customWidth="1"/>
    <col min="379" max="379" width="3.1640625" bestFit="1" customWidth="1"/>
    <col min="380" max="380" width="7.33203125" bestFit="1" customWidth="1"/>
    <col min="381" max="381" width="3.1640625" bestFit="1" customWidth="1"/>
    <col min="382" max="382" width="7.33203125" bestFit="1" customWidth="1"/>
    <col min="383" max="383" width="3.1640625" bestFit="1" customWidth="1"/>
    <col min="384" max="384" width="7.33203125" bestFit="1" customWidth="1"/>
    <col min="385" max="385" width="3.1640625" bestFit="1" customWidth="1"/>
    <col min="386" max="386" width="7.33203125" bestFit="1" customWidth="1"/>
    <col min="387" max="387" width="3.1640625" bestFit="1" customWidth="1"/>
    <col min="388" max="388" width="7.33203125" bestFit="1" customWidth="1"/>
    <col min="389" max="389" width="3.1640625" bestFit="1" customWidth="1"/>
    <col min="390" max="390" width="7.33203125" bestFit="1" customWidth="1"/>
    <col min="391" max="391" width="3.1640625" bestFit="1" customWidth="1"/>
    <col min="392" max="392" width="7.33203125" bestFit="1" customWidth="1"/>
    <col min="393" max="393" width="3.1640625" bestFit="1" customWidth="1"/>
    <col min="394" max="394" width="7.33203125" bestFit="1" customWidth="1"/>
    <col min="395" max="395" width="3.1640625" bestFit="1" customWidth="1"/>
    <col min="396" max="396" width="7.33203125" bestFit="1" customWidth="1"/>
    <col min="397" max="397" width="3.1640625" bestFit="1" customWidth="1"/>
    <col min="398" max="398" width="7.33203125" bestFit="1" customWidth="1"/>
    <col min="399" max="399" width="3.1640625" bestFit="1" customWidth="1"/>
    <col min="400" max="400" width="7.33203125" bestFit="1" customWidth="1"/>
    <col min="401" max="401" width="3.1640625" bestFit="1" customWidth="1"/>
    <col min="402" max="402" width="7.33203125" bestFit="1" customWidth="1"/>
    <col min="403" max="403" width="3.1640625" bestFit="1" customWidth="1"/>
    <col min="404" max="404" width="7.33203125" bestFit="1" customWidth="1"/>
    <col min="405" max="405" width="3.1640625" bestFit="1" customWidth="1"/>
    <col min="406" max="406" width="7.33203125" bestFit="1" customWidth="1"/>
    <col min="407" max="407" width="3.1640625" bestFit="1" customWidth="1"/>
    <col min="408" max="408" width="7.33203125" bestFit="1" customWidth="1"/>
    <col min="409" max="409" width="3.1640625" bestFit="1" customWidth="1"/>
    <col min="410" max="410" width="7.33203125" bestFit="1" customWidth="1"/>
    <col min="411" max="411" width="3.1640625" bestFit="1" customWidth="1"/>
    <col min="412" max="412" width="7.33203125" bestFit="1" customWidth="1"/>
    <col min="413" max="413" width="3.1640625" bestFit="1" customWidth="1"/>
    <col min="414" max="414" width="7.33203125" bestFit="1" customWidth="1"/>
    <col min="415" max="415" width="3.1640625" bestFit="1" customWidth="1"/>
    <col min="416" max="416" width="7.33203125" bestFit="1" customWidth="1"/>
    <col min="417" max="417" width="3.1640625" bestFit="1" customWidth="1"/>
    <col min="418" max="418" width="7.33203125" bestFit="1" customWidth="1"/>
    <col min="419" max="419" width="3.1640625" bestFit="1" customWidth="1"/>
    <col min="420" max="420" width="7.33203125" bestFit="1" customWidth="1"/>
    <col min="421" max="421" width="3.1640625" bestFit="1" customWidth="1"/>
    <col min="422" max="422" width="7.33203125" bestFit="1" customWidth="1"/>
    <col min="423" max="423" width="3.1640625" bestFit="1" customWidth="1"/>
    <col min="424" max="424" width="7.33203125" bestFit="1" customWidth="1"/>
    <col min="425" max="425" width="3.1640625" bestFit="1" customWidth="1"/>
    <col min="426" max="426" width="7.33203125" bestFit="1" customWidth="1"/>
    <col min="427" max="427" width="3.1640625" bestFit="1" customWidth="1"/>
    <col min="428" max="428" width="7.33203125" bestFit="1" customWidth="1"/>
    <col min="429" max="429" width="3.1640625" bestFit="1" customWidth="1"/>
    <col min="430" max="430" width="7.33203125" bestFit="1" customWidth="1"/>
    <col min="431" max="431" width="3.1640625" bestFit="1" customWidth="1"/>
    <col min="432" max="432" width="7.33203125" bestFit="1" customWidth="1"/>
    <col min="433" max="433" width="3.1640625" bestFit="1" customWidth="1"/>
    <col min="434" max="434" width="7.33203125" bestFit="1" customWidth="1"/>
    <col min="435" max="435" width="3.1640625" bestFit="1" customWidth="1"/>
    <col min="436" max="436" width="7.33203125" bestFit="1" customWidth="1"/>
    <col min="437" max="437" width="3.1640625" bestFit="1" customWidth="1"/>
    <col min="438" max="438" width="7.33203125" bestFit="1" customWidth="1"/>
    <col min="439" max="439" width="3.1640625" bestFit="1" customWidth="1"/>
    <col min="440" max="440" width="7.33203125" bestFit="1" customWidth="1"/>
    <col min="441" max="441" width="3.1640625" bestFit="1" customWidth="1"/>
    <col min="442" max="442" width="7.33203125" bestFit="1" customWidth="1"/>
    <col min="443" max="443" width="3.1640625" bestFit="1" customWidth="1"/>
    <col min="444" max="444" width="7.33203125" bestFit="1" customWidth="1"/>
    <col min="445" max="445" width="4.1640625" bestFit="1" customWidth="1"/>
    <col min="446" max="446" width="7.33203125" bestFit="1" customWidth="1"/>
    <col min="447" max="447" width="3.1640625" bestFit="1" customWidth="1"/>
    <col min="448" max="448" width="7.33203125" bestFit="1" customWidth="1"/>
    <col min="449" max="449" width="3.1640625" bestFit="1" customWidth="1"/>
    <col min="450" max="450" width="7.33203125" bestFit="1" customWidth="1"/>
    <col min="451" max="451" width="3.1640625" bestFit="1" customWidth="1"/>
    <col min="452" max="452" width="7.33203125" bestFit="1" customWidth="1"/>
    <col min="453" max="453" width="3.1640625" bestFit="1" customWidth="1"/>
    <col min="454" max="454" width="7.33203125" bestFit="1" customWidth="1"/>
    <col min="455" max="455" width="3.1640625" bestFit="1" customWidth="1"/>
    <col min="456" max="456" width="7.33203125" bestFit="1" customWidth="1"/>
    <col min="457" max="457" width="3.1640625" bestFit="1" customWidth="1"/>
    <col min="458" max="458" width="7.33203125" bestFit="1" customWidth="1"/>
    <col min="459" max="459" width="3.1640625" bestFit="1" customWidth="1"/>
    <col min="460" max="460" width="7.33203125" bestFit="1" customWidth="1"/>
    <col min="461" max="461" width="3.1640625" bestFit="1" customWidth="1"/>
    <col min="462" max="462" width="7.33203125" bestFit="1" customWidth="1"/>
    <col min="463" max="463" width="3.1640625" bestFit="1" customWidth="1"/>
    <col min="464" max="464" width="7.33203125" bestFit="1" customWidth="1"/>
    <col min="465" max="465" width="3.1640625" bestFit="1" customWidth="1"/>
    <col min="466" max="466" width="7.33203125" bestFit="1" customWidth="1"/>
    <col min="467" max="467" width="3.1640625" bestFit="1" customWidth="1"/>
    <col min="468" max="468" width="7.33203125" bestFit="1" customWidth="1"/>
    <col min="469" max="469" width="3.1640625" bestFit="1" customWidth="1"/>
    <col min="470" max="470" width="7.33203125" bestFit="1" customWidth="1"/>
    <col min="471" max="471" width="3.1640625" bestFit="1" customWidth="1"/>
    <col min="472" max="472" width="7.33203125" bestFit="1" customWidth="1"/>
    <col min="473" max="473" width="3.1640625" bestFit="1" customWidth="1"/>
    <col min="474" max="474" width="7.33203125" bestFit="1" customWidth="1"/>
    <col min="475" max="475" width="3.1640625" bestFit="1" customWidth="1"/>
    <col min="476" max="476" width="7.33203125" bestFit="1" customWidth="1"/>
    <col min="477" max="477" width="3.1640625" bestFit="1" customWidth="1"/>
    <col min="478" max="478" width="7.33203125" bestFit="1" customWidth="1"/>
    <col min="479" max="479" width="3.1640625" bestFit="1" customWidth="1"/>
    <col min="480" max="480" width="7.33203125" bestFit="1" customWidth="1"/>
    <col min="481" max="481" width="3.1640625" bestFit="1" customWidth="1"/>
    <col min="482" max="482" width="7.33203125" bestFit="1" customWidth="1"/>
    <col min="483" max="483" width="3.1640625" bestFit="1" customWidth="1"/>
    <col min="484" max="484" width="7.33203125" bestFit="1" customWidth="1"/>
    <col min="485" max="485" width="3.1640625" bestFit="1" customWidth="1"/>
    <col min="486" max="486" width="7.33203125" bestFit="1" customWidth="1"/>
    <col min="487" max="487" width="4.1640625" bestFit="1" customWidth="1"/>
    <col min="488" max="488" width="7.33203125" bestFit="1" customWidth="1"/>
    <col min="489" max="489" width="3.1640625" bestFit="1" customWidth="1"/>
    <col min="490" max="490" width="7.33203125" bestFit="1" customWidth="1"/>
    <col min="491" max="491" width="4.1640625" bestFit="1" customWidth="1"/>
    <col min="492" max="492" width="7.33203125" bestFit="1" customWidth="1"/>
    <col min="493" max="493" width="3.1640625" bestFit="1" customWidth="1"/>
    <col min="494" max="494" width="7.33203125" bestFit="1" customWidth="1"/>
    <col min="495" max="495" width="3.1640625" bestFit="1" customWidth="1"/>
    <col min="496" max="496" width="7.33203125" bestFit="1" customWidth="1"/>
    <col min="497" max="497" width="3.1640625" bestFit="1" customWidth="1"/>
    <col min="498" max="498" width="7.33203125" bestFit="1" customWidth="1"/>
    <col min="499" max="499" width="3.1640625" bestFit="1" customWidth="1"/>
    <col min="500" max="500" width="7.33203125" bestFit="1" customWidth="1"/>
    <col min="501" max="501" width="3.1640625" bestFit="1" customWidth="1"/>
    <col min="502" max="502" width="7.33203125" bestFit="1" customWidth="1"/>
    <col min="503" max="503" width="3.1640625" bestFit="1" customWidth="1"/>
    <col min="504" max="504" width="7.33203125" bestFit="1" customWidth="1"/>
    <col min="505" max="505" width="3.1640625" bestFit="1" customWidth="1"/>
    <col min="506" max="506" width="7.33203125" bestFit="1" customWidth="1"/>
    <col min="507" max="507" width="3.1640625" bestFit="1" customWidth="1"/>
    <col min="508" max="508" width="7.33203125" bestFit="1" customWidth="1"/>
    <col min="509" max="509" width="3.1640625" bestFit="1" customWidth="1"/>
    <col min="510" max="510" width="7.33203125" bestFit="1" customWidth="1"/>
    <col min="511" max="511" width="3.1640625" bestFit="1" customWidth="1"/>
    <col min="512" max="512" width="7.33203125" bestFit="1" customWidth="1"/>
    <col min="513" max="513" width="3.1640625" bestFit="1" customWidth="1"/>
    <col min="514" max="514" width="7.33203125" bestFit="1" customWidth="1"/>
    <col min="515" max="515" width="3.1640625" bestFit="1" customWidth="1"/>
    <col min="516" max="516" width="7.33203125" bestFit="1" customWidth="1"/>
    <col min="517" max="517" width="3.1640625" bestFit="1" customWidth="1"/>
    <col min="518" max="518" width="7.33203125" bestFit="1" customWidth="1"/>
    <col min="519" max="519" width="3.1640625" bestFit="1" customWidth="1"/>
    <col min="520" max="520" width="7.33203125" bestFit="1" customWidth="1"/>
    <col min="521" max="521" width="3.1640625" bestFit="1" customWidth="1"/>
    <col min="522" max="522" width="7.33203125" bestFit="1" customWidth="1"/>
    <col min="523" max="523" width="3.1640625" bestFit="1" customWidth="1"/>
    <col min="524" max="524" width="7.33203125" bestFit="1" customWidth="1"/>
    <col min="525" max="525" width="3.1640625" bestFit="1" customWidth="1"/>
    <col min="526" max="526" width="7.33203125" bestFit="1" customWidth="1"/>
    <col min="527" max="527" width="3.1640625" bestFit="1" customWidth="1"/>
    <col min="528" max="528" width="7.33203125" bestFit="1" customWidth="1"/>
    <col min="529" max="529" width="3.1640625" bestFit="1" customWidth="1"/>
    <col min="530" max="530" width="7.33203125" bestFit="1" customWidth="1"/>
    <col min="531" max="531" width="3.1640625" bestFit="1" customWidth="1"/>
    <col min="532" max="532" width="7.33203125" bestFit="1" customWidth="1"/>
    <col min="533" max="533" width="3.1640625" bestFit="1" customWidth="1"/>
    <col min="534" max="534" width="7.33203125" bestFit="1" customWidth="1"/>
    <col min="535" max="535" width="3.1640625" bestFit="1" customWidth="1"/>
    <col min="536" max="536" width="7.33203125" bestFit="1" customWidth="1"/>
    <col min="537" max="537" width="3.1640625" bestFit="1" customWidth="1"/>
    <col min="538" max="538" width="7.33203125" bestFit="1" customWidth="1"/>
    <col min="539" max="539" width="3.1640625" bestFit="1" customWidth="1"/>
    <col min="540" max="540" width="7.33203125" bestFit="1" customWidth="1"/>
    <col min="541" max="541" width="3.1640625" bestFit="1" customWidth="1"/>
    <col min="542" max="542" width="7.33203125" bestFit="1" customWidth="1"/>
    <col min="543" max="543" width="3.1640625" bestFit="1" customWidth="1"/>
    <col min="544" max="544" width="7.33203125" bestFit="1" customWidth="1"/>
    <col min="545" max="545" width="3.1640625" bestFit="1" customWidth="1"/>
    <col min="546" max="546" width="7.33203125" bestFit="1" customWidth="1"/>
    <col min="547" max="547" width="3.1640625" bestFit="1" customWidth="1"/>
    <col min="548" max="548" width="7.33203125" bestFit="1" customWidth="1"/>
    <col min="549" max="549" width="3.1640625" bestFit="1" customWidth="1"/>
    <col min="550" max="550" width="7.33203125" bestFit="1" customWidth="1"/>
    <col min="551" max="551" width="3.1640625" bestFit="1" customWidth="1"/>
    <col min="552" max="552" width="7.33203125" bestFit="1" customWidth="1"/>
    <col min="553" max="553" width="3.1640625" bestFit="1" customWidth="1"/>
    <col min="554" max="554" width="7.33203125" bestFit="1" customWidth="1"/>
    <col min="555" max="555" width="3.1640625" bestFit="1" customWidth="1"/>
    <col min="556" max="556" width="7.33203125" bestFit="1" customWidth="1"/>
    <col min="557" max="557" width="3.1640625" bestFit="1" customWidth="1"/>
    <col min="558" max="558" width="7.33203125" bestFit="1" customWidth="1"/>
    <col min="559" max="559" width="3.1640625" bestFit="1" customWidth="1"/>
    <col min="560" max="560" width="7.33203125" bestFit="1" customWidth="1"/>
    <col min="561" max="561" width="3.1640625" bestFit="1" customWidth="1"/>
    <col min="562" max="562" width="7.33203125" bestFit="1" customWidth="1"/>
    <col min="563" max="563" width="3.1640625" bestFit="1" customWidth="1"/>
    <col min="564" max="564" width="7.33203125" bestFit="1" customWidth="1"/>
    <col min="565" max="565" width="3.1640625" bestFit="1" customWidth="1"/>
    <col min="566" max="566" width="7.33203125" bestFit="1" customWidth="1"/>
    <col min="567" max="567" width="3.1640625" bestFit="1" customWidth="1"/>
    <col min="568" max="568" width="7.33203125" bestFit="1" customWidth="1"/>
    <col min="569" max="569" width="3.1640625" bestFit="1" customWidth="1"/>
    <col min="570" max="570" width="7.33203125" bestFit="1" customWidth="1"/>
    <col min="571" max="571" width="3.1640625" bestFit="1" customWidth="1"/>
    <col min="572" max="572" width="7.33203125" bestFit="1" customWidth="1"/>
    <col min="573" max="573" width="3.1640625" bestFit="1" customWidth="1"/>
    <col min="574" max="574" width="7.33203125" bestFit="1" customWidth="1"/>
    <col min="575" max="575" width="3.1640625" bestFit="1" customWidth="1"/>
    <col min="576" max="576" width="7.33203125" bestFit="1" customWidth="1"/>
    <col min="577" max="577" width="3.1640625" bestFit="1" customWidth="1"/>
    <col min="578" max="578" width="7.33203125" bestFit="1" customWidth="1"/>
    <col min="579" max="579" width="3.1640625" bestFit="1" customWidth="1"/>
    <col min="580" max="580" width="7.33203125" bestFit="1" customWidth="1"/>
    <col min="581" max="581" width="3.1640625" bestFit="1" customWidth="1"/>
    <col min="582" max="582" width="7.33203125" bestFit="1" customWidth="1"/>
    <col min="583" max="583" width="3.1640625" bestFit="1" customWidth="1"/>
    <col min="584" max="584" width="7.33203125" bestFit="1" customWidth="1"/>
    <col min="585" max="585" width="3.1640625" bestFit="1" customWidth="1"/>
    <col min="586" max="586" width="7.33203125" bestFit="1" customWidth="1"/>
    <col min="587" max="587" width="3.1640625" bestFit="1" customWidth="1"/>
    <col min="588" max="588" width="7.33203125" bestFit="1" customWidth="1"/>
    <col min="589" max="589" width="3.1640625" bestFit="1" customWidth="1"/>
    <col min="590" max="590" width="7.33203125" bestFit="1" customWidth="1"/>
    <col min="591" max="591" width="3.1640625" bestFit="1" customWidth="1"/>
    <col min="592" max="592" width="7.33203125" bestFit="1" customWidth="1"/>
    <col min="593" max="593" width="3.1640625" bestFit="1" customWidth="1"/>
    <col min="594" max="594" width="7.33203125" bestFit="1" customWidth="1"/>
    <col min="595" max="595" width="3.1640625" bestFit="1" customWidth="1"/>
    <col min="596" max="596" width="7.33203125" bestFit="1" customWidth="1"/>
    <col min="597" max="597" width="3.1640625" bestFit="1" customWidth="1"/>
    <col min="598" max="598" width="7.33203125" bestFit="1" customWidth="1"/>
    <col min="599" max="599" width="3.1640625" bestFit="1" customWidth="1"/>
    <col min="600" max="600" width="7.33203125" bestFit="1" customWidth="1"/>
    <col min="601" max="601" width="3.1640625" bestFit="1" customWidth="1"/>
    <col min="602" max="602" width="7.33203125" bestFit="1" customWidth="1"/>
    <col min="603" max="603" width="3.1640625" bestFit="1" customWidth="1"/>
    <col min="604" max="604" width="7.33203125" bestFit="1" customWidth="1"/>
    <col min="605" max="605" width="3.1640625" bestFit="1" customWidth="1"/>
    <col min="606" max="606" width="7.33203125" bestFit="1" customWidth="1"/>
    <col min="607" max="607" width="3.1640625" bestFit="1" customWidth="1"/>
    <col min="608" max="608" width="7.33203125" bestFit="1" customWidth="1"/>
    <col min="609" max="609" width="3.1640625" bestFit="1" customWidth="1"/>
    <col min="610" max="610" width="7.33203125" bestFit="1" customWidth="1"/>
    <col min="611" max="611" width="3.1640625" bestFit="1" customWidth="1"/>
    <col min="612" max="612" width="7.33203125" bestFit="1" customWidth="1"/>
    <col min="613" max="613" width="3.1640625" bestFit="1" customWidth="1"/>
    <col min="614" max="614" width="7.33203125" bestFit="1" customWidth="1"/>
    <col min="615" max="615" width="3.1640625" bestFit="1" customWidth="1"/>
    <col min="616" max="616" width="7.33203125" bestFit="1" customWidth="1"/>
    <col min="617" max="617" width="3.1640625" bestFit="1" customWidth="1"/>
    <col min="618" max="618" width="7.33203125" bestFit="1" customWidth="1"/>
    <col min="619" max="619" width="3.1640625" bestFit="1" customWidth="1"/>
    <col min="620" max="620" width="7.33203125" bestFit="1" customWidth="1"/>
    <col min="621" max="621" width="3.1640625" bestFit="1" customWidth="1"/>
    <col min="622" max="622" width="7.33203125" bestFit="1" customWidth="1"/>
    <col min="623" max="623" width="3.1640625" bestFit="1" customWidth="1"/>
    <col min="624" max="624" width="7.33203125" bestFit="1" customWidth="1"/>
    <col min="625" max="625" width="4.1640625" bestFit="1" customWidth="1"/>
    <col min="626" max="626" width="7.33203125" bestFit="1" customWidth="1"/>
    <col min="627" max="627" width="3.1640625" bestFit="1" customWidth="1"/>
    <col min="628" max="628" width="7.33203125" bestFit="1" customWidth="1"/>
    <col min="629" max="629" width="3.1640625" bestFit="1" customWidth="1"/>
    <col min="630" max="630" width="7.33203125" bestFit="1" customWidth="1"/>
    <col min="631" max="631" width="3.1640625" bestFit="1" customWidth="1"/>
    <col min="632" max="632" width="7.33203125" bestFit="1" customWidth="1"/>
    <col min="633" max="633" width="3.1640625" bestFit="1" customWidth="1"/>
    <col min="634" max="634" width="7.33203125" bestFit="1" customWidth="1"/>
    <col min="635" max="635" width="3.1640625" bestFit="1" customWidth="1"/>
    <col min="636" max="636" width="7.33203125" bestFit="1" customWidth="1"/>
    <col min="637" max="637" width="3.1640625" bestFit="1" customWidth="1"/>
    <col min="638" max="638" width="7.33203125" bestFit="1" customWidth="1"/>
    <col min="639" max="639" width="3.1640625" bestFit="1" customWidth="1"/>
    <col min="640" max="640" width="7.33203125" bestFit="1" customWidth="1"/>
    <col min="641" max="641" width="3.1640625" bestFit="1" customWidth="1"/>
    <col min="642" max="642" width="7.33203125" bestFit="1" customWidth="1"/>
    <col min="643" max="643" width="3.1640625" bestFit="1" customWidth="1"/>
    <col min="644" max="644" width="7.33203125" bestFit="1" customWidth="1"/>
    <col min="645" max="645" width="3.1640625" bestFit="1" customWidth="1"/>
    <col min="646" max="646" width="7.33203125" bestFit="1" customWidth="1"/>
    <col min="647" max="647" width="3.1640625" bestFit="1" customWidth="1"/>
    <col min="648" max="648" width="7.33203125" bestFit="1" customWidth="1"/>
    <col min="649" max="649" width="3.1640625" bestFit="1" customWidth="1"/>
    <col min="650" max="650" width="7.33203125" bestFit="1" customWidth="1"/>
    <col min="651" max="651" width="3.1640625" bestFit="1" customWidth="1"/>
    <col min="652" max="652" width="7.33203125" bestFit="1" customWidth="1"/>
    <col min="653" max="653" width="3.1640625" bestFit="1" customWidth="1"/>
    <col min="654" max="654" width="7.33203125" bestFit="1" customWidth="1"/>
    <col min="655" max="655" width="3.1640625" bestFit="1" customWidth="1"/>
    <col min="656" max="656" width="7.33203125" bestFit="1" customWidth="1"/>
    <col min="657" max="657" width="3.1640625" bestFit="1" customWidth="1"/>
    <col min="658" max="658" width="7.33203125" bestFit="1" customWidth="1"/>
    <col min="659" max="659" width="3.1640625" bestFit="1" customWidth="1"/>
    <col min="660" max="660" width="7.33203125" bestFit="1" customWidth="1"/>
    <col min="661" max="661" width="3.1640625" bestFit="1" customWidth="1"/>
    <col min="662" max="662" width="7.33203125" bestFit="1" customWidth="1"/>
    <col min="663" max="663" width="3.1640625" bestFit="1" customWidth="1"/>
    <col min="664" max="664" width="7.33203125" bestFit="1" customWidth="1"/>
    <col min="665" max="665" width="3.1640625" bestFit="1" customWidth="1"/>
    <col min="666" max="666" width="7.33203125" bestFit="1" customWidth="1"/>
    <col min="667" max="667" width="3.1640625" bestFit="1" customWidth="1"/>
    <col min="668" max="668" width="7.33203125" bestFit="1" customWidth="1"/>
    <col min="669" max="669" width="3.1640625" bestFit="1" customWidth="1"/>
    <col min="670" max="670" width="7.33203125" bestFit="1" customWidth="1"/>
    <col min="671" max="671" width="3.1640625" bestFit="1" customWidth="1"/>
    <col min="672" max="672" width="7.33203125" bestFit="1" customWidth="1"/>
    <col min="673" max="673" width="3.1640625" bestFit="1" customWidth="1"/>
    <col min="674" max="674" width="7.33203125" bestFit="1" customWidth="1"/>
    <col min="675" max="675" width="3.1640625" bestFit="1" customWidth="1"/>
    <col min="676" max="676" width="7.33203125" bestFit="1" customWidth="1"/>
    <col min="677" max="677" width="3.1640625" bestFit="1" customWidth="1"/>
    <col min="678" max="678" width="7.33203125" bestFit="1" customWidth="1"/>
    <col min="679" max="679" width="3.1640625" bestFit="1" customWidth="1"/>
    <col min="680" max="680" width="7.33203125" bestFit="1" customWidth="1"/>
    <col min="681" max="681" width="3.1640625" bestFit="1" customWidth="1"/>
    <col min="682" max="682" width="7.33203125" bestFit="1" customWidth="1"/>
    <col min="683" max="683" width="3.1640625" bestFit="1" customWidth="1"/>
    <col min="684" max="684" width="7.33203125" bestFit="1" customWidth="1"/>
    <col min="685" max="685" width="3.1640625" bestFit="1" customWidth="1"/>
    <col min="686" max="686" width="7.33203125" bestFit="1" customWidth="1"/>
    <col min="687" max="687" width="4.1640625" bestFit="1" customWidth="1"/>
    <col min="688" max="688" width="7.33203125" bestFit="1" customWidth="1"/>
    <col min="689" max="689" width="3.1640625" bestFit="1" customWidth="1"/>
    <col min="690" max="690" width="7.33203125" bestFit="1" customWidth="1"/>
    <col min="691" max="691" width="3.1640625" bestFit="1" customWidth="1"/>
    <col min="692" max="692" width="7.33203125" bestFit="1" customWidth="1"/>
    <col min="693" max="693" width="3.1640625" bestFit="1" customWidth="1"/>
    <col min="694" max="694" width="7.33203125" bestFit="1" customWidth="1"/>
    <col min="695" max="695" width="3.1640625" bestFit="1" customWidth="1"/>
    <col min="696" max="696" width="7.33203125" bestFit="1" customWidth="1"/>
    <col min="697" max="697" width="3.1640625" bestFit="1" customWidth="1"/>
    <col min="698" max="698" width="7.33203125" bestFit="1" customWidth="1"/>
    <col min="699" max="699" width="3.1640625" bestFit="1" customWidth="1"/>
    <col min="700" max="700" width="7.33203125" bestFit="1" customWidth="1"/>
    <col min="701" max="701" width="3.1640625" bestFit="1" customWidth="1"/>
    <col min="702" max="702" width="7.33203125" bestFit="1" customWidth="1"/>
    <col min="703" max="703" width="3.1640625" bestFit="1" customWidth="1"/>
    <col min="704" max="704" width="7.33203125" bestFit="1" customWidth="1"/>
    <col min="705" max="705" width="3.1640625" bestFit="1" customWidth="1"/>
    <col min="706" max="706" width="7.33203125" bestFit="1" customWidth="1"/>
    <col min="707" max="707" width="3.1640625" bestFit="1" customWidth="1"/>
    <col min="708" max="708" width="7.33203125" bestFit="1" customWidth="1"/>
    <col min="709" max="709" width="3.1640625" bestFit="1" customWidth="1"/>
    <col min="710" max="710" width="7.33203125" bestFit="1" customWidth="1"/>
    <col min="711" max="711" width="3.1640625" bestFit="1" customWidth="1"/>
    <col min="712" max="712" width="7.33203125" bestFit="1" customWidth="1"/>
    <col min="713" max="713" width="3.1640625" bestFit="1" customWidth="1"/>
    <col min="714" max="714" width="7.33203125" bestFit="1" customWidth="1"/>
    <col min="715" max="715" width="3.1640625" bestFit="1" customWidth="1"/>
    <col min="716" max="716" width="7.33203125" bestFit="1" customWidth="1"/>
    <col min="717" max="717" width="3.1640625" bestFit="1" customWidth="1"/>
    <col min="718" max="718" width="7.33203125" bestFit="1" customWidth="1"/>
    <col min="719" max="719" width="3.1640625" bestFit="1" customWidth="1"/>
    <col min="720" max="720" width="7.33203125" bestFit="1" customWidth="1"/>
    <col min="721" max="721" width="3.1640625" bestFit="1" customWidth="1"/>
    <col min="722" max="722" width="7.33203125" bestFit="1" customWidth="1"/>
    <col min="723" max="723" width="3.1640625" bestFit="1" customWidth="1"/>
    <col min="724" max="724" width="7.33203125" bestFit="1" customWidth="1"/>
    <col min="725" max="725" width="3.1640625" bestFit="1" customWidth="1"/>
    <col min="726" max="726" width="7.33203125" bestFit="1" customWidth="1"/>
    <col min="727" max="727" width="4.1640625" bestFit="1" customWidth="1"/>
    <col min="728" max="728" width="7.33203125" bestFit="1" customWidth="1"/>
    <col min="729" max="729" width="3.1640625" bestFit="1" customWidth="1"/>
    <col min="730" max="730" width="7.33203125" bestFit="1" customWidth="1"/>
    <col min="731" max="731" width="4.1640625" bestFit="1" customWidth="1"/>
    <col min="732" max="732" width="8.33203125" bestFit="1" customWidth="1"/>
    <col min="733" max="733" width="4.1640625" bestFit="1" customWidth="1"/>
    <col min="734" max="734" width="8.33203125" bestFit="1" customWidth="1"/>
    <col min="735" max="735" width="4.1640625" bestFit="1" customWidth="1"/>
    <col min="736" max="736" width="8.33203125" bestFit="1" customWidth="1"/>
    <col min="737" max="737" width="4.1640625" bestFit="1" customWidth="1"/>
    <col min="738" max="738" width="8.33203125" bestFit="1" customWidth="1"/>
    <col min="739" max="739" width="4.1640625" bestFit="1" customWidth="1"/>
    <col min="740" max="740" width="8.33203125" bestFit="1" customWidth="1"/>
    <col min="741" max="741" width="4.1640625" bestFit="1" customWidth="1"/>
    <col min="742" max="742" width="8.33203125" bestFit="1" customWidth="1"/>
    <col min="743" max="743" width="10" bestFit="1" customWidth="1"/>
    <col min="744" max="744" width="12.1640625" bestFit="1" customWidth="1"/>
    <col min="745" max="745" width="9.33203125" bestFit="1" customWidth="1"/>
    <col min="746" max="746" width="5.1640625" bestFit="1" customWidth="1"/>
    <col min="747" max="747" width="7.33203125" bestFit="1" customWidth="1"/>
    <col min="748" max="748" width="9.33203125" bestFit="1" customWidth="1"/>
    <col min="749" max="749" width="5.1640625" bestFit="1" customWidth="1"/>
    <col min="750" max="750" width="7.33203125" bestFit="1" customWidth="1"/>
    <col min="751" max="751" width="9.33203125" bestFit="1" customWidth="1"/>
    <col min="752" max="752" width="5.1640625" bestFit="1" customWidth="1"/>
    <col min="753" max="753" width="7.33203125" bestFit="1" customWidth="1"/>
    <col min="754" max="754" width="9.33203125" bestFit="1" customWidth="1"/>
    <col min="755" max="755" width="5.1640625" bestFit="1" customWidth="1"/>
    <col min="756" max="756" width="7.33203125" bestFit="1" customWidth="1"/>
    <col min="757" max="757" width="9.33203125" bestFit="1" customWidth="1"/>
    <col min="758" max="758" width="5.1640625" bestFit="1" customWidth="1"/>
    <col min="759" max="759" width="7.33203125" bestFit="1" customWidth="1"/>
    <col min="760" max="760" width="9.33203125" bestFit="1" customWidth="1"/>
    <col min="761" max="761" width="5.1640625" bestFit="1" customWidth="1"/>
    <col min="762" max="762" width="7.33203125" bestFit="1" customWidth="1"/>
    <col min="763" max="763" width="9.33203125" bestFit="1" customWidth="1"/>
    <col min="764" max="764" width="5.1640625" bestFit="1" customWidth="1"/>
    <col min="765" max="765" width="7.33203125" bestFit="1" customWidth="1"/>
    <col min="766" max="766" width="9.33203125" bestFit="1" customWidth="1"/>
    <col min="767" max="767" width="5.1640625" bestFit="1" customWidth="1"/>
    <col min="768" max="768" width="7.33203125" bestFit="1" customWidth="1"/>
    <col min="769" max="769" width="9.33203125" bestFit="1" customWidth="1"/>
    <col min="770" max="770" width="5.1640625" bestFit="1" customWidth="1"/>
    <col min="771" max="771" width="7.33203125" bestFit="1" customWidth="1"/>
    <col min="772" max="772" width="9.33203125" bestFit="1" customWidth="1"/>
    <col min="773" max="773" width="5.1640625" bestFit="1" customWidth="1"/>
    <col min="774" max="774" width="7.33203125" bestFit="1" customWidth="1"/>
    <col min="775" max="775" width="9.33203125" bestFit="1" customWidth="1"/>
    <col min="776" max="776" width="5.1640625" bestFit="1" customWidth="1"/>
    <col min="777" max="777" width="7.33203125" bestFit="1" customWidth="1"/>
    <col min="778" max="778" width="9.33203125" bestFit="1" customWidth="1"/>
    <col min="779" max="779" width="5.1640625" bestFit="1" customWidth="1"/>
    <col min="780" max="780" width="7.33203125" bestFit="1" customWidth="1"/>
    <col min="781" max="781" width="9.33203125" bestFit="1" customWidth="1"/>
    <col min="782" max="782" width="5.1640625" bestFit="1" customWidth="1"/>
    <col min="783" max="783" width="7.33203125" bestFit="1" customWidth="1"/>
    <col min="784" max="784" width="9.33203125" bestFit="1" customWidth="1"/>
    <col min="785" max="785" width="5.1640625" bestFit="1" customWidth="1"/>
    <col min="786" max="786" width="7.33203125" bestFit="1" customWidth="1"/>
    <col min="787" max="787" width="9.33203125" bestFit="1" customWidth="1"/>
    <col min="788" max="788" width="5.1640625" bestFit="1" customWidth="1"/>
    <col min="789" max="789" width="7.33203125" bestFit="1" customWidth="1"/>
    <col min="790" max="790" width="9.33203125" bestFit="1" customWidth="1"/>
    <col min="791" max="791" width="5.1640625" bestFit="1" customWidth="1"/>
    <col min="792" max="792" width="7.33203125" bestFit="1" customWidth="1"/>
    <col min="793" max="793" width="9.33203125" bestFit="1" customWidth="1"/>
    <col min="794" max="794" width="5.1640625" bestFit="1" customWidth="1"/>
    <col min="795" max="795" width="7.33203125" bestFit="1" customWidth="1"/>
    <col min="796" max="796" width="9.33203125" bestFit="1" customWidth="1"/>
    <col min="797" max="797" width="5.1640625" bestFit="1" customWidth="1"/>
    <col min="798" max="798" width="7.33203125" bestFit="1" customWidth="1"/>
    <col min="799" max="799" width="9.33203125" bestFit="1" customWidth="1"/>
    <col min="800" max="800" width="5.1640625" bestFit="1" customWidth="1"/>
    <col min="801" max="801" width="7.33203125" bestFit="1" customWidth="1"/>
    <col min="802" max="802" width="9.33203125" bestFit="1" customWidth="1"/>
    <col min="803" max="803" width="5.1640625" bestFit="1" customWidth="1"/>
    <col min="804" max="804" width="7.33203125" bestFit="1" customWidth="1"/>
    <col min="805" max="805" width="9.33203125" bestFit="1" customWidth="1"/>
    <col min="806" max="806" width="5.1640625" bestFit="1" customWidth="1"/>
    <col min="807" max="807" width="7.33203125" bestFit="1" customWidth="1"/>
    <col min="808" max="808" width="9.33203125" bestFit="1" customWidth="1"/>
    <col min="809" max="809" width="5.1640625" bestFit="1" customWidth="1"/>
    <col min="810" max="810" width="7.33203125" bestFit="1" customWidth="1"/>
    <col min="811" max="811" width="9.33203125" bestFit="1" customWidth="1"/>
    <col min="812" max="812" width="5.1640625" bestFit="1" customWidth="1"/>
    <col min="813" max="813" width="7.33203125" bestFit="1" customWidth="1"/>
    <col min="814" max="814" width="9.33203125" bestFit="1" customWidth="1"/>
    <col min="815" max="815" width="5.1640625" bestFit="1" customWidth="1"/>
    <col min="816" max="816" width="7.33203125" bestFit="1" customWidth="1"/>
    <col min="817" max="817" width="9.33203125" bestFit="1" customWidth="1"/>
    <col min="818" max="818" width="5.1640625" bestFit="1" customWidth="1"/>
    <col min="819" max="819" width="7.33203125" bestFit="1" customWidth="1"/>
    <col min="820" max="820" width="9.33203125" bestFit="1" customWidth="1"/>
    <col min="821" max="821" width="5.1640625" bestFit="1" customWidth="1"/>
    <col min="822" max="822" width="7.33203125" bestFit="1" customWidth="1"/>
    <col min="823" max="823" width="9.33203125" bestFit="1" customWidth="1"/>
    <col min="824" max="824" width="5.1640625" bestFit="1" customWidth="1"/>
    <col min="825" max="825" width="7.33203125" bestFit="1" customWidth="1"/>
    <col min="826" max="826" width="9.33203125" bestFit="1" customWidth="1"/>
    <col min="827" max="827" width="5.1640625" bestFit="1" customWidth="1"/>
    <col min="828" max="828" width="7.33203125" bestFit="1" customWidth="1"/>
    <col min="829" max="829" width="9.33203125" bestFit="1" customWidth="1"/>
    <col min="830" max="830" width="5.1640625" bestFit="1" customWidth="1"/>
    <col min="831" max="831" width="7.33203125" bestFit="1" customWidth="1"/>
    <col min="832" max="832" width="9.33203125" bestFit="1" customWidth="1"/>
    <col min="833" max="833" width="5.1640625" bestFit="1" customWidth="1"/>
    <col min="834" max="834" width="7.33203125" bestFit="1" customWidth="1"/>
    <col min="835" max="835" width="9.33203125" bestFit="1" customWidth="1"/>
    <col min="836" max="836" width="5.1640625" bestFit="1" customWidth="1"/>
    <col min="837" max="837" width="7.33203125" bestFit="1" customWidth="1"/>
    <col min="838" max="838" width="9.33203125" bestFit="1" customWidth="1"/>
    <col min="839" max="839" width="5.1640625" bestFit="1" customWidth="1"/>
    <col min="840" max="840" width="7.33203125" bestFit="1" customWidth="1"/>
    <col min="841" max="841" width="9.33203125" bestFit="1" customWidth="1"/>
    <col min="842" max="842" width="5.1640625" bestFit="1" customWidth="1"/>
    <col min="843" max="843" width="7.33203125" bestFit="1" customWidth="1"/>
    <col min="844" max="844" width="9.33203125" bestFit="1" customWidth="1"/>
    <col min="845" max="845" width="5.1640625" bestFit="1" customWidth="1"/>
    <col min="846" max="846" width="7.33203125" bestFit="1" customWidth="1"/>
    <col min="847" max="847" width="9.33203125" bestFit="1" customWidth="1"/>
    <col min="848" max="848" width="5.1640625" bestFit="1" customWidth="1"/>
    <col min="849" max="849" width="7.33203125" bestFit="1" customWidth="1"/>
    <col min="850" max="850" width="9.33203125" bestFit="1" customWidth="1"/>
    <col min="851" max="851" width="5.1640625" bestFit="1" customWidth="1"/>
    <col min="852" max="852" width="7.33203125" bestFit="1" customWidth="1"/>
    <col min="853" max="853" width="9.33203125" bestFit="1" customWidth="1"/>
    <col min="854" max="854" width="5.1640625" bestFit="1" customWidth="1"/>
    <col min="855" max="855" width="7.33203125" bestFit="1" customWidth="1"/>
    <col min="856" max="856" width="9.33203125" bestFit="1" customWidth="1"/>
    <col min="857" max="857" width="5.1640625" bestFit="1" customWidth="1"/>
    <col min="858" max="858" width="7.33203125" bestFit="1" customWidth="1"/>
    <col min="859" max="859" width="9.33203125" bestFit="1" customWidth="1"/>
    <col min="860" max="860" width="5.1640625" bestFit="1" customWidth="1"/>
    <col min="861" max="861" width="7.33203125" bestFit="1" customWidth="1"/>
    <col min="862" max="862" width="9.33203125" bestFit="1" customWidth="1"/>
    <col min="863" max="863" width="5.1640625" bestFit="1" customWidth="1"/>
    <col min="864" max="864" width="7.33203125" bestFit="1" customWidth="1"/>
    <col min="865" max="865" width="9.33203125" bestFit="1" customWidth="1"/>
    <col min="866" max="866" width="5.1640625" bestFit="1" customWidth="1"/>
    <col min="867" max="867" width="7.33203125" bestFit="1" customWidth="1"/>
    <col min="868" max="868" width="9.33203125" bestFit="1" customWidth="1"/>
    <col min="869" max="869" width="5.1640625" bestFit="1" customWidth="1"/>
    <col min="870" max="870" width="7.33203125" bestFit="1" customWidth="1"/>
    <col min="871" max="871" width="9.33203125" bestFit="1" customWidth="1"/>
    <col min="872" max="872" width="5.1640625" bestFit="1" customWidth="1"/>
    <col min="873" max="873" width="7.33203125" bestFit="1" customWidth="1"/>
    <col min="874" max="874" width="9.33203125" bestFit="1" customWidth="1"/>
    <col min="875" max="875" width="5.1640625" bestFit="1" customWidth="1"/>
    <col min="876" max="876" width="7.33203125" bestFit="1" customWidth="1"/>
    <col min="877" max="877" width="9.33203125" bestFit="1" customWidth="1"/>
    <col min="878" max="878" width="5.1640625" bestFit="1" customWidth="1"/>
    <col min="879" max="879" width="7.33203125" bestFit="1" customWidth="1"/>
    <col min="880" max="880" width="9.33203125" bestFit="1" customWidth="1"/>
    <col min="881" max="881" width="5.1640625" bestFit="1" customWidth="1"/>
    <col min="882" max="882" width="7.33203125" bestFit="1" customWidth="1"/>
    <col min="883" max="883" width="9.33203125" bestFit="1" customWidth="1"/>
    <col min="884" max="884" width="5.1640625" bestFit="1" customWidth="1"/>
    <col min="885" max="885" width="7.33203125" bestFit="1" customWidth="1"/>
    <col min="886" max="886" width="9.33203125" bestFit="1" customWidth="1"/>
    <col min="887" max="887" width="5.1640625" bestFit="1" customWidth="1"/>
    <col min="888" max="888" width="7.33203125" bestFit="1" customWidth="1"/>
    <col min="889" max="889" width="9.33203125" bestFit="1" customWidth="1"/>
    <col min="890" max="890" width="5.1640625" bestFit="1" customWidth="1"/>
    <col min="891" max="891" width="7.33203125" bestFit="1" customWidth="1"/>
    <col min="892" max="892" width="9.33203125" bestFit="1" customWidth="1"/>
    <col min="893" max="893" width="5.1640625" bestFit="1" customWidth="1"/>
    <col min="894" max="894" width="7.33203125" bestFit="1" customWidth="1"/>
    <col min="895" max="895" width="9.33203125" bestFit="1" customWidth="1"/>
    <col min="896" max="896" width="5.1640625" bestFit="1" customWidth="1"/>
    <col min="897" max="897" width="7.33203125" bestFit="1" customWidth="1"/>
    <col min="898" max="898" width="9.33203125" bestFit="1" customWidth="1"/>
    <col min="899" max="899" width="5.1640625" bestFit="1" customWidth="1"/>
    <col min="900" max="900" width="7.33203125" bestFit="1" customWidth="1"/>
    <col min="901" max="901" width="9.33203125" bestFit="1" customWidth="1"/>
    <col min="902" max="902" width="5.1640625" bestFit="1" customWidth="1"/>
    <col min="903" max="903" width="7.33203125" bestFit="1" customWidth="1"/>
    <col min="904" max="904" width="9.33203125" bestFit="1" customWidth="1"/>
    <col min="905" max="905" width="5.1640625" bestFit="1" customWidth="1"/>
    <col min="906" max="906" width="7.33203125" bestFit="1" customWidth="1"/>
    <col min="907" max="907" width="9.33203125" bestFit="1" customWidth="1"/>
    <col min="908" max="908" width="5.1640625" bestFit="1" customWidth="1"/>
    <col min="909" max="909" width="7.33203125" bestFit="1" customWidth="1"/>
    <col min="910" max="910" width="9.33203125" bestFit="1" customWidth="1"/>
    <col min="911" max="911" width="5.1640625" bestFit="1" customWidth="1"/>
    <col min="912" max="912" width="7.33203125" bestFit="1" customWidth="1"/>
    <col min="913" max="913" width="9.33203125" bestFit="1" customWidth="1"/>
    <col min="914" max="914" width="5.1640625" bestFit="1" customWidth="1"/>
    <col min="915" max="915" width="7.33203125" bestFit="1" customWidth="1"/>
    <col min="916" max="916" width="9.33203125" bestFit="1" customWidth="1"/>
    <col min="917" max="917" width="5.1640625" bestFit="1" customWidth="1"/>
    <col min="918" max="918" width="7.33203125" bestFit="1" customWidth="1"/>
    <col min="919" max="919" width="9.33203125" bestFit="1" customWidth="1"/>
    <col min="920" max="920" width="5.1640625" bestFit="1" customWidth="1"/>
    <col min="921" max="921" width="7.33203125" bestFit="1" customWidth="1"/>
    <col min="922" max="922" width="9.33203125" bestFit="1" customWidth="1"/>
    <col min="923" max="923" width="5.1640625" bestFit="1" customWidth="1"/>
    <col min="924" max="924" width="7.33203125" bestFit="1" customWidth="1"/>
    <col min="925" max="925" width="9.33203125" bestFit="1" customWidth="1"/>
    <col min="926" max="926" width="5.1640625" bestFit="1" customWidth="1"/>
    <col min="927" max="927" width="7.33203125" bestFit="1" customWidth="1"/>
    <col min="928" max="928" width="9.33203125" bestFit="1" customWidth="1"/>
    <col min="929" max="929" width="5.1640625" bestFit="1" customWidth="1"/>
    <col min="930" max="930" width="8.33203125" bestFit="1" customWidth="1"/>
    <col min="931" max="931" width="9.33203125" bestFit="1" customWidth="1"/>
    <col min="932" max="932" width="5.1640625" bestFit="1" customWidth="1"/>
    <col min="933" max="933" width="7.33203125" bestFit="1" customWidth="1"/>
    <col min="934" max="934" width="9.33203125" bestFit="1" customWidth="1"/>
    <col min="935" max="935" width="5.1640625" bestFit="1" customWidth="1"/>
    <col min="936" max="936" width="7.33203125" bestFit="1" customWidth="1"/>
    <col min="937" max="937" width="9.33203125" bestFit="1" customWidth="1"/>
    <col min="938" max="938" width="5.1640625" bestFit="1" customWidth="1"/>
    <col min="939" max="939" width="7.33203125" bestFit="1" customWidth="1"/>
    <col min="940" max="940" width="9.33203125" bestFit="1" customWidth="1"/>
    <col min="941" max="941" width="5.1640625" bestFit="1" customWidth="1"/>
    <col min="942" max="942" width="7.33203125" bestFit="1" customWidth="1"/>
    <col min="943" max="943" width="9.33203125" bestFit="1" customWidth="1"/>
    <col min="944" max="944" width="5.1640625" bestFit="1" customWidth="1"/>
    <col min="945" max="945" width="7.33203125" bestFit="1" customWidth="1"/>
    <col min="946" max="946" width="9.33203125" bestFit="1" customWidth="1"/>
    <col min="947" max="947" width="5.1640625" bestFit="1" customWidth="1"/>
    <col min="948" max="948" width="7.33203125" bestFit="1" customWidth="1"/>
    <col min="949" max="949" width="9.33203125" bestFit="1" customWidth="1"/>
    <col min="950" max="950" width="5.1640625" bestFit="1" customWidth="1"/>
    <col min="951" max="951" width="7.33203125" bestFit="1" customWidth="1"/>
    <col min="952" max="952" width="9.33203125" bestFit="1" customWidth="1"/>
    <col min="953" max="953" width="5.1640625" bestFit="1" customWidth="1"/>
    <col min="954" max="954" width="7.33203125" bestFit="1" customWidth="1"/>
    <col min="955" max="955" width="9.33203125" bestFit="1" customWidth="1"/>
    <col min="956" max="956" width="5.1640625" bestFit="1" customWidth="1"/>
    <col min="957" max="957" width="7.33203125" bestFit="1" customWidth="1"/>
    <col min="958" max="958" width="9.33203125" bestFit="1" customWidth="1"/>
    <col min="959" max="959" width="5.1640625" bestFit="1" customWidth="1"/>
    <col min="960" max="960" width="7.33203125" bestFit="1" customWidth="1"/>
    <col min="961" max="961" width="9.33203125" bestFit="1" customWidth="1"/>
    <col min="962" max="962" width="5.1640625" bestFit="1" customWidth="1"/>
    <col min="963" max="963" width="7.33203125" bestFit="1" customWidth="1"/>
    <col min="964" max="964" width="9.33203125" bestFit="1" customWidth="1"/>
    <col min="965" max="965" width="5.1640625" bestFit="1" customWidth="1"/>
    <col min="966" max="966" width="7.33203125" bestFit="1" customWidth="1"/>
    <col min="967" max="967" width="9.33203125" bestFit="1" customWidth="1"/>
    <col min="968" max="968" width="5.1640625" bestFit="1" customWidth="1"/>
    <col min="969" max="969" width="7.33203125" bestFit="1" customWidth="1"/>
    <col min="970" max="970" width="9.33203125" bestFit="1" customWidth="1"/>
    <col min="971" max="971" width="5.1640625" bestFit="1" customWidth="1"/>
    <col min="972" max="972" width="7.33203125" bestFit="1" customWidth="1"/>
    <col min="973" max="973" width="9.33203125" bestFit="1" customWidth="1"/>
    <col min="974" max="974" width="5.1640625" bestFit="1" customWidth="1"/>
    <col min="975" max="975" width="7.33203125" bestFit="1" customWidth="1"/>
    <col min="976" max="976" width="9.33203125" bestFit="1" customWidth="1"/>
    <col min="977" max="977" width="5.1640625" bestFit="1" customWidth="1"/>
    <col min="978" max="978" width="7.33203125" bestFit="1" customWidth="1"/>
    <col min="979" max="979" width="9.33203125" bestFit="1" customWidth="1"/>
    <col min="980" max="980" width="5.1640625" bestFit="1" customWidth="1"/>
    <col min="981" max="981" width="7.33203125" bestFit="1" customWidth="1"/>
    <col min="982" max="982" width="9.33203125" bestFit="1" customWidth="1"/>
    <col min="983" max="983" width="5.1640625" bestFit="1" customWidth="1"/>
    <col min="984" max="984" width="7.33203125" bestFit="1" customWidth="1"/>
    <col min="985" max="985" width="9.33203125" bestFit="1" customWidth="1"/>
    <col min="986" max="986" width="5.1640625" bestFit="1" customWidth="1"/>
    <col min="987" max="987" width="7.33203125" bestFit="1" customWidth="1"/>
    <col min="988" max="988" width="9.33203125" bestFit="1" customWidth="1"/>
    <col min="989" max="989" width="5.1640625" bestFit="1" customWidth="1"/>
    <col min="990" max="990" width="7.33203125" bestFit="1" customWidth="1"/>
    <col min="991" max="991" width="9.33203125" bestFit="1" customWidth="1"/>
    <col min="992" max="992" width="5.1640625" bestFit="1" customWidth="1"/>
    <col min="993" max="993" width="7.33203125" bestFit="1" customWidth="1"/>
    <col min="994" max="994" width="9.33203125" bestFit="1" customWidth="1"/>
    <col min="995" max="995" width="5.1640625" bestFit="1" customWidth="1"/>
    <col min="996" max="996" width="7.33203125" bestFit="1" customWidth="1"/>
    <col min="997" max="997" width="9.33203125" bestFit="1" customWidth="1"/>
    <col min="998" max="998" width="5.1640625" bestFit="1" customWidth="1"/>
    <col min="999" max="999" width="7.33203125" bestFit="1" customWidth="1"/>
    <col min="1000" max="1000" width="9.33203125" bestFit="1" customWidth="1"/>
    <col min="1001" max="1001" width="5.1640625" bestFit="1" customWidth="1"/>
    <col min="1002" max="1002" width="7.33203125" bestFit="1" customWidth="1"/>
    <col min="1003" max="1003" width="9.33203125" bestFit="1" customWidth="1"/>
    <col min="1004" max="1004" width="5.1640625" bestFit="1" customWidth="1"/>
    <col min="1005" max="1005" width="7.33203125" bestFit="1" customWidth="1"/>
    <col min="1006" max="1006" width="9.33203125" bestFit="1" customWidth="1"/>
    <col min="1007" max="1007" width="5.1640625" bestFit="1" customWidth="1"/>
    <col min="1008" max="1008" width="7.33203125" bestFit="1" customWidth="1"/>
    <col min="1009" max="1009" width="9.33203125" bestFit="1" customWidth="1"/>
    <col min="1010" max="1010" width="5.1640625" bestFit="1" customWidth="1"/>
    <col min="1011" max="1011" width="7.33203125" bestFit="1" customWidth="1"/>
    <col min="1012" max="1012" width="9.33203125" bestFit="1" customWidth="1"/>
    <col min="1013" max="1013" width="5.1640625" bestFit="1" customWidth="1"/>
    <col min="1014" max="1014" width="7.33203125" bestFit="1" customWidth="1"/>
    <col min="1015" max="1015" width="9.33203125" bestFit="1" customWidth="1"/>
    <col min="1016" max="1016" width="5.1640625" bestFit="1" customWidth="1"/>
    <col min="1017" max="1017" width="7.33203125" bestFit="1" customWidth="1"/>
    <col min="1018" max="1018" width="9.33203125" bestFit="1" customWidth="1"/>
    <col min="1019" max="1019" width="5.1640625" bestFit="1" customWidth="1"/>
    <col min="1020" max="1020" width="7.33203125" bestFit="1" customWidth="1"/>
    <col min="1021" max="1021" width="9.33203125" bestFit="1" customWidth="1"/>
    <col min="1022" max="1022" width="5.1640625" bestFit="1" customWidth="1"/>
    <col min="1023" max="1023" width="7.33203125" bestFit="1" customWidth="1"/>
    <col min="1024" max="1024" width="9.33203125" bestFit="1" customWidth="1"/>
    <col min="1025" max="1025" width="5.1640625" bestFit="1" customWidth="1"/>
    <col min="1026" max="1026" width="7.33203125" bestFit="1" customWidth="1"/>
    <col min="1027" max="1027" width="9.33203125" bestFit="1" customWidth="1"/>
    <col min="1028" max="1028" width="5.1640625" bestFit="1" customWidth="1"/>
    <col min="1029" max="1029" width="7.33203125" bestFit="1" customWidth="1"/>
    <col min="1030" max="1030" width="9.33203125" bestFit="1" customWidth="1"/>
    <col min="1031" max="1031" width="5.1640625" bestFit="1" customWidth="1"/>
    <col min="1032" max="1032" width="7.33203125" bestFit="1" customWidth="1"/>
    <col min="1033" max="1033" width="9.33203125" bestFit="1" customWidth="1"/>
    <col min="1034" max="1034" width="5.1640625" bestFit="1" customWidth="1"/>
    <col min="1035" max="1035" width="7.33203125" bestFit="1" customWidth="1"/>
    <col min="1036" max="1036" width="9.33203125" bestFit="1" customWidth="1"/>
    <col min="1037" max="1037" width="5.1640625" bestFit="1" customWidth="1"/>
    <col min="1038" max="1038" width="7.33203125" bestFit="1" customWidth="1"/>
    <col min="1039" max="1039" width="9.33203125" bestFit="1" customWidth="1"/>
    <col min="1040" max="1040" width="5.1640625" bestFit="1" customWidth="1"/>
    <col min="1041" max="1041" width="7.33203125" bestFit="1" customWidth="1"/>
    <col min="1042" max="1042" width="9.33203125" bestFit="1" customWidth="1"/>
    <col min="1043" max="1043" width="5.1640625" bestFit="1" customWidth="1"/>
    <col min="1044" max="1044" width="7.33203125" bestFit="1" customWidth="1"/>
    <col min="1045" max="1045" width="9.33203125" bestFit="1" customWidth="1"/>
    <col min="1046" max="1046" width="5.1640625" bestFit="1" customWidth="1"/>
    <col min="1047" max="1047" width="7.33203125" bestFit="1" customWidth="1"/>
    <col min="1048" max="1048" width="9.33203125" bestFit="1" customWidth="1"/>
    <col min="1049" max="1049" width="5.1640625" bestFit="1" customWidth="1"/>
    <col min="1050" max="1050" width="8.33203125" bestFit="1" customWidth="1"/>
    <col min="1051" max="1051" width="9.33203125" bestFit="1" customWidth="1"/>
    <col min="1052" max="1052" width="5.1640625" bestFit="1" customWidth="1"/>
    <col min="1053" max="1053" width="7.33203125" bestFit="1" customWidth="1"/>
    <col min="1054" max="1054" width="9.33203125" bestFit="1" customWidth="1"/>
    <col min="1055" max="1055" width="5.1640625" bestFit="1" customWidth="1"/>
    <col min="1056" max="1056" width="7.33203125" bestFit="1" customWidth="1"/>
    <col min="1057" max="1057" width="9.33203125" bestFit="1" customWidth="1"/>
    <col min="1058" max="1058" width="5.1640625" bestFit="1" customWidth="1"/>
    <col min="1059" max="1059" width="7.33203125" bestFit="1" customWidth="1"/>
    <col min="1060" max="1060" width="9.33203125" bestFit="1" customWidth="1"/>
    <col min="1061" max="1061" width="5.1640625" bestFit="1" customWidth="1"/>
    <col min="1062" max="1062" width="7.33203125" bestFit="1" customWidth="1"/>
    <col min="1063" max="1063" width="9.33203125" bestFit="1" customWidth="1"/>
    <col min="1064" max="1064" width="5.1640625" bestFit="1" customWidth="1"/>
    <col min="1065" max="1065" width="7.33203125" bestFit="1" customWidth="1"/>
    <col min="1066" max="1066" width="9.33203125" bestFit="1" customWidth="1"/>
    <col min="1067" max="1067" width="5.1640625" bestFit="1" customWidth="1"/>
    <col min="1068" max="1068" width="7.33203125" bestFit="1" customWidth="1"/>
    <col min="1069" max="1069" width="9.33203125" bestFit="1" customWidth="1"/>
    <col min="1070" max="1070" width="5.1640625" bestFit="1" customWidth="1"/>
    <col min="1071" max="1071" width="7.33203125" bestFit="1" customWidth="1"/>
    <col min="1072" max="1072" width="9.33203125" bestFit="1" customWidth="1"/>
    <col min="1073" max="1073" width="5.1640625" bestFit="1" customWidth="1"/>
    <col min="1074" max="1074" width="7.33203125" bestFit="1" customWidth="1"/>
    <col min="1075" max="1075" width="9.33203125" bestFit="1" customWidth="1"/>
    <col min="1076" max="1076" width="5.1640625" bestFit="1" customWidth="1"/>
    <col min="1077" max="1077" width="7.33203125" bestFit="1" customWidth="1"/>
    <col min="1078" max="1078" width="9.33203125" bestFit="1" customWidth="1"/>
    <col min="1079" max="1079" width="5.1640625" bestFit="1" customWidth="1"/>
    <col min="1080" max="1080" width="8.33203125" bestFit="1" customWidth="1"/>
    <col min="1081" max="1081" width="9.33203125" bestFit="1" customWidth="1"/>
    <col min="1082" max="1082" width="5.1640625" bestFit="1" customWidth="1"/>
    <col min="1083" max="1083" width="7.33203125" bestFit="1" customWidth="1"/>
    <col min="1084" max="1084" width="9.33203125" bestFit="1" customWidth="1"/>
    <col min="1085" max="1085" width="5.1640625" bestFit="1" customWidth="1"/>
    <col min="1086" max="1086" width="7.33203125" bestFit="1" customWidth="1"/>
    <col min="1087" max="1087" width="9.33203125" bestFit="1" customWidth="1"/>
    <col min="1088" max="1088" width="5.1640625" bestFit="1" customWidth="1"/>
    <col min="1089" max="1089" width="8.33203125" bestFit="1" customWidth="1"/>
    <col min="1090" max="1090" width="9.33203125" bestFit="1" customWidth="1"/>
    <col min="1091" max="1091" width="5.1640625" bestFit="1" customWidth="1"/>
    <col min="1092" max="1092" width="7.33203125" bestFit="1" customWidth="1"/>
    <col min="1093" max="1093" width="9.33203125" bestFit="1" customWidth="1"/>
    <col min="1094" max="1094" width="5.1640625" bestFit="1" customWidth="1"/>
    <col min="1095" max="1095" width="7.33203125" bestFit="1" customWidth="1"/>
    <col min="1096" max="1096" width="9.33203125" bestFit="1" customWidth="1"/>
    <col min="1097" max="1097" width="5.1640625" bestFit="1" customWidth="1"/>
    <col min="1098" max="1098" width="7.33203125" bestFit="1" customWidth="1"/>
    <col min="1099" max="1099" width="9.33203125" bestFit="1" customWidth="1"/>
    <col min="1100" max="1100" width="5.1640625" bestFit="1" customWidth="1"/>
    <col min="1101" max="1101" width="8.33203125" bestFit="1" customWidth="1"/>
    <col min="1102" max="1102" width="9.33203125" bestFit="1" customWidth="1"/>
    <col min="1103" max="1103" width="5.1640625" bestFit="1" customWidth="1"/>
    <col min="1104" max="1104" width="7.33203125" bestFit="1" customWidth="1"/>
    <col min="1105" max="1105" width="9.33203125" bestFit="1" customWidth="1"/>
    <col min="1106" max="1106" width="5.1640625" bestFit="1" customWidth="1"/>
    <col min="1107" max="1107" width="7.33203125" bestFit="1" customWidth="1"/>
    <col min="1108" max="1108" width="9.33203125" bestFit="1" customWidth="1"/>
    <col min="1109" max="1109" width="10" bestFit="1" customWidth="1"/>
  </cols>
  <sheetData>
    <row r="2" spans="2:24" x14ac:dyDescent="0.2">
      <c r="B2" s="1"/>
      <c r="C2" s="28" t="s">
        <v>61</v>
      </c>
      <c r="D2" s="28" t="s">
        <v>42</v>
      </c>
      <c r="E2" s="28" t="s">
        <v>62</v>
      </c>
      <c r="F2" s="28" t="s">
        <v>54</v>
      </c>
    </row>
    <row r="3" spans="2:24" x14ac:dyDescent="0.2">
      <c r="B3" s="1">
        <v>1</v>
      </c>
      <c r="C3" s="26">
        <v>89176.170848241178</v>
      </c>
      <c r="D3" s="26">
        <v>62709.636579773352</v>
      </c>
      <c r="E3" s="26">
        <v>28789</v>
      </c>
      <c r="F3" s="26">
        <v>-2322.4657315321651</v>
      </c>
    </row>
    <row r="4" spans="2:24" x14ac:dyDescent="0.2">
      <c r="B4" s="1">
        <v>2</v>
      </c>
      <c r="C4" s="26">
        <v>111070.91075565212</v>
      </c>
      <c r="D4" s="26">
        <v>76825.003183046501</v>
      </c>
      <c r="E4" s="26">
        <v>28789</v>
      </c>
      <c r="F4" s="26">
        <v>5456.907572605618</v>
      </c>
    </row>
    <row r="5" spans="2:24" x14ac:dyDescent="0.2">
      <c r="B5" s="1">
        <v>3</v>
      </c>
      <c r="C5" s="26">
        <v>70717.064439034555</v>
      </c>
      <c r="D5" s="26">
        <v>39941.079065519843</v>
      </c>
      <c r="E5" s="26">
        <v>28789</v>
      </c>
      <c r="F5" s="26">
        <v>1986.9853735147312</v>
      </c>
    </row>
    <row r="6" spans="2:24" x14ac:dyDescent="0.2">
      <c r="B6" s="1">
        <v>4</v>
      </c>
      <c r="C6" s="26">
        <v>73201.284168318962</v>
      </c>
      <c r="D6" s="26">
        <v>40776.31122807238</v>
      </c>
      <c r="E6" s="26">
        <v>32789</v>
      </c>
      <c r="F6" s="26">
        <v>-364.02705975344179</v>
      </c>
      <c r="N6">
        <v>343.08564114425042</v>
      </c>
      <c r="O6">
        <v>990.79813121132884</v>
      </c>
      <c r="P6">
        <v>963.36134111021613</v>
      </c>
      <c r="Q6" t="e" cm="1">
        <f t="array" ref="Q6">(O6+V12P6)-N6</f>
        <v>#NAME?</v>
      </c>
    </row>
    <row r="7" spans="2:24" x14ac:dyDescent="0.2">
      <c r="N7">
        <v>516.58760326257129</v>
      </c>
      <c r="O7">
        <v>1715.0874133176005</v>
      </c>
      <c r="P7">
        <v>1655.7327569837576</v>
      </c>
      <c r="Q7">
        <f t="shared" ref="Q7:Q17" si="0">(O7+P7)-N7</f>
        <v>2854.2325670387872</v>
      </c>
    </row>
    <row r="8" spans="2:24" x14ac:dyDescent="0.2">
      <c r="H8" s="1"/>
      <c r="I8" s="28" t="s">
        <v>61</v>
      </c>
      <c r="J8" s="28" t="s">
        <v>42</v>
      </c>
      <c r="K8" s="28" t="s">
        <v>62</v>
      </c>
      <c r="L8" s="28" t="s">
        <v>54</v>
      </c>
      <c r="N8">
        <v>499.10944009768593</v>
      </c>
      <c r="O8">
        <v>1115.2904366411933</v>
      </c>
      <c r="P8">
        <v>1218.5042741969589</v>
      </c>
      <c r="Q8">
        <f t="shared" si="0"/>
        <v>1834.6852707404664</v>
      </c>
    </row>
    <row r="9" spans="2:24" x14ac:dyDescent="0.2">
      <c r="H9" s="29" t="s">
        <v>12</v>
      </c>
      <c r="I9" s="26">
        <v>11510.988851337126</v>
      </c>
      <c r="J9" s="26">
        <v>3270.7091594288599</v>
      </c>
      <c r="K9" s="26">
        <v>61846</v>
      </c>
      <c r="L9" s="26">
        <v>-53605.720308091753</v>
      </c>
      <c r="N9">
        <v>498.73459147044957</v>
      </c>
      <c r="O9">
        <v>1316.8318382704747</v>
      </c>
      <c r="P9">
        <v>1551.8399040375139</v>
      </c>
      <c r="Q9">
        <f t="shared" si="0"/>
        <v>2369.9371508375389</v>
      </c>
    </row>
    <row r="10" spans="2:24" x14ac:dyDescent="0.2">
      <c r="H10" s="29" t="s">
        <v>13</v>
      </c>
      <c r="I10" s="26">
        <v>48750.960195254884</v>
      </c>
      <c r="J10" s="26">
        <v>29615.4291203514</v>
      </c>
      <c r="K10" s="26">
        <v>7126</v>
      </c>
      <c r="L10" s="26">
        <v>12009.531074903471</v>
      </c>
      <c r="N10">
        <v>635.37519899960239</v>
      </c>
      <c r="O10">
        <v>1883.9122092070345</v>
      </c>
      <c r="P10">
        <v>1527.4419618259801</v>
      </c>
      <c r="Q10">
        <f t="shared" si="0"/>
        <v>2775.978972033412</v>
      </c>
    </row>
    <row r="11" spans="2:24" x14ac:dyDescent="0.2">
      <c r="H11" s="29" t="s">
        <v>14</v>
      </c>
      <c r="I11" s="26">
        <v>54117.248125343387</v>
      </c>
      <c r="J11" s="26">
        <v>37733.90527479149</v>
      </c>
      <c r="K11" s="26">
        <v>13526</v>
      </c>
      <c r="L11" s="26">
        <v>2857.3428505519082</v>
      </c>
      <c r="N11">
        <v>399.82875983631544</v>
      </c>
      <c r="O11">
        <v>927.34937056001115</v>
      </c>
      <c r="P11">
        <v>1207.5764215511906</v>
      </c>
      <c r="Q11">
        <f t="shared" si="0"/>
        <v>1735.0970322748863</v>
      </c>
      <c r="T11" s="38" t="s">
        <v>101</v>
      </c>
      <c r="U11" s="38" t="s">
        <v>95</v>
      </c>
      <c r="V11" t="s">
        <v>102</v>
      </c>
    </row>
    <row r="12" spans="2:24" x14ac:dyDescent="0.2">
      <c r="H12" s="29" t="s">
        <v>15</v>
      </c>
      <c r="I12" s="26">
        <v>58832.682063390377</v>
      </c>
      <c r="J12" s="26">
        <v>37416.429489073249</v>
      </c>
      <c r="K12" s="26">
        <v>6843</v>
      </c>
      <c r="L12" s="26">
        <v>14573.252574317135</v>
      </c>
      <c r="N12">
        <v>400.8945056568968</v>
      </c>
      <c r="O12">
        <v>972.20725222935698</v>
      </c>
      <c r="P12">
        <v>1060.2491794985392</v>
      </c>
      <c r="Q12">
        <f t="shared" si="0"/>
        <v>1631.5619260709993</v>
      </c>
      <c r="S12" s="39" t="s">
        <v>11</v>
      </c>
      <c r="T12" s="14">
        <f>O6+O6*0.2</f>
        <v>1188.9577574535947</v>
      </c>
      <c r="U12" s="14">
        <f>P6+P6*0.4</f>
        <v>1348.7058775543026</v>
      </c>
      <c r="V12" s="14">
        <f>((O6+P6)-N6)</f>
        <v>1611.0738311772943</v>
      </c>
      <c r="W12" s="14">
        <f>SUM(T12:V12)</f>
        <v>4148.7374661851918</v>
      </c>
      <c r="X12" s="40">
        <f>U12/W12</f>
        <v>0.32508826806880409</v>
      </c>
    </row>
    <row r="13" spans="2:24" x14ac:dyDescent="0.2">
      <c r="H13" s="29" t="s">
        <v>16</v>
      </c>
      <c r="I13" s="26">
        <v>56330.177678024098</v>
      </c>
      <c r="J13" s="26">
        <v>36817.540365756489</v>
      </c>
      <c r="K13" s="26">
        <v>9263</v>
      </c>
      <c r="L13" s="26">
        <v>10249.637312267594</v>
      </c>
      <c r="N13">
        <v>492.83598687534163</v>
      </c>
      <c r="O13">
        <v>992.76884137381035</v>
      </c>
      <c r="P13">
        <v>1081.0229459090751</v>
      </c>
      <c r="Q13">
        <f t="shared" si="0"/>
        <v>1580.9558004075441</v>
      </c>
      <c r="S13" s="39" t="s">
        <v>18</v>
      </c>
      <c r="T13" s="14">
        <f t="shared" ref="T13:T21" si="1">O7+O7*2</f>
        <v>5145.2622399528018</v>
      </c>
      <c r="U13" s="14">
        <f t="shared" ref="U13:U22" si="2">P7+P7*4</f>
        <v>8278.6637849187882</v>
      </c>
      <c r="V13" s="14">
        <f t="shared" ref="V13:V21" si="3">((O7+P7)-N7)</f>
        <v>2854.2325670387872</v>
      </c>
      <c r="W13" s="14">
        <f t="shared" ref="W13:W23" si="4">SUM(T13:V13)</f>
        <v>16278.158591910378</v>
      </c>
      <c r="X13" s="40">
        <f t="shared" ref="X13:X23" si="5">U13/W13</f>
        <v>0.50857495570985323</v>
      </c>
    </row>
    <row r="14" spans="2:24" x14ac:dyDescent="0.2">
      <c r="H14" s="29" t="s">
        <v>17</v>
      </c>
      <c r="I14" s="26">
        <v>60292.902012388215</v>
      </c>
      <c r="J14" s="26">
        <v>43704.179762803607</v>
      </c>
      <c r="K14" s="26">
        <v>8729</v>
      </c>
      <c r="L14" s="26">
        <v>7859.7222495846127</v>
      </c>
      <c r="N14">
        <v>424.28720371453562</v>
      </c>
      <c r="O14">
        <v>965.62183935521875</v>
      </c>
      <c r="P14">
        <v>1173.8635643658583</v>
      </c>
      <c r="Q14">
        <f t="shared" si="0"/>
        <v>1715.1982000065414</v>
      </c>
      <c r="S14" s="39" t="s">
        <v>19</v>
      </c>
      <c r="T14" s="14">
        <f t="shared" si="1"/>
        <v>3345.8713099235802</v>
      </c>
      <c r="U14" s="14">
        <f>P8+P8*4</f>
        <v>6092.5213709847949</v>
      </c>
      <c r="V14" s="14">
        <f t="shared" si="3"/>
        <v>1834.6852707404664</v>
      </c>
      <c r="W14" s="14">
        <f t="shared" si="4"/>
        <v>11273.077951648842</v>
      </c>
      <c r="X14" s="40">
        <f t="shared" si="5"/>
        <v>0.54044879287769676</v>
      </c>
    </row>
    <row r="15" spans="2:24" x14ac:dyDescent="0.2">
      <c r="H15" s="29" t="s">
        <v>10</v>
      </c>
      <c r="I15" s="26">
        <v>54330.471285508727</v>
      </c>
      <c r="J15" s="26">
        <v>31693.836884206961</v>
      </c>
      <c r="K15" s="26">
        <v>11823</v>
      </c>
      <c r="L15" s="26">
        <v>10813.634401301761</v>
      </c>
      <c r="N15">
        <v>394.54188930179168</v>
      </c>
      <c r="O15">
        <v>1024.2255837933585</v>
      </c>
      <c r="P15">
        <v>1038.6578573205909</v>
      </c>
      <c r="Q15">
        <f t="shared" si="0"/>
        <v>1668.3415518121578</v>
      </c>
      <c r="S15" s="39" t="s">
        <v>20</v>
      </c>
      <c r="T15" s="14">
        <f t="shared" si="1"/>
        <v>3950.4955148114241</v>
      </c>
      <c r="U15" s="14">
        <f t="shared" si="2"/>
        <v>7759.1995201875689</v>
      </c>
      <c r="V15" s="14">
        <f t="shared" si="3"/>
        <v>2369.9371508375389</v>
      </c>
      <c r="W15" s="14">
        <f t="shared" si="4"/>
        <v>14079.632185836532</v>
      </c>
      <c r="X15" s="40">
        <f t="shared" si="5"/>
        <v>0.55109390769404965</v>
      </c>
    </row>
    <row r="16" spans="2:24" x14ac:dyDescent="0.2">
      <c r="N16">
        <v>431.16747380403069</v>
      </c>
      <c r="O16">
        <v>1001.1211432668998</v>
      </c>
      <c r="P16">
        <v>994.2815495772843</v>
      </c>
      <c r="Q16">
        <f t="shared" si="0"/>
        <v>1564.2352190401534</v>
      </c>
      <c r="S16" s="39" t="s">
        <v>21</v>
      </c>
      <c r="T16" s="14">
        <f t="shared" si="1"/>
        <v>5651.7366276211033</v>
      </c>
      <c r="U16" s="14">
        <f t="shared" si="2"/>
        <v>7637.2098091299003</v>
      </c>
      <c r="V16" s="14">
        <f t="shared" si="3"/>
        <v>2775.978972033412</v>
      </c>
      <c r="W16" s="14">
        <f t="shared" si="4"/>
        <v>16064.925408784417</v>
      </c>
      <c r="X16" s="40">
        <f t="shared" si="5"/>
        <v>0.47539653093899953</v>
      </c>
    </row>
    <row r="17" spans="2:24" x14ac:dyDescent="0.2">
      <c r="N17">
        <v>471.11062386775234</v>
      </c>
      <c r="O17">
        <v>1143.0160692431607</v>
      </c>
      <c r="P17">
        <v>1366.4607038017532</v>
      </c>
      <c r="Q17">
        <f t="shared" si="0"/>
        <v>2038.3661491771616</v>
      </c>
      <c r="S17" s="39" t="s">
        <v>22</v>
      </c>
      <c r="T17" s="14">
        <f t="shared" si="1"/>
        <v>2782.0481116800333</v>
      </c>
      <c r="U17" s="14">
        <f t="shared" si="2"/>
        <v>6037.8821077559533</v>
      </c>
      <c r="V17" s="14">
        <f t="shared" si="3"/>
        <v>1735.0970322748863</v>
      </c>
      <c r="W17" s="14">
        <f t="shared" si="4"/>
        <v>10555.027251710871</v>
      </c>
      <c r="X17" s="40">
        <f t="shared" si="5"/>
        <v>0.57203851432759389</v>
      </c>
    </row>
    <row r="18" spans="2:24" x14ac:dyDescent="0.2">
      <c r="B18" s="1"/>
      <c r="C18" s="28" t="s">
        <v>61</v>
      </c>
      <c r="D18" s="28" t="s">
        <v>42</v>
      </c>
      <c r="E18" s="28" t="s">
        <v>62</v>
      </c>
      <c r="F18" s="28" t="s">
        <v>54</v>
      </c>
      <c r="S18" s="39" t="s">
        <v>23</v>
      </c>
      <c r="T18" s="14">
        <f t="shared" si="1"/>
        <v>2916.6217566880709</v>
      </c>
      <c r="U18" s="14">
        <f t="shared" si="2"/>
        <v>5301.2458974926958</v>
      </c>
      <c r="V18" s="14">
        <f t="shared" si="3"/>
        <v>1631.5619260709993</v>
      </c>
      <c r="W18" s="14">
        <f t="shared" si="4"/>
        <v>9849.4295802517663</v>
      </c>
      <c r="X18" s="40">
        <f t="shared" si="5"/>
        <v>0.53822872221166618</v>
      </c>
    </row>
    <row r="19" spans="2:24" x14ac:dyDescent="0.2">
      <c r="B19" s="29" t="s">
        <v>11</v>
      </c>
      <c r="C19" s="26">
        <v>16247.761499250373</v>
      </c>
      <c r="D19" s="26">
        <v>5948.9178004394334</v>
      </c>
      <c r="E19" s="26">
        <v>14263</v>
      </c>
      <c r="F19" s="26">
        <v>-3964.1563011890612</v>
      </c>
      <c r="S19" s="39" t="s">
        <v>24</v>
      </c>
      <c r="T19" s="14">
        <f t="shared" si="1"/>
        <v>2978.3065241214308</v>
      </c>
      <c r="U19" s="14">
        <f t="shared" si="2"/>
        <v>5405.1147295453757</v>
      </c>
      <c r="V19" s="14">
        <f t="shared" si="3"/>
        <v>1580.9558004075441</v>
      </c>
      <c r="W19" s="14">
        <f t="shared" si="4"/>
        <v>9964.3770540743499</v>
      </c>
      <c r="X19" s="40">
        <f t="shared" si="5"/>
        <v>0.54244381763286142</v>
      </c>
    </row>
    <row r="20" spans="2:24" x14ac:dyDescent="0.2">
      <c r="B20" s="29" t="s">
        <v>18</v>
      </c>
      <c r="C20" s="26">
        <v>43837.899018694799</v>
      </c>
      <c r="D20" s="26">
        <v>35489.505070697596</v>
      </c>
      <c r="E20" s="26">
        <v>9263</v>
      </c>
      <c r="F20" s="26">
        <v>-914.60605200280224</v>
      </c>
      <c r="S20" s="39" t="s">
        <v>25</v>
      </c>
      <c r="T20" s="14">
        <f t="shared" si="1"/>
        <v>2896.865518065656</v>
      </c>
      <c r="U20" s="14">
        <f t="shared" si="2"/>
        <v>5869.3178218292915</v>
      </c>
      <c r="V20" s="14">
        <f t="shared" si="3"/>
        <v>1715.1982000065414</v>
      </c>
      <c r="W20" s="14">
        <f t="shared" si="4"/>
        <v>10481.381539901489</v>
      </c>
      <c r="X20" s="40">
        <f t="shared" si="5"/>
        <v>0.5599755909548213</v>
      </c>
    </row>
    <row r="21" spans="2:24" x14ac:dyDescent="0.2">
      <c r="B21" s="29" t="s">
        <v>19</v>
      </c>
      <c r="C21" s="26">
        <v>29472.759537629794</v>
      </c>
      <c r="D21" s="26">
        <v>21336.794328652242</v>
      </c>
      <c r="E21" s="26">
        <v>9263</v>
      </c>
      <c r="F21" s="26">
        <v>-1127.0347910224546</v>
      </c>
      <c r="S21" s="39" t="s">
        <v>26</v>
      </c>
      <c r="T21" s="14">
        <f t="shared" si="1"/>
        <v>3072.6767513800755</v>
      </c>
      <c r="U21" s="14">
        <f t="shared" si="2"/>
        <v>5193.2892866029542</v>
      </c>
      <c r="V21" s="14">
        <f t="shared" si="3"/>
        <v>1668.3415518121578</v>
      </c>
      <c r="W21" s="14">
        <f t="shared" si="4"/>
        <v>9934.3075897951876</v>
      </c>
      <c r="X21" s="40">
        <f t="shared" si="5"/>
        <v>0.52276308536466631</v>
      </c>
    </row>
    <row r="22" spans="2:24" x14ac:dyDescent="0.2">
      <c r="B22" s="29" t="s">
        <v>20</v>
      </c>
      <c r="C22" s="26">
        <v>38584.25228583518</v>
      </c>
      <c r="D22" s="26">
        <v>27425.109628317256</v>
      </c>
      <c r="E22" s="26">
        <v>9263</v>
      </c>
      <c r="F22" s="26">
        <v>1896.1426575179294</v>
      </c>
      <c r="S22" s="39" t="s">
        <v>27</v>
      </c>
      <c r="T22" s="14">
        <f>O16+O16*2</f>
        <v>3003.3634298006996</v>
      </c>
      <c r="U22" s="14">
        <f t="shared" si="2"/>
        <v>4971.4077478864219</v>
      </c>
      <c r="V22" s="14">
        <f>((O16+P16)-N16)</f>
        <v>1564.2352190401534</v>
      </c>
      <c r="W22" s="14">
        <f t="shared" si="4"/>
        <v>9539.0063967272763</v>
      </c>
      <c r="X22" s="40">
        <f t="shared" si="5"/>
        <v>0.52116620338907149</v>
      </c>
    </row>
    <row r="23" spans="2:24" x14ac:dyDescent="0.2">
      <c r="B23" s="29" t="s">
        <v>21</v>
      </c>
      <c r="C23" s="26">
        <v>48394.142861397304</v>
      </c>
      <c r="D23" s="26">
        <v>34429.176685429884</v>
      </c>
      <c r="E23" s="26">
        <v>10263</v>
      </c>
      <c r="F23" s="26">
        <v>3701.9661759674386</v>
      </c>
      <c r="K23" s="37" t="s">
        <v>55</v>
      </c>
      <c r="S23" s="39" t="s">
        <v>28</v>
      </c>
      <c r="T23" s="14">
        <v>1143.0160692431607</v>
      </c>
      <c r="U23" s="14">
        <v>1366.4607038017532</v>
      </c>
      <c r="V23" s="14">
        <f>((O17+P17)-N17)</f>
        <v>2038.3661491771616</v>
      </c>
      <c r="W23" s="14">
        <f t="shared" si="4"/>
        <v>4547.8429222220757</v>
      </c>
      <c r="X23" s="40">
        <f t="shared" si="5"/>
        <v>0.3004634784382792</v>
      </c>
    </row>
    <row r="24" spans="2:24" x14ac:dyDescent="0.2">
      <c r="B24" s="29" t="s">
        <v>22</v>
      </c>
      <c r="C24" s="26">
        <v>24092.515608419606</v>
      </c>
      <c r="D24" s="26">
        <v>14970.716869299356</v>
      </c>
      <c r="E24" s="26">
        <v>9263</v>
      </c>
      <c r="F24" s="26">
        <v>-141.20126087975189</v>
      </c>
      <c r="K24" s="39" t="s">
        <v>97</v>
      </c>
      <c r="L24">
        <v>344165.43021124712</v>
      </c>
    </row>
    <row r="25" spans="2:24" x14ac:dyDescent="0.2">
      <c r="B25" s="29" t="s">
        <v>23</v>
      </c>
      <c r="C25" s="26">
        <v>20031.092148572869</v>
      </c>
      <c r="D25" s="26">
        <v>10047.917743206053</v>
      </c>
      <c r="E25" s="26">
        <v>10263</v>
      </c>
      <c r="F25" s="26">
        <v>-279.82559463318415</v>
      </c>
      <c r="K25" s="39" t="s">
        <v>104</v>
      </c>
      <c r="L25">
        <v>220252.0300564123</v>
      </c>
      <c r="O25" s="37" t="s">
        <v>96</v>
      </c>
      <c r="P25" t="s">
        <v>99</v>
      </c>
      <c r="Q25" t="s">
        <v>100</v>
      </c>
    </row>
    <row r="26" spans="2:24" x14ac:dyDescent="0.2">
      <c r="B26" s="29" t="s">
        <v>24</v>
      </c>
      <c r="C26" s="26">
        <v>26613.42495737784</v>
      </c>
      <c r="D26" s="26">
        <v>14972.998984371507</v>
      </c>
      <c r="E26" s="26">
        <v>9263</v>
      </c>
      <c r="F26" s="26">
        <v>2377.4259730063359</v>
      </c>
      <c r="K26" s="39" t="s">
        <v>112</v>
      </c>
      <c r="L26">
        <v>39000</v>
      </c>
      <c r="O26" s="39" t="s">
        <v>11</v>
      </c>
      <c r="P26">
        <v>445.71875</v>
      </c>
      <c r="Q26">
        <v>507.74254685157416</v>
      </c>
      <c r="X26" s="41">
        <f>AVERAGE(X12:X23)</f>
        <v>0.49647348896736365</v>
      </c>
    </row>
    <row r="27" spans="2:24" x14ac:dyDescent="0.2">
      <c r="B27" s="29" t="s">
        <v>25</v>
      </c>
      <c r="C27" s="26">
        <v>24072.547333083869</v>
      </c>
      <c r="D27" s="26">
        <v>14920.162337942296</v>
      </c>
      <c r="E27" s="26">
        <v>9263</v>
      </c>
      <c r="F27" s="26">
        <v>-110.61500485842055</v>
      </c>
      <c r="K27" s="39" t="s">
        <v>111</v>
      </c>
      <c r="L27">
        <v>53000</v>
      </c>
      <c r="O27" s="39" t="s">
        <v>18</v>
      </c>
      <c r="P27">
        <v>330.82142857142856</v>
      </c>
      <c r="Q27">
        <v>1565.6392506676714</v>
      </c>
    </row>
    <row r="28" spans="2:24" x14ac:dyDescent="0.2">
      <c r="B28" s="29" t="s">
        <v>26</v>
      </c>
      <c r="C28" s="26">
        <v>20471.915863105485</v>
      </c>
      <c r="D28" s="26">
        <v>10508.265210567823</v>
      </c>
      <c r="E28" s="26">
        <v>10263</v>
      </c>
      <c r="F28" s="26">
        <v>-299.34934746234245</v>
      </c>
      <c r="K28" s="39" t="s">
        <v>110</v>
      </c>
      <c r="L28">
        <v>3600</v>
      </c>
      <c r="O28" s="39" t="s">
        <v>19</v>
      </c>
      <c r="P28">
        <v>298.80645161290323</v>
      </c>
      <c r="Q28">
        <v>950.73417863321913</v>
      </c>
    </row>
    <row r="29" spans="2:24" x14ac:dyDescent="0.2">
      <c r="B29" s="29" t="s">
        <v>27</v>
      </c>
      <c r="C29" s="26">
        <v>21162.034072503626</v>
      </c>
      <c r="D29" s="26">
        <v>10722.432590803552</v>
      </c>
      <c r="E29" s="26">
        <v>9263</v>
      </c>
      <c r="F29" s="26">
        <v>1176.6014817000735</v>
      </c>
      <c r="K29" s="39" t="s">
        <v>108</v>
      </c>
      <c r="L29">
        <v>1200</v>
      </c>
      <c r="O29" s="39" t="s">
        <v>20</v>
      </c>
      <c r="P29">
        <v>308.76666666666665</v>
      </c>
      <c r="Q29">
        <v>1286.1417428611726</v>
      </c>
    </row>
    <row r="30" spans="2:24" x14ac:dyDescent="0.2">
      <c r="B30" s="29" t="s">
        <v>28</v>
      </c>
      <c r="C30" s="26">
        <v>31185.085025376065</v>
      </c>
      <c r="D30" s="26">
        <v>19480.032806685093</v>
      </c>
      <c r="E30" s="26">
        <v>9263</v>
      </c>
      <c r="F30" s="26">
        <v>2442.0522186909798</v>
      </c>
      <c r="K30" s="39" t="s">
        <v>107</v>
      </c>
      <c r="L30">
        <v>5760</v>
      </c>
      <c r="O30" s="39" t="s">
        <v>21</v>
      </c>
      <c r="P30">
        <v>331.06451612903226</v>
      </c>
      <c r="Q30">
        <v>1561.1013826257195</v>
      </c>
    </row>
    <row r="31" spans="2:24" x14ac:dyDescent="0.2">
      <c r="K31" s="39" t="s">
        <v>106</v>
      </c>
      <c r="L31">
        <v>3600</v>
      </c>
      <c r="O31" s="39" t="s">
        <v>22</v>
      </c>
      <c r="P31">
        <v>308.76666666666665</v>
      </c>
      <c r="Q31">
        <v>803.08385361398689</v>
      </c>
    </row>
    <row r="32" spans="2:24" x14ac:dyDescent="0.2">
      <c r="K32" s="39" t="s">
        <v>105</v>
      </c>
      <c r="L32">
        <v>996</v>
      </c>
      <c r="O32" s="39" t="s">
        <v>23</v>
      </c>
      <c r="P32">
        <v>331.06451612903226</v>
      </c>
      <c r="Q32">
        <v>646.16426285718933</v>
      </c>
    </row>
    <row r="33" spans="1:21" x14ac:dyDescent="0.2">
      <c r="K33" s="39" t="s">
        <v>109</v>
      </c>
      <c r="L33">
        <v>12000</v>
      </c>
      <c r="O33" s="39" t="s">
        <v>24</v>
      </c>
      <c r="P33">
        <v>298.80645161290323</v>
      </c>
      <c r="Q33">
        <v>858.49757927025291</v>
      </c>
      <c r="T33" s="39" t="s">
        <v>61</v>
      </c>
      <c r="U33" s="14">
        <v>344165.43021124712</v>
      </c>
    </row>
    <row r="34" spans="1:21" x14ac:dyDescent="0.2">
      <c r="K34" s="39" t="s">
        <v>98</v>
      </c>
      <c r="L34">
        <v>4757.4001548347424</v>
      </c>
      <c r="O34" s="39" t="s">
        <v>25</v>
      </c>
      <c r="P34">
        <v>308.76666666666665</v>
      </c>
      <c r="Q34">
        <v>802.41824443612893</v>
      </c>
      <c r="T34" s="39" t="s">
        <v>42</v>
      </c>
      <c r="U34" s="14">
        <v>-220252.03005641201</v>
      </c>
    </row>
    <row r="35" spans="1:21" x14ac:dyDescent="0.2">
      <c r="O35" s="39" t="s">
        <v>26</v>
      </c>
      <c r="P35">
        <v>331.06451612903226</v>
      </c>
      <c r="Q35">
        <v>660.38438268082211</v>
      </c>
      <c r="T35" s="39" t="s">
        <v>45</v>
      </c>
      <c r="U35" s="14">
        <v>-39000</v>
      </c>
    </row>
    <row r="36" spans="1:21" x14ac:dyDescent="0.2">
      <c r="O36" s="39" t="s">
        <v>27</v>
      </c>
      <c r="P36">
        <v>308.76666666666665</v>
      </c>
      <c r="Q36">
        <v>705.40113575012083</v>
      </c>
      <c r="T36" s="39" t="s">
        <v>63</v>
      </c>
      <c r="U36" s="14">
        <v>-53000</v>
      </c>
    </row>
    <row r="37" spans="1:21" x14ac:dyDescent="0.2">
      <c r="O37" s="39" t="s">
        <v>28</v>
      </c>
      <c r="P37">
        <v>298.80645161290323</v>
      </c>
      <c r="Q37">
        <v>1005.9704846895505</v>
      </c>
      <c r="T37" s="39" t="s">
        <v>47</v>
      </c>
      <c r="U37" s="14">
        <v>-3600</v>
      </c>
    </row>
    <row r="38" spans="1:21" x14ac:dyDescent="0.2">
      <c r="O38" s="39" t="s">
        <v>94</v>
      </c>
      <c r="P38">
        <v>325.56284153005464</v>
      </c>
      <c r="Q38">
        <v>940.34270549521068</v>
      </c>
      <c r="T38" s="39" t="s">
        <v>49</v>
      </c>
      <c r="U38" s="14">
        <v>-1200</v>
      </c>
    </row>
    <row r="39" spans="1:21" x14ac:dyDescent="0.2">
      <c r="T39" s="39" t="s">
        <v>52</v>
      </c>
      <c r="U39" s="14">
        <v>-5760</v>
      </c>
    </row>
    <row r="40" spans="1:21" x14ac:dyDescent="0.2">
      <c r="T40" s="39" t="s">
        <v>48</v>
      </c>
      <c r="U40" s="14">
        <v>-3600</v>
      </c>
    </row>
    <row r="41" spans="1:21" x14ac:dyDescent="0.2">
      <c r="T41" s="39" t="s">
        <v>50</v>
      </c>
      <c r="U41" s="14">
        <v>-996</v>
      </c>
    </row>
    <row r="42" spans="1:21" x14ac:dyDescent="0.2">
      <c r="A42" s="1" t="s">
        <v>113</v>
      </c>
      <c r="B42" s="1" t="s">
        <v>54</v>
      </c>
      <c r="C42" s="1" t="s">
        <v>115</v>
      </c>
      <c r="T42" s="39" t="s">
        <v>53</v>
      </c>
      <c r="U42" s="14">
        <v>-12000</v>
      </c>
    </row>
    <row r="43" spans="1:21" x14ac:dyDescent="0.2">
      <c r="A43" t="s">
        <v>64</v>
      </c>
      <c r="C43" s="42">
        <v>-3964</v>
      </c>
      <c r="T43" s="39" t="s">
        <v>54</v>
      </c>
      <c r="U43" s="14">
        <v>4757.4001548347424</v>
      </c>
    </row>
    <row r="44" spans="1:21" x14ac:dyDescent="0.2">
      <c r="A44" t="s">
        <v>65</v>
      </c>
      <c r="C44">
        <v>-915</v>
      </c>
    </row>
    <row r="45" spans="1:21" x14ac:dyDescent="0.2">
      <c r="A45" t="s">
        <v>66</v>
      </c>
      <c r="C45" s="42">
        <v>-1127</v>
      </c>
    </row>
    <row r="46" spans="1:21" x14ac:dyDescent="0.2">
      <c r="A46" t="s">
        <v>67</v>
      </c>
      <c r="B46" s="42">
        <v>1896</v>
      </c>
    </row>
    <row r="47" spans="1:21" x14ac:dyDescent="0.2">
      <c r="A47" t="s">
        <v>21</v>
      </c>
      <c r="B47" s="42">
        <v>3702</v>
      </c>
      <c r="H47" s="1"/>
      <c r="I47" s="38" t="s">
        <v>103</v>
      </c>
      <c r="O47" s="38"/>
      <c r="P47" s="38" t="s">
        <v>43</v>
      </c>
      <c r="Q47" s="38" t="s">
        <v>114</v>
      </c>
    </row>
    <row r="48" spans="1:21" x14ac:dyDescent="0.2">
      <c r="A48" t="s">
        <v>68</v>
      </c>
      <c r="C48">
        <v>-141</v>
      </c>
      <c r="H48" s="39" t="s">
        <v>12</v>
      </c>
      <c r="I48" s="14">
        <v>16.821968925558892</v>
      </c>
      <c r="O48" s="39" t="s">
        <v>11</v>
      </c>
      <c r="P48">
        <v>10298.843698810937</v>
      </c>
      <c r="Q48">
        <v>14263</v>
      </c>
    </row>
    <row r="49" spans="1:17" x14ac:dyDescent="0.2">
      <c r="A49" t="s">
        <v>69</v>
      </c>
      <c r="C49">
        <v>-280</v>
      </c>
      <c r="H49" s="39" t="s">
        <v>13</v>
      </c>
      <c r="I49" s="14">
        <v>17.704307326903567</v>
      </c>
      <c r="O49" s="39" t="s">
        <v>18</v>
      </c>
      <c r="P49">
        <v>8348.3939479971978</v>
      </c>
      <c r="Q49">
        <v>9263</v>
      </c>
    </row>
    <row r="50" spans="1:17" x14ac:dyDescent="0.2">
      <c r="A50" t="s">
        <v>70</v>
      </c>
      <c r="B50" s="42">
        <v>2377</v>
      </c>
      <c r="H50" s="39" t="s">
        <v>14</v>
      </c>
      <c r="I50" s="14">
        <v>16.166172912326566</v>
      </c>
      <c r="O50" s="39" t="s">
        <v>19</v>
      </c>
      <c r="P50">
        <v>8135.9652089775464</v>
      </c>
      <c r="Q50">
        <v>9263</v>
      </c>
    </row>
    <row r="51" spans="1:17" x14ac:dyDescent="0.2">
      <c r="A51" t="s">
        <v>71</v>
      </c>
      <c r="C51">
        <v>-111</v>
      </c>
      <c r="H51" s="39" t="s">
        <v>15</v>
      </c>
      <c r="I51" s="14">
        <v>17.539404423946504</v>
      </c>
      <c r="O51" s="39" t="s">
        <v>20</v>
      </c>
      <c r="P51">
        <v>11159.142657517928</v>
      </c>
      <c r="Q51">
        <v>9263</v>
      </c>
    </row>
    <row r="52" spans="1:17" x14ac:dyDescent="0.2">
      <c r="A52" t="s">
        <v>72</v>
      </c>
      <c r="C52">
        <v>-299</v>
      </c>
      <c r="H52" s="39" t="s">
        <v>16</v>
      </c>
      <c r="I52" s="14">
        <v>21.737760063562067</v>
      </c>
      <c r="O52" s="39" t="s">
        <v>21</v>
      </c>
      <c r="P52">
        <v>13964.966175967438</v>
      </c>
      <c r="Q52">
        <v>10263</v>
      </c>
    </row>
    <row r="53" spans="1:17" x14ac:dyDescent="0.2">
      <c r="A53" t="s">
        <v>73</v>
      </c>
      <c r="B53" s="42">
        <v>1177</v>
      </c>
      <c r="H53" s="39" t="s">
        <v>17</v>
      </c>
      <c r="I53" s="14">
        <v>32.377988561347038</v>
      </c>
      <c r="O53" s="39" t="s">
        <v>22</v>
      </c>
      <c r="P53">
        <v>9121.7987391202514</v>
      </c>
      <c r="Q53">
        <v>9263</v>
      </c>
    </row>
    <row r="54" spans="1:17" x14ac:dyDescent="0.2">
      <c r="A54" t="s">
        <v>74</v>
      </c>
      <c r="B54" s="42">
        <v>2442</v>
      </c>
      <c r="H54" s="39" t="s">
        <v>10</v>
      </c>
      <c r="I54" s="14">
        <v>24.38146962262849</v>
      </c>
      <c r="O54" s="39" t="s">
        <v>23</v>
      </c>
      <c r="P54">
        <v>9983.1744053668208</v>
      </c>
      <c r="Q54">
        <v>10263</v>
      </c>
    </row>
    <row r="55" spans="1:17" x14ac:dyDescent="0.2">
      <c r="O55" s="39" t="s">
        <v>24</v>
      </c>
      <c r="P55">
        <v>11640.425973006339</v>
      </c>
      <c r="Q55">
        <v>9263</v>
      </c>
    </row>
    <row r="56" spans="1:17" x14ac:dyDescent="0.2">
      <c r="O56" s="39" t="s">
        <v>25</v>
      </c>
      <c r="P56">
        <v>9152.3849951415796</v>
      </c>
      <c r="Q56">
        <v>9263</v>
      </c>
    </row>
    <row r="57" spans="1:17" x14ac:dyDescent="0.2">
      <c r="O57" s="39" t="s">
        <v>26</v>
      </c>
      <c r="P57">
        <v>9963.650652537659</v>
      </c>
      <c r="Q57">
        <v>10263</v>
      </c>
    </row>
    <row r="58" spans="1:17" x14ac:dyDescent="0.2">
      <c r="O58" s="39" t="s">
        <v>27</v>
      </c>
      <c r="P58">
        <v>10439.601481700076</v>
      </c>
      <c r="Q58">
        <v>9263</v>
      </c>
    </row>
    <row r="59" spans="1:17" x14ac:dyDescent="0.2">
      <c r="O59" s="39" t="s">
        <v>28</v>
      </c>
      <c r="P59">
        <v>11705.052218690978</v>
      </c>
      <c r="Q59">
        <v>9263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66DC-8D2B-BE4D-B382-2E815C1D576C}">
  <dimension ref="D4:Q34"/>
  <sheetViews>
    <sheetView showGridLines="0" topLeftCell="C1" zoomScale="101" workbookViewId="0">
      <selection activeCell="D4" sqref="D4:Q20"/>
    </sheetView>
  </sheetViews>
  <sheetFormatPr baseColWidth="10" defaultRowHeight="15" x14ac:dyDescent="0.2"/>
  <cols>
    <col min="2" max="4" width="14.83203125" bestFit="1" customWidth="1"/>
    <col min="5" max="13" width="15.1640625" bestFit="1" customWidth="1"/>
    <col min="14" max="14" width="11.1640625" bestFit="1" customWidth="1"/>
    <col min="15" max="16" width="15.1640625" bestFit="1" customWidth="1"/>
    <col min="17" max="17" width="15" bestFit="1" customWidth="1"/>
    <col min="18" max="367" width="14.83203125" bestFit="1" customWidth="1"/>
    <col min="368" max="368" width="10" bestFit="1" customWidth="1"/>
  </cols>
  <sheetData>
    <row r="4" spans="4:17" x14ac:dyDescent="0.2">
      <c r="D4" s="31" t="s">
        <v>55</v>
      </c>
      <c r="E4" s="31" t="s">
        <v>11</v>
      </c>
      <c r="F4" s="31" t="s">
        <v>18</v>
      </c>
      <c r="G4" s="31" t="s">
        <v>19</v>
      </c>
      <c r="H4" s="31" t="s">
        <v>20</v>
      </c>
      <c r="I4" s="31" t="s">
        <v>21</v>
      </c>
      <c r="J4" s="31" t="s">
        <v>22</v>
      </c>
      <c r="K4" s="31" t="s">
        <v>23</v>
      </c>
      <c r="L4" s="31" t="s">
        <v>24</v>
      </c>
      <c r="M4" s="31" t="s">
        <v>25</v>
      </c>
      <c r="N4" s="31" t="s">
        <v>26</v>
      </c>
      <c r="O4" s="31" t="s">
        <v>27</v>
      </c>
      <c r="P4" s="31" t="s">
        <v>28</v>
      </c>
      <c r="Q4" s="31" t="s">
        <v>56</v>
      </c>
    </row>
    <row r="5" spans="4:17" x14ac:dyDescent="0.2">
      <c r="D5" s="1" t="s">
        <v>31</v>
      </c>
      <c r="E5" s="26">
        <f>SUMIF('Landing Sheet'!$H$8:$H$373, E$4, 'Landing Sheet'!$L$8:$L$373)</f>
        <v>16247.761499250373</v>
      </c>
      <c r="F5" s="26">
        <f>SUMIF('Landing Sheet'!$H$8:$H$373, F$4, 'Landing Sheet'!$L$8:$L$373)</f>
        <v>43837.899018694799</v>
      </c>
      <c r="G5" s="26">
        <f>SUMIF('Landing Sheet'!$H$8:$H$373, G$4, 'Landing Sheet'!$L$8:$L$373)</f>
        <v>29472.759537629794</v>
      </c>
      <c r="H5" s="26">
        <f>SUMIF('Landing Sheet'!$H$8:$H$373, H$4, 'Landing Sheet'!$L$8:$L$373)</f>
        <v>38584.25228583518</v>
      </c>
      <c r="I5" s="26">
        <f>SUMIF('Landing Sheet'!$H$8:$H$373, I$4, 'Landing Sheet'!$L$8:$L$373)</f>
        <v>48394.142861397304</v>
      </c>
      <c r="J5" s="26">
        <f>SUMIF('Landing Sheet'!$H$8:$H$373, J$4, 'Landing Sheet'!$L$8:$L$373)</f>
        <v>24092.515608419606</v>
      </c>
      <c r="K5" s="26">
        <f>SUMIF('Landing Sheet'!$H$8:$H$373, K$4, 'Landing Sheet'!$L$8:$L$373)</f>
        <v>20031.092148572869</v>
      </c>
      <c r="L5" s="26">
        <f>SUMIF('Landing Sheet'!$H$8:$H$373, L$4, 'Landing Sheet'!$L$8:$L$373)</f>
        <v>26613.42495737784</v>
      </c>
      <c r="M5" s="26">
        <f>SUMIF('Landing Sheet'!$H$8:$H$373, M$4, 'Landing Sheet'!$L$8:$L$373)</f>
        <v>24072.547333083869</v>
      </c>
      <c r="N5" s="26">
        <f>SUMIF('Landing Sheet'!$H$8:$H$373, N$4, 'Landing Sheet'!$L$8:$L$373)</f>
        <v>20471.915863105485</v>
      </c>
      <c r="O5" s="26">
        <f>SUMIF('Landing Sheet'!$H$8:$H$373, O$4, 'Landing Sheet'!$L$8:$L$373)</f>
        <v>21162.034072503626</v>
      </c>
      <c r="P5" s="26">
        <f>SUMIF('Landing Sheet'!$H$8:$H$373, P$4, 'Landing Sheet'!$L$8:$L$373)</f>
        <v>31185.085025376065</v>
      </c>
      <c r="Q5" s="26">
        <f>SUM(E5:P5)</f>
        <v>344165.43021124683</v>
      </c>
    </row>
    <row r="6" spans="4:17" x14ac:dyDescent="0.2">
      <c r="D6" s="1" t="s">
        <v>42</v>
      </c>
      <c r="E6" s="26">
        <f>SUMIF('Landing Sheet'!$H$8:$H$373, E$4, 'Landing Sheet'!$N$8:$N$373)</f>
        <v>5948.9178004394334</v>
      </c>
      <c r="F6" s="26">
        <f>SUMIF('Landing Sheet'!$H$8:$H$373, F$4, 'Landing Sheet'!$N$8:$N$373)</f>
        <v>35489.505070697596</v>
      </c>
      <c r="G6" s="26">
        <f>SUMIF('Landing Sheet'!$H$8:$H$373, G$4, 'Landing Sheet'!$N$8:$N$373)</f>
        <v>21336.794328652242</v>
      </c>
      <c r="H6" s="26">
        <f>SUMIF('Landing Sheet'!$H$8:$H$373, H$4, 'Landing Sheet'!$N$8:$N$373)</f>
        <v>27425.109628317256</v>
      </c>
      <c r="I6" s="26">
        <f>SUMIF('Landing Sheet'!$H$8:$H$373, I$4, 'Landing Sheet'!$N$8:$N$373)</f>
        <v>34429.176685429884</v>
      </c>
      <c r="J6" s="26">
        <f>SUMIF('Landing Sheet'!$H$8:$H$373, J$4, 'Landing Sheet'!$N$8:$N$373)</f>
        <v>14970.716869299356</v>
      </c>
      <c r="K6" s="26">
        <f>SUMIF('Landing Sheet'!$H$8:$H$373, K$4, 'Landing Sheet'!$N$8:$N$373)</f>
        <v>10047.917743206053</v>
      </c>
      <c r="L6" s="26">
        <f>SUMIF('Landing Sheet'!$H$8:$H$373, L$4, 'Landing Sheet'!$N$8:$N$373)</f>
        <v>14972.998984371507</v>
      </c>
      <c r="M6" s="26">
        <f>SUMIF('Landing Sheet'!$H$8:$H$373, M$4, 'Landing Sheet'!$N$8:$N$373)</f>
        <v>14920.162337942296</v>
      </c>
      <c r="N6" s="26">
        <f>SUMIF('Landing Sheet'!$H$8:$H$373, N$4, 'Landing Sheet'!$N$8:$N$373)</f>
        <v>10508.265210567823</v>
      </c>
      <c r="O6" s="26">
        <f>SUMIF('Landing Sheet'!$H$8:$H$373, O$4, 'Landing Sheet'!$N$8:$N$373)</f>
        <v>10722.432590803552</v>
      </c>
      <c r="P6" s="26">
        <f>SUMIF('Landing Sheet'!$H$8:$H$373, P$4, 'Landing Sheet'!$N$8:$N$373)</f>
        <v>19480.032806685093</v>
      </c>
      <c r="Q6" s="26">
        <f t="shared" ref="Q6:Q16" si="0">SUM(E6:P6)</f>
        <v>220252.0300564121</v>
      </c>
    </row>
    <row r="7" spans="4:17" x14ac:dyDescent="0.2">
      <c r="D7" s="1" t="s">
        <v>43</v>
      </c>
      <c r="E7" s="26">
        <f>E5-E6</f>
        <v>10298.843698810939</v>
      </c>
      <c r="F7" s="26">
        <f>F5-F6</f>
        <v>8348.3939479972032</v>
      </c>
      <c r="G7" s="26">
        <f t="shared" ref="G7:P7" si="1">G5-G6</f>
        <v>8135.9652089775518</v>
      </c>
      <c r="H7" s="26">
        <f t="shared" si="1"/>
        <v>11159.142657517925</v>
      </c>
      <c r="I7" s="26">
        <f t="shared" si="1"/>
        <v>13964.96617596742</v>
      </c>
      <c r="J7" s="26">
        <f t="shared" si="1"/>
        <v>9121.7987391202496</v>
      </c>
      <c r="K7" s="26">
        <f t="shared" si="1"/>
        <v>9983.1744053668153</v>
      </c>
      <c r="L7" s="26">
        <f t="shared" si="1"/>
        <v>11640.425973006333</v>
      </c>
      <c r="M7" s="26">
        <f t="shared" si="1"/>
        <v>9152.3849951415723</v>
      </c>
      <c r="N7" s="26">
        <f t="shared" si="1"/>
        <v>9963.6506525376626</v>
      </c>
      <c r="O7" s="26">
        <f>O5-O6</f>
        <v>10439.601481700074</v>
      </c>
      <c r="P7" s="26">
        <f t="shared" si="1"/>
        <v>11705.052218690973</v>
      </c>
      <c r="Q7" s="26">
        <f t="shared" si="0"/>
        <v>123913.40015483473</v>
      </c>
    </row>
    <row r="8" spans="4:17" x14ac:dyDescent="0.2">
      <c r="D8" s="1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4:17" x14ac:dyDescent="0.2">
      <c r="D9" s="1" t="s">
        <v>57</v>
      </c>
      <c r="E9" s="26">
        <f>SUMIF('Landing Sheet'!$H$8:$H$373, E$4, 'Landing Sheet'!$AE$8:$AE$373)</f>
        <v>6000</v>
      </c>
      <c r="F9" s="26">
        <f>SUMIF('Landing Sheet'!$H$8:$H$373, F$4, 'Landing Sheet'!$AE$8:$AE$373)</f>
        <v>3000</v>
      </c>
      <c r="G9" s="26">
        <f>SUMIF('Landing Sheet'!$H$8:$H$373, G$4, 'Landing Sheet'!$AE$8:$AE$373)</f>
        <v>3000</v>
      </c>
      <c r="H9" s="26">
        <f>SUMIF('Landing Sheet'!$H$8:$H$373, H$4, 'Landing Sheet'!$AE$8:$AE$373)</f>
        <v>3000</v>
      </c>
      <c r="I9" s="26">
        <f>SUMIF('Landing Sheet'!$H$8:$H$373, I$4, 'Landing Sheet'!$AE$8:$AE$373)</f>
        <v>3000</v>
      </c>
      <c r="J9" s="26">
        <f>SUMIF('Landing Sheet'!$H$8:$H$373, J$4, 'Landing Sheet'!$AE$8:$AE$373)</f>
        <v>3000</v>
      </c>
      <c r="K9" s="26">
        <f>SUMIF('Landing Sheet'!$H$8:$H$373, K$4, 'Landing Sheet'!$AE$8:$AE$373)</f>
        <v>3000</v>
      </c>
      <c r="L9" s="26">
        <f>SUMIF('Landing Sheet'!$H$8:$H$373, L$4, 'Landing Sheet'!$AE$8:$AE$373)</f>
        <v>3000</v>
      </c>
      <c r="M9" s="26">
        <f>SUMIF('Landing Sheet'!$H$8:$H$373, M$4, 'Landing Sheet'!$AE$8:$AE$373)</f>
        <v>3000</v>
      </c>
      <c r="N9" s="26">
        <f>SUMIF('Landing Sheet'!$H$8:$H$373, N$4, 'Landing Sheet'!$AE$8:$AE$373)</f>
        <v>3000</v>
      </c>
      <c r="O9" s="26">
        <f>SUMIF('Landing Sheet'!$H$8:$H$373, O$4, 'Landing Sheet'!$AE$8:$AE$373)</f>
        <v>3000</v>
      </c>
      <c r="P9" s="26">
        <f>SUMIF('Landing Sheet'!$H$8:$H$373, P$4, 'Landing Sheet'!$AE$8:$AE$373)</f>
        <v>3000</v>
      </c>
      <c r="Q9" s="26">
        <f t="shared" si="0"/>
        <v>39000</v>
      </c>
    </row>
    <row r="10" spans="4:17" x14ac:dyDescent="0.2">
      <c r="D10" s="1" t="s">
        <v>63</v>
      </c>
      <c r="E10" s="26">
        <f>SUMIF('Landing Sheet'!$H$8:$H$373, E$4, 'Landing Sheet'!$AF$8:$AF$373)</f>
        <v>6000</v>
      </c>
      <c r="F10" s="26">
        <f>SUMIF('Landing Sheet'!$H$8:$H$373, F$4, 'Landing Sheet'!$AF$8:$AF$373)</f>
        <v>4000</v>
      </c>
      <c r="G10" s="26">
        <f>SUMIF('Landing Sheet'!$H$8:$H$373, G$4, 'Landing Sheet'!$AF$8:$AF$373)</f>
        <v>4000</v>
      </c>
      <c r="H10" s="26">
        <f>SUMIF('Landing Sheet'!$H$8:$H$373, H$4, 'Landing Sheet'!$AF$8:$AF$373)</f>
        <v>4000</v>
      </c>
      <c r="I10" s="26">
        <f>SUMIF('Landing Sheet'!$H$8:$H$373, I$4, 'Landing Sheet'!$AF$8:$AF$373)</f>
        <v>5000</v>
      </c>
      <c r="J10" s="26">
        <f>SUMIF('Landing Sheet'!$H$8:$H$373, J$4, 'Landing Sheet'!$AF$8:$AF$373)</f>
        <v>4000</v>
      </c>
      <c r="K10" s="26">
        <f>SUMIF('Landing Sheet'!$H$8:$H$373, K$4, 'Landing Sheet'!$AF$8:$AF$373)</f>
        <v>5000</v>
      </c>
      <c r="L10" s="26">
        <f>SUMIF('Landing Sheet'!$H$8:$H$373, L$4, 'Landing Sheet'!$AF$8:$AF$373)</f>
        <v>4000</v>
      </c>
      <c r="M10" s="26">
        <f>SUMIF('Landing Sheet'!$H$8:$H$373, M$4, 'Landing Sheet'!$AF$8:$AF$373)</f>
        <v>4000</v>
      </c>
      <c r="N10" s="26">
        <f>SUMIF('Landing Sheet'!$H$8:$H$373, N$4, 'Landing Sheet'!$AF$8:$AF$373)</f>
        <v>5000</v>
      </c>
      <c r="O10" s="26">
        <f>SUMIF('Landing Sheet'!$H$8:$H$373, O$4, 'Landing Sheet'!$AF$8:$AF$373)</f>
        <v>4000</v>
      </c>
      <c r="P10" s="26">
        <f>SUMIF('Landing Sheet'!$H$8:$H$373, P$4, 'Landing Sheet'!$AF$8:$AF$373)</f>
        <v>4000</v>
      </c>
      <c r="Q10" s="26">
        <f t="shared" si="0"/>
        <v>53000</v>
      </c>
    </row>
    <row r="11" spans="4:17" x14ac:dyDescent="0.2">
      <c r="D11" s="1" t="s">
        <v>47</v>
      </c>
      <c r="E11" s="26">
        <f>SUMIF('Landing Sheet'!$H$8:$H$373, E$4, 'Landing Sheet'!$AG$8:$AG$373)</f>
        <v>300</v>
      </c>
      <c r="F11" s="26">
        <f>SUMIF('Landing Sheet'!$H$8:$H$373, F$4, 'Landing Sheet'!$AG$8:$AG$373)</f>
        <v>300</v>
      </c>
      <c r="G11" s="26">
        <f>SUMIF('Landing Sheet'!$H$8:$H$373, G$4, 'Landing Sheet'!$AG$8:$AG$373)</f>
        <v>300</v>
      </c>
      <c r="H11" s="26">
        <f>SUMIF('Landing Sheet'!$H$8:$H$373, H$4, 'Landing Sheet'!$AG$8:$AG$373)</f>
        <v>300</v>
      </c>
      <c r="I11" s="26">
        <f>SUMIF('Landing Sheet'!$H$8:$H$373, I$4, 'Landing Sheet'!$AG$8:$AG$373)</f>
        <v>300</v>
      </c>
      <c r="J11" s="26">
        <f>SUMIF('Landing Sheet'!$H$8:$H$373, J$4, 'Landing Sheet'!$AG$8:$AG$373)</f>
        <v>300</v>
      </c>
      <c r="K11" s="26">
        <f>SUMIF('Landing Sheet'!$H$8:$H$373, K$4, 'Landing Sheet'!$AG$8:$AG$373)</f>
        <v>300</v>
      </c>
      <c r="L11" s="26">
        <f>SUMIF('Landing Sheet'!$H$8:$H$373, L$4, 'Landing Sheet'!$AG$8:$AG$373)</f>
        <v>300</v>
      </c>
      <c r="M11" s="26">
        <f>SUMIF('Landing Sheet'!$H$8:$H$373, M$4, 'Landing Sheet'!$AG$8:$AG$373)</f>
        <v>300</v>
      </c>
      <c r="N11" s="26">
        <f>SUMIF('Landing Sheet'!$H$8:$H$373, N$4, 'Landing Sheet'!$AG$8:$AG$373)</f>
        <v>300</v>
      </c>
      <c r="O11" s="26">
        <f>SUMIF('Landing Sheet'!$H$8:$H$373, O$4, 'Landing Sheet'!$AG$8:$AG$373)</f>
        <v>300</v>
      </c>
      <c r="P11" s="26">
        <f>SUMIF('Landing Sheet'!$H$8:$H$373, P$4, 'Landing Sheet'!$AG$8:$AG$373)</f>
        <v>300</v>
      </c>
      <c r="Q11" s="26">
        <f t="shared" si="0"/>
        <v>3600</v>
      </c>
    </row>
    <row r="12" spans="4:17" x14ac:dyDescent="0.2">
      <c r="D12" s="1" t="s">
        <v>48</v>
      </c>
      <c r="E12" s="26">
        <f>SUMIF('Landing Sheet'!$H$8:$H$373, E$4, 'Landing Sheet'!$AH$8:$AH$373)</f>
        <v>300</v>
      </c>
      <c r="F12" s="26">
        <f>SUMIF('Landing Sheet'!$H$8:$H$373, F$4, 'Landing Sheet'!$AH$8:$AH$373)</f>
        <v>300</v>
      </c>
      <c r="G12" s="26">
        <f>SUMIF('Landing Sheet'!$H$8:$H$373, G$4, 'Landing Sheet'!$AH$8:$AH$373)</f>
        <v>300</v>
      </c>
      <c r="H12" s="26">
        <f>SUMIF('Landing Sheet'!$H$8:$H$373, H$4, 'Landing Sheet'!$AH$8:$AH$373)</f>
        <v>300</v>
      </c>
      <c r="I12" s="26">
        <f>SUMIF('Landing Sheet'!$H$8:$H$373, I$4, 'Landing Sheet'!$AH$8:$AH$373)</f>
        <v>300</v>
      </c>
      <c r="J12" s="26">
        <f>SUMIF('Landing Sheet'!$H$8:$H$373, J$4, 'Landing Sheet'!$AH$8:$AH$373)</f>
        <v>300</v>
      </c>
      <c r="K12" s="26">
        <f>SUMIF('Landing Sheet'!$H$8:$H$373, K$4, 'Landing Sheet'!$AH$8:$AH$373)</f>
        <v>300</v>
      </c>
      <c r="L12" s="26">
        <f>SUMIF('Landing Sheet'!$H$8:$H$373, L$4, 'Landing Sheet'!$AH$8:$AH$373)</f>
        <v>300</v>
      </c>
      <c r="M12" s="26">
        <f>SUMIF('Landing Sheet'!$H$8:$H$373, M$4, 'Landing Sheet'!$AH$8:$AH$373)</f>
        <v>300</v>
      </c>
      <c r="N12" s="26">
        <f>SUMIF('Landing Sheet'!$H$8:$H$373, N$4, 'Landing Sheet'!$AH$8:$AH$373)</f>
        <v>300</v>
      </c>
      <c r="O12" s="26">
        <f>SUMIF('Landing Sheet'!$H$8:$H$373, O$4, 'Landing Sheet'!$AH$8:$AH$373)</f>
        <v>300</v>
      </c>
      <c r="P12" s="26">
        <f>SUMIF('Landing Sheet'!$H$8:$H$373, P$4, 'Landing Sheet'!$AH$8:$AH$373)</f>
        <v>300</v>
      </c>
      <c r="Q12" s="26">
        <f t="shared" si="0"/>
        <v>3600</v>
      </c>
    </row>
    <row r="13" spans="4:17" x14ac:dyDescent="0.2">
      <c r="D13" s="1" t="s">
        <v>49</v>
      </c>
      <c r="E13" s="26">
        <f>SUMIF('Landing Sheet'!$H$8:$H$373, E$4, 'Landing Sheet'!$AI$8:$AI$373)</f>
        <v>100</v>
      </c>
      <c r="F13" s="26">
        <f>SUMIF('Landing Sheet'!$H$8:$H$373, F$4, 'Landing Sheet'!$AI$8:$AI$373)</f>
        <v>100</v>
      </c>
      <c r="G13" s="26">
        <f>SUMIF('Landing Sheet'!$H$8:$H$373, G$4, 'Landing Sheet'!$AI$8:$AI$373)</f>
        <v>100</v>
      </c>
      <c r="H13" s="26">
        <f>SUMIF('Landing Sheet'!$H$8:$H$373, H$4, 'Landing Sheet'!$AI$8:$AI$373)</f>
        <v>100</v>
      </c>
      <c r="I13" s="26">
        <f>SUMIF('Landing Sheet'!$H$8:$H$373, I$4, 'Landing Sheet'!$AI$8:$AI$373)</f>
        <v>100</v>
      </c>
      <c r="J13" s="26">
        <f>SUMIF('Landing Sheet'!$H$8:$H$373, J$4, 'Landing Sheet'!$AI$8:$AI$373)</f>
        <v>100</v>
      </c>
      <c r="K13" s="26">
        <f>SUMIF('Landing Sheet'!$H$8:$H$373, K$4, 'Landing Sheet'!$AI$8:$AI$373)</f>
        <v>100</v>
      </c>
      <c r="L13" s="26">
        <f>SUMIF('Landing Sheet'!$H$8:$H$373, L$4, 'Landing Sheet'!$AI$8:$AI$373)</f>
        <v>100</v>
      </c>
      <c r="M13" s="26">
        <f>SUMIF('Landing Sheet'!$H$8:$H$373, M$4, 'Landing Sheet'!$AI$8:$AI$373)</f>
        <v>100</v>
      </c>
      <c r="N13" s="26">
        <f>SUMIF('Landing Sheet'!$H$8:$H$373, N$4, 'Landing Sheet'!$AI$8:$AI$373)</f>
        <v>100</v>
      </c>
      <c r="O13" s="26">
        <f>SUMIF('Landing Sheet'!$H$8:$H$373, O$4, 'Landing Sheet'!$AI$8:$AI$373)</f>
        <v>100</v>
      </c>
      <c r="P13" s="26">
        <f>SUMIF('Landing Sheet'!$H$8:$H$373, P$4, 'Landing Sheet'!$AI$8:$AI$373)</f>
        <v>100</v>
      </c>
      <c r="Q13" s="26">
        <f t="shared" si="0"/>
        <v>1200</v>
      </c>
    </row>
    <row r="14" spans="4:17" x14ac:dyDescent="0.2">
      <c r="D14" s="1" t="s">
        <v>58</v>
      </c>
      <c r="E14" s="26">
        <f>SUMIF('Landing Sheet'!$H$8:$H$373, E$4, 'Landing Sheet'!$AJ$8:$AJ$373)</f>
        <v>480</v>
      </c>
      <c r="F14" s="26">
        <f>SUMIF('Landing Sheet'!$H$8:$H$373, F$4, 'Landing Sheet'!$AJ$8:$AJ$373)</f>
        <v>480</v>
      </c>
      <c r="G14" s="26">
        <f>SUMIF('Landing Sheet'!$H$8:$H$373, G$4, 'Landing Sheet'!$AJ$8:$AJ$373)</f>
        <v>480</v>
      </c>
      <c r="H14" s="26">
        <f>SUMIF('Landing Sheet'!$H$8:$H$373, H$4, 'Landing Sheet'!$AJ$8:$AJ$373)</f>
        <v>480</v>
      </c>
      <c r="I14" s="26">
        <f>SUMIF('Landing Sheet'!$H$8:$H$373, I$4, 'Landing Sheet'!$AJ$8:$AJ$373)</f>
        <v>480</v>
      </c>
      <c r="J14" s="26">
        <f>SUMIF('Landing Sheet'!$H$8:$H$373, J$4, 'Landing Sheet'!$AJ$8:$AJ$373)</f>
        <v>480</v>
      </c>
      <c r="K14" s="26">
        <f>SUMIF('Landing Sheet'!$H$8:$H$373, K$4, 'Landing Sheet'!$AJ$8:$AJ$373)</f>
        <v>480</v>
      </c>
      <c r="L14" s="26">
        <f>SUMIF('Landing Sheet'!$H$8:$H$373, L$4, 'Landing Sheet'!$AJ$8:$AJ$373)</f>
        <v>480</v>
      </c>
      <c r="M14" s="26">
        <f>SUMIF('Landing Sheet'!$H$8:$H$373, M$4, 'Landing Sheet'!$AJ$8:$AJ$373)</f>
        <v>480</v>
      </c>
      <c r="N14" s="26">
        <f>SUMIF('Landing Sheet'!$H$8:$H$373, N$4, 'Landing Sheet'!$AJ$8:$AJ$373)</f>
        <v>480</v>
      </c>
      <c r="O14" s="26">
        <f>SUMIF('Landing Sheet'!$H$8:$H$373, O$4, 'Landing Sheet'!$AJ$8:$AJ$373)</f>
        <v>480</v>
      </c>
      <c r="P14" s="26">
        <f>SUMIF('Landing Sheet'!$H$8:$H$373, P$4, 'Landing Sheet'!$AJ$8:$AJ$373)</f>
        <v>480</v>
      </c>
      <c r="Q14" s="26">
        <f t="shared" si="0"/>
        <v>5760</v>
      </c>
    </row>
    <row r="15" spans="4:17" x14ac:dyDescent="0.2">
      <c r="D15" s="1" t="s">
        <v>50</v>
      </c>
      <c r="E15" s="26">
        <f>SUMIF('Landing Sheet'!$H$8:$H$373, E$4, 'Landing Sheet'!$AK$8:$AK$373)</f>
        <v>83</v>
      </c>
      <c r="F15" s="26">
        <f>SUMIF('Landing Sheet'!$H$8:$H$373, F$4, 'Landing Sheet'!$AK$8:$AK$373)</f>
        <v>83</v>
      </c>
      <c r="G15" s="26">
        <f>SUMIF('Landing Sheet'!$H$8:$H$373, G$4, 'Landing Sheet'!$AK$8:$AK$373)</f>
        <v>83</v>
      </c>
      <c r="H15" s="26">
        <f>SUMIF('Landing Sheet'!$H$8:$H$373, H$4, 'Landing Sheet'!$AK$8:$AK$373)</f>
        <v>83</v>
      </c>
      <c r="I15" s="26">
        <f>SUMIF('Landing Sheet'!$H$8:$H$373, I$4, 'Landing Sheet'!$AK$8:$AK$373)</f>
        <v>83</v>
      </c>
      <c r="J15" s="26">
        <f>SUMIF('Landing Sheet'!$H$8:$H$373, J$4, 'Landing Sheet'!$AK$8:$AK$373)</f>
        <v>83</v>
      </c>
      <c r="K15" s="26">
        <f>SUMIF('Landing Sheet'!$H$8:$H$373, K$4, 'Landing Sheet'!$AK$8:$AK$373)</f>
        <v>83</v>
      </c>
      <c r="L15" s="26">
        <f>SUMIF('Landing Sheet'!$H$8:$H$373, L$4, 'Landing Sheet'!$AK$8:$AK$373)</f>
        <v>83</v>
      </c>
      <c r="M15" s="26">
        <f>SUMIF('Landing Sheet'!$H$8:$H$373, M$4, 'Landing Sheet'!$AK$8:$AK$373)</f>
        <v>83</v>
      </c>
      <c r="N15" s="26">
        <f>SUMIF('Landing Sheet'!$H$8:$H$373, N$4, 'Landing Sheet'!$AK$8:$AK$373)</f>
        <v>83</v>
      </c>
      <c r="O15" s="26">
        <f>SUMIF('Landing Sheet'!$H$8:$H$373, O$4, 'Landing Sheet'!$AK$8:$AK$373)</f>
        <v>83</v>
      </c>
      <c r="P15" s="26">
        <f>SUMIF('Landing Sheet'!$H$8:$H$373, P$4, 'Landing Sheet'!$AK$8:$AK$373)</f>
        <v>83</v>
      </c>
      <c r="Q15" s="26">
        <f t="shared" si="0"/>
        <v>996</v>
      </c>
    </row>
    <row r="16" spans="4:17" x14ac:dyDescent="0.2">
      <c r="D16" s="1" t="s">
        <v>59</v>
      </c>
      <c r="E16" s="26">
        <f>SUMIF('Landing Sheet'!$H$8:$H$373, E$4, 'Landing Sheet'!$AL$8:$AL$373)</f>
        <v>1000</v>
      </c>
      <c r="F16" s="26">
        <f>SUMIF('Landing Sheet'!$H$8:$H$373, F$4, 'Landing Sheet'!$AL$8:$AL$373)</f>
        <v>1000</v>
      </c>
      <c r="G16" s="26">
        <f>SUMIF('Landing Sheet'!$H$8:$H$373, G$4, 'Landing Sheet'!$AL$8:$AL$373)</f>
        <v>1000</v>
      </c>
      <c r="H16" s="26">
        <f>SUMIF('Landing Sheet'!$H$8:$H$373, H$4, 'Landing Sheet'!$AL$8:$AL$373)</f>
        <v>1000</v>
      </c>
      <c r="I16" s="26">
        <f>SUMIF('Landing Sheet'!$H$8:$H$373, I$4, 'Landing Sheet'!$AL$8:$AL$373)</f>
        <v>1000</v>
      </c>
      <c r="J16" s="26">
        <f>SUMIF('Landing Sheet'!$H$8:$H$373, J$4, 'Landing Sheet'!$AL$8:$AL$373)</f>
        <v>1000</v>
      </c>
      <c r="K16" s="26">
        <f>SUMIF('Landing Sheet'!$H$8:$H$373, K$4, 'Landing Sheet'!$AL$8:$AL$373)</f>
        <v>1000</v>
      </c>
      <c r="L16" s="26">
        <f>SUMIF('Landing Sheet'!$H$8:$H$373, L$4, 'Landing Sheet'!$AL$8:$AL$373)</f>
        <v>1000</v>
      </c>
      <c r="M16" s="26">
        <f>SUMIF('Landing Sheet'!$H$8:$H$373, M$4, 'Landing Sheet'!$AL$8:$AL$373)</f>
        <v>1000</v>
      </c>
      <c r="N16" s="26">
        <f>SUMIF('Landing Sheet'!$H$8:$H$373, N$4, 'Landing Sheet'!$AL$8:$AL$373)</f>
        <v>1000</v>
      </c>
      <c r="O16" s="26">
        <f>SUMIF('Landing Sheet'!$H$8:$H$373, O$4, 'Landing Sheet'!$AL$8:$AL$373)</f>
        <v>1000</v>
      </c>
      <c r="P16" s="26">
        <f>SUMIF('Landing Sheet'!$H$8:$H$373, P$4, 'Landing Sheet'!$AL$8:$AL$373)</f>
        <v>1000</v>
      </c>
      <c r="Q16" s="26">
        <f t="shared" si="0"/>
        <v>12000</v>
      </c>
    </row>
    <row r="17" spans="4:17" ht="16" thickBot="1" x14ac:dyDescent="0.25">
      <c r="D17" s="1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4:17" ht="16" thickTop="1" x14ac:dyDescent="0.2">
      <c r="D18" s="1" t="s">
        <v>51</v>
      </c>
      <c r="E18" s="26">
        <f>SUM(E9:E16)</f>
        <v>14263</v>
      </c>
      <c r="F18" s="26">
        <f>SUM(F9:F16)</f>
        <v>9263</v>
      </c>
      <c r="G18" s="26">
        <f t="shared" ref="G18:P18" si="2">SUM(G9:G16)</f>
        <v>9263</v>
      </c>
      <c r="H18" s="26">
        <f t="shared" si="2"/>
        <v>9263</v>
      </c>
      <c r="I18" s="26">
        <f t="shared" si="2"/>
        <v>10263</v>
      </c>
      <c r="J18" s="26">
        <f t="shared" si="2"/>
        <v>9263</v>
      </c>
      <c r="K18" s="26">
        <f t="shared" si="2"/>
        <v>10263</v>
      </c>
      <c r="L18" s="26">
        <f t="shared" si="2"/>
        <v>9263</v>
      </c>
      <c r="M18" s="26">
        <f t="shared" si="2"/>
        <v>9263</v>
      </c>
      <c r="N18" s="26">
        <f t="shared" si="2"/>
        <v>10263</v>
      </c>
      <c r="O18" s="26">
        <f t="shared" si="2"/>
        <v>9263</v>
      </c>
      <c r="P18" s="26">
        <f t="shared" si="2"/>
        <v>9263</v>
      </c>
      <c r="Q18" s="26">
        <f>SUM(Q9:Q16)</f>
        <v>119156</v>
      </c>
    </row>
    <row r="19" spans="4:17" x14ac:dyDescent="0.2">
      <c r="D19" s="1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4:17" x14ac:dyDescent="0.2">
      <c r="D20" s="1" t="s">
        <v>60</v>
      </c>
      <c r="E20" s="26">
        <f>E7-E18</f>
        <v>-3964.1563011890612</v>
      </c>
      <c r="F20" s="26">
        <f>F7-F18</f>
        <v>-914.60605200279679</v>
      </c>
      <c r="G20" s="26">
        <f t="shared" ref="G20:Q20" si="3">G7-G18</f>
        <v>-1127.0347910224482</v>
      </c>
      <c r="H20" s="26">
        <f t="shared" si="3"/>
        <v>1896.1426575179248</v>
      </c>
      <c r="I20" s="26">
        <f t="shared" si="3"/>
        <v>3701.96617596742</v>
      </c>
      <c r="J20" s="26">
        <f t="shared" si="3"/>
        <v>-141.20126087975041</v>
      </c>
      <c r="K20" s="26">
        <f t="shared" si="3"/>
        <v>-279.82559463318466</v>
      </c>
      <c r="L20" s="26">
        <f t="shared" si="3"/>
        <v>2377.4259730063332</v>
      </c>
      <c r="M20" s="26">
        <f t="shared" si="3"/>
        <v>-110.61500485842771</v>
      </c>
      <c r="N20" s="26">
        <f t="shared" si="3"/>
        <v>-299.34934746233739</v>
      </c>
      <c r="O20" s="26">
        <f t="shared" si="3"/>
        <v>1176.6014817000741</v>
      </c>
      <c r="P20" s="26">
        <f t="shared" si="3"/>
        <v>2442.0522186909729</v>
      </c>
      <c r="Q20" s="26">
        <f t="shared" si="3"/>
        <v>4757.4001548347296</v>
      </c>
    </row>
    <row r="27" spans="4:17" x14ac:dyDescent="0.2">
      <c r="E27" s="1"/>
    </row>
    <row r="28" spans="4:17" x14ac:dyDescent="0.2">
      <c r="E28" s="1"/>
    </row>
    <row r="29" spans="4:17" x14ac:dyDescent="0.2">
      <c r="E29" s="1"/>
    </row>
    <row r="30" spans="4:17" x14ac:dyDescent="0.2">
      <c r="E30" s="1"/>
    </row>
    <row r="31" spans="4:17" x14ac:dyDescent="0.2">
      <c r="E31" s="1"/>
    </row>
    <row r="32" spans="4:17" x14ac:dyDescent="0.2">
      <c r="E32" s="1"/>
    </row>
    <row r="33" spans="5:5" x14ac:dyDescent="0.2">
      <c r="E33" s="1"/>
    </row>
    <row r="34" spans="5:5" x14ac:dyDescent="0.2">
      <c r="E3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008B-BC24-CD40-A417-7F73381E9915}">
  <dimension ref="B7:P25"/>
  <sheetViews>
    <sheetView showGridLines="0" workbookViewId="0">
      <selection activeCell="N28" sqref="N28"/>
    </sheetView>
  </sheetViews>
  <sheetFormatPr baseColWidth="10" defaultRowHeight="15" x14ac:dyDescent="0.2"/>
  <cols>
    <col min="3" max="11" width="8.6640625" bestFit="1" customWidth="1"/>
    <col min="12" max="12" width="11.1640625" bestFit="1" customWidth="1"/>
    <col min="13" max="13" width="8.6640625" bestFit="1" customWidth="1"/>
    <col min="14" max="14" width="9.6640625" bestFit="1" customWidth="1"/>
    <col min="15" max="15" width="12.1640625" bestFit="1" customWidth="1"/>
  </cols>
  <sheetData>
    <row r="7" spans="2:16" x14ac:dyDescent="0.2">
      <c r="B7" s="31" t="s">
        <v>55</v>
      </c>
      <c r="C7" s="31" t="s">
        <v>64</v>
      </c>
      <c r="D7" s="31" t="s">
        <v>65</v>
      </c>
      <c r="E7" s="31" t="s">
        <v>66</v>
      </c>
      <c r="F7" s="31" t="s">
        <v>67</v>
      </c>
      <c r="G7" s="31" t="s">
        <v>21</v>
      </c>
      <c r="H7" s="31" t="s">
        <v>68</v>
      </c>
      <c r="I7" s="31" t="s">
        <v>69</v>
      </c>
      <c r="J7" s="31" t="s">
        <v>70</v>
      </c>
      <c r="K7" s="31" t="s">
        <v>71</v>
      </c>
      <c r="L7" s="31" t="s">
        <v>72</v>
      </c>
      <c r="M7" s="31" t="s">
        <v>73</v>
      </c>
      <c r="N7" s="31" t="s">
        <v>74</v>
      </c>
      <c r="O7" s="31" t="s">
        <v>75</v>
      </c>
    </row>
    <row r="8" spans="2:16" x14ac:dyDescent="0.2">
      <c r="B8" s="1" t="s">
        <v>31</v>
      </c>
      <c r="C8" s="19">
        <v>16247.761499250373</v>
      </c>
      <c r="D8" s="19">
        <v>49837.899018694799</v>
      </c>
      <c r="E8" s="19">
        <v>29472.759537629794</v>
      </c>
      <c r="F8" s="19">
        <v>38584.25228583518</v>
      </c>
      <c r="G8" s="19">
        <v>48394.142861397304</v>
      </c>
      <c r="H8" s="19">
        <v>24092.515608419606</v>
      </c>
      <c r="I8" s="19">
        <v>20031.092148572869</v>
      </c>
      <c r="J8" s="19">
        <v>26613.42495737784</v>
      </c>
      <c r="K8" s="19">
        <v>24072.547333083869</v>
      </c>
      <c r="L8" s="19">
        <v>20471.915863105485</v>
      </c>
      <c r="M8" s="19">
        <v>21162.034072503626</v>
      </c>
      <c r="N8" s="19">
        <v>31185.085025376065</v>
      </c>
      <c r="O8" s="19">
        <v>344165.43021124683</v>
      </c>
      <c r="P8" s="19"/>
    </row>
    <row r="9" spans="2:16" x14ac:dyDescent="0.2">
      <c r="B9" s="1" t="s">
        <v>42</v>
      </c>
      <c r="C9" s="19">
        <v>5948.9178004394334</v>
      </c>
      <c r="D9" s="19">
        <v>35489.505070697596</v>
      </c>
      <c r="E9" s="19">
        <v>21336.794328652242</v>
      </c>
      <c r="F9" s="19">
        <v>27425.109628317256</v>
      </c>
      <c r="G9" s="19">
        <v>34429.176685429884</v>
      </c>
      <c r="H9" s="19">
        <v>14970.716869299356</v>
      </c>
      <c r="I9" s="19">
        <v>10047.917743206053</v>
      </c>
      <c r="J9" s="19">
        <v>14972.998984371507</v>
      </c>
      <c r="K9" s="19">
        <v>14920.162337942296</v>
      </c>
      <c r="L9" s="19">
        <v>10508.265210567823</v>
      </c>
      <c r="M9" s="19">
        <v>10722.432590803552</v>
      </c>
      <c r="N9" s="19">
        <v>19480.032806685093</v>
      </c>
      <c r="O9" s="19">
        <v>220252.0300564121</v>
      </c>
      <c r="P9" s="19"/>
    </row>
    <row r="10" spans="2:16" x14ac:dyDescent="0.2">
      <c r="B10" s="1" t="s">
        <v>43</v>
      </c>
      <c r="C10" s="19">
        <v>10298.843698810939</v>
      </c>
      <c r="D10" s="19">
        <f>D8-D9</f>
        <v>14348.393947997203</v>
      </c>
      <c r="E10" s="19">
        <v>8135.9652089775518</v>
      </c>
      <c r="F10" s="19">
        <v>11159.142657517925</v>
      </c>
      <c r="G10" s="19">
        <v>13964.96617596742</v>
      </c>
      <c r="H10" s="19">
        <v>9121.7987391202496</v>
      </c>
      <c r="I10" s="19">
        <v>9983.1744053668153</v>
      </c>
      <c r="J10" s="19">
        <v>11640.425973006333</v>
      </c>
      <c r="K10" s="19">
        <v>9152.3849951415723</v>
      </c>
      <c r="L10" s="19">
        <v>9963.6506525376626</v>
      </c>
      <c r="M10" s="19">
        <v>10439.601481700074</v>
      </c>
      <c r="N10" s="19">
        <v>11705.052218690973</v>
      </c>
      <c r="O10" s="19">
        <v>123913.40015483473</v>
      </c>
      <c r="P10" s="19"/>
    </row>
    <row r="11" spans="2:16" x14ac:dyDescent="0.2">
      <c r="B11" s="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2:16" x14ac:dyDescent="0.2">
      <c r="B12" s="1" t="s">
        <v>57</v>
      </c>
      <c r="C12" s="19">
        <v>6000</v>
      </c>
      <c r="D12" s="19">
        <v>3000</v>
      </c>
      <c r="E12" s="19">
        <v>3000</v>
      </c>
      <c r="F12" s="19">
        <v>3000</v>
      </c>
      <c r="G12" s="19">
        <v>3000</v>
      </c>
      <c r="H12" s="19">
        <v>3000</v>
      </c>
      <c r="I12" s="19">
        <v>3000</v>
      </c>
      <c r="J12" s="19">
        <v>3000</v>
      </c>
      <c r="K12" s="19">
        <v>3000</v>
      </c>
      <c r="L12" s="19">
        <v>3000</v>
      </c>
      <c r="M12" s="19">
        <v>3000</v>
      </c>
      <c r="N12" s="19">
        <v>3000</v>
      </c>
      <c r="O12" s="19">
        <v>39000</v>
      </c>
      <c r="P12" s="19"/>
    </row>
    <row r="13" spans="2:16" x14ac:dyDescent="0.2">
      <c r="B13" s="1" t="s">
        <v>63</v>
      </c>
      <c r="C13" s="19">
        <v>6000</v>
      </c>
      <c r="D13" s="19">
        <v>4000</v>
      </c>
      <c r="E13" s="19">
        <v>4000</v>
      </c>
      <c r="F13" s="19">
        <v>4000</v>
      </c>
      <c r="G13" s="19">
        <v>5000</v>
      </c>
      <c r="H13" s="19">
        <v>4000</v>
      </c>
      <c r="I13" s="19">
        <v>5000</v>
      </c>
      <c r="J13" s="19">
        <v>4000</v>
      </c>
      <c r="K13" s="19">
        <v>4000</v>
      </c>
      <c r="L13" s="19">
        <v>5000</v>
      </c>
      <c r="M13" s="19">
        <v>4000</v>
      </c>
      <c r="N13" s="19">
        <v>4000</v>
      </c>
      <c r="O13" s="19">
        <v>53000</v>
      </c>
      <c r="P13" s="19"/>
    </row>
    <row r="14" spans="2:16" x14ac:dyDescent="0.2">
      <c r="B14" s="1" t="s">
        <v>47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3600</v>
      </c>
      <c r="P14" s="19"/>
    </row>
    <row r="15" spans="2:16" x14ac:dyDescent="0.2">
      <c r="B15" s="1" t="s">
        <v>48</v>
      </c>
      <c r="C15" s="19">
        <v>300</v>
      </c>
      <c r="D15" s="19">
        <v>300</v>
      </c>
      <c r="E15" s="19">
        <v>300</v>
      </c>
      <c r="F15" s="19">
        <v>300</v>
      </c>
      <c r="G15" s="19">
        <v>300</v>
      </c>
      <c r="H15" s="19">
        <v>300</v>
      </c>
      <c r="I15" s="19">
        <v>300</v>
      </c>
      <c r="J15" s="19">
        <v>300</v>
      </c>
      <c r="K15" s="19">
        <v>300</v>
      </c>
      <c r="L15" s="19">
        <v>300</v>
      </c>
      <c r="M15" s="19">
        <v>300</v>
      </c>
      <c r="N15" s="19">
        <v>300</v>
      </c>
      <c r="O15" s="19">
        <v>3600</v>
      </c>
    </row>
    <row r="16" spans="2:16" x14ac:dyDescent="0.2">
      <c r="B16" s="1" t="s">
        <v>49</v>
      </c>
      <c r="C16" s="19">
        <v>100</v>
      </c>
      <c r="D16" s="19">
        <v>100</v>
      </c>
      <c r="E16" s="19">
        <v>100</v>
      </c>
      <c r="F16" s="19">
        <v>100</v>
      </c>
      <c r="G16" s="19">
        <v>100</v>
      </c>
      <c r="H16" s="19">
        <v>100</v>
      </c>
      <c r="I16" s="19">
        <v>100</v>
      </c>
      <c r="J16" s="19">
        <v>100</v>
      </c>
      <c r="K16" s="19">
        <v>100</v>
      </c>
      <c r="L16" s="19">
        <v>100</v>
      </c>
      <c r="M16" s="19">
        <v>100</v>
      </c>
      <c r="N16" s="19">
        <v>100</v>
      </c>
      <c r="O16" s="19">
        <v>1200</v>
      </c>
    </row>
    <row r="17" spans="2:15" x14ac:dyDescent="0.2">
      <c r="B17" s="1" t="s">
        <v>58</v>
      </c>
      <c r="C17" s="19">
        <v>480</v>
      </c>
      <c r="D17" s="19">
        <v>480</v>
      </c>
      <c r="E17" s="19">
        <v>480</v>
      </c>
      <c r="F17" s="19">
        <v>480</v>
      </c>
      <c r="G17" s="19">
        <v>480</v>
      </c>
      <c r="H17" s="19">
        <v>480</v>
      </c>
      <c r="I17" s="19">
        <v>480</v>
      </c>
      <c r="J17" s="19">
        <v>480</v>
      </c>
      <c r="K17" s="19">
        <v>480</v>
      </c>
      <c r="L17" s="19">
        <v>480</v>
      </c>
      <c r="M17" s="19">
        <v>480</v>
      </c>
      <c r="N17" s="19">
        <v>480</v>
      </c>
      <c r="O17" s="19">
        <v>5760</v>
      </c>
    </row>
    <row r="18" spans="2:15" x14ac:dyDescent="0.2">
      <c r="B18" s="1" t="s">
        <v>50</v>
      </c>
      <c r="C18" s="19">
        <v>83</v>
      </c>
      <c r="D18" s="19">
        <v>83</v>
      </c>
      <c r="E18" s="19">
        <v>83</v>
      </c>
      <c r="F18" s="19">
        <v>83</v>
      </c>
      <c r="G18" s="19">
        <v>83</v>
      </c>
      <c r="H18" s="19">
        <v>83</v>
      </c>
      <c r="I18" s="19">
        <v>83</v>
      </c>
      <c r="J18" s="19">
        <v>83</v>
      </c>
      <c r="K18" s="19">
        <v>83</v>
      </c>
      <c r="L18" s="19">
        <v>83</v>
      </c>
      <c r="M18" s="19">
        <v>83</v>
      </c>
      <c r="N18" s="19">
        <v>83</v>
      </c>
      <c r="O18" s="19">
        <v>996</v>
      </c>
    </row>
    <row r="19" spans="2:15" x14ac:dyDescent="0.2">
      <c r="B19" s="1" t="s">
        <v>59</v>
      </c>
      <c r="C19" s="19">
        <v>1000</v>
      </c>
      <c r="D19" s="19">
        <v>1000</v>
      </c>
      <c r="E19" s="19">
        <v>1000</v>
      </c>
      <c r="F19" s="19">
        <v>1000</v>
      </c>
      <c r="G19" s="19">
        <v>1000</v>
      </c>
      <c r="H19" s="19">
        <v>1000</v>
      </c>
      <c r="I19" s="19">
        <v>1000</v>
      </c>
      <c r="J19" s="19">
        <v>1000</v>
      </c>
      <c r="K19" s="19">
        <v>1000</v>
      </c>
      <c r="L19" s="19">
        <v>1000</v>
      </c>
      <c r="M19" s="19">
        <v>1000</v>
      </c>
      <c r="N19" s="19">
        <v>1000</v>
      </c>
      <c r="O19" s="19">
        <v>12000</v>
      </c>
    </row>
    <row r="20" spans="2:15" x14ac:dyDescent="0.2">
      <c r="B20" s="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2:15" ht="16" thickBot="1" x14ac:dyDescent="0.25">
      <c r="B21" s="1" t="s">
        <v>51</v>
      </c>
      <c r="C21" s="30">
        <v>14263</v>
      </c>
      <c r="D21" s="30">
        <v>9263</v>
      </c>
      <c r="E21" s="30">
        <v>9263</v>
      </c>
      <c r="F21" s="30">
        <v>9263</v>
      </c>
      <c r="G21" s="30">
        <v>10263</v>
      </c>
      <c r="H21" s="30">
        <v>9263</v>
      </c>
      <c r="I21" s="30">
        <v>10263</v>
      </c>
      <c r="J21" s="30">
        <v>9263</v>
      </c>
      <c r="K21" s="30">
        <v>9263</v>
      </c>
      <c r="L21" s="30">
        <v>10263</v>
      </c>
      <c r="M21" s="30">
        <v>9263</v>
      </c>
      <c r="N21" s="30">
        <v>9263</v>
      </c>
      <c r="O21" s="30">
        <v>119156</v>
      </c>
    </row>
    <row r="22" spans="2:15" ht="16" thickTop="1" x14ac:dyDescent="0.2">
      <c r="B22" s="1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2:15" x14ac:dyDescent="0.2">
      <c r="B23" s="1" t="s">
        <v>76</v>
      </c>
      <c r="C23" s="32">
        <v>-3964.1563011890612</v>
      </c>
      <c r="D23" s="32">
        <f>D10-D21</f>
        <v>5085.3939479972032</v>
      </c>
      <c r="E23" s="32">
        <v>-1127.0347910224482</v>
      </c>
      <c r="F23" s="32">
        <v>1896.1426575179248</v>
      </c>
      <c r="G23" s="32">
        <v>3701.96617596742</v>
      </c>
      <c r="H23" s="32">
        <v>-141.20126087975041</v>
      </c>
      <c r="I23" s="32">
        <v>-279.82559463318466</v>
      </c>
      <c r="J23" s="32">
        <v>2377.4259730063332</v>
      </c>
      <c r="K23" s="32">
        <v>-110.61500485842771</v>
      </c>
      <c r="L23" s="32">
        <v>-299.34934746233739</v>
      </c>
      <c r="M23" s="32">
        <v>1176.6014817000741</v>
      </c>
      <c r="N23" s="32">
        <v>2442.0522186909729</v>
      </c>
      <c r="O23" s="19">
        <v>4757.4001548347296</v>
      </c>
    </row>
    <row r="24" spans="2:15" x14ac:dyDescent="0.2">
      <c r="C24" s="19"/>
      <c r="D24" s="19"/>
      <c r="E24" s="19"/>
    </row>
    <row r="25" spans="2:15" x14ac:dyDescent="0.2">
      <c r="C25" s="19"/>
      <c r="D25" s="19"/>
      <c r="E25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BB761E6025F459AF5806B1112056B" ma:contentTypeVersion="19" ma:contentTypeDescription="Create a new document." ma:contentTypeScope="" ma:versionID="4f474fb2751624a6b156eac8d55c67c1">
  <xsd:schema xmlns:xsd="http://www.w3.org/2001/XMLSchema" xmlns:xs="http://www.w3.org/2001/XMLSchema" xmlns:p="http://schemas.microsoft.com/office/2006/metadata/properties" xmlns:ns1="http://schemas.microsoft.com/sharepoint/v3" xmlns:ns3="535ce27b-597e-4f45-915d-70e6fdeca807" xmlns:ns4="bc7c48b3-6b8e-4fdc-ac6b-94c03e4dab8e" targetNamespace="http://schemas.microsoft.com/office/2006/metadata/properties" ma:root="true" ma:fieldsID="f9dee1151ec32f68c6623656ce7d0211" ns1:_="" ns3:_="" ns4:_="">
    <xsd:import namespace="http://schemas.microsoft.com/sharepoint/v3"/>
    <xsd:import namespace="535ce27b-597e-4f45-915d-70e6fdeca807"/>
    <xsd:import namespace="bc7c48b3-6b8e-4fdc-ac6b-94c03e4dab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ce27b-597e-4f45-915d-70e6fdeca8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c48b3-6b8e-4fdc-ac6b-94c03e4dab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535ce27b-597e-4f45-915d-70e6fdeca807" xsi:nil="true"/>
  </documentManagement>
</p:properties>
</file>

<file path=customXml/itemProps1.xml><?xml version="1.0" encoding="utf-8"?>
<ds:datastoreItem xmlns:ds="http://schemas.openxmlformats.org/officeDocument/2006/customXml" ds:itemID="{F542F181-BC33-42CE-AE86-F81D1A13B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470587-D65D-40DA-A3C4-7308888D7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5ce27b-597e-4f45-915d-70e6fdeca807"/>
    <ds:schemaRef ds:uri="bc7c48b3-6b8e-4fdc-ac6b-94c03e4da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E4D0F1-AE8E-4570-9DF4-BD4A525754A1}">
  <ds:schemaRefs>
    <ds:schemaRef ds:uri="http://www.w3.org/XML/1998/namespace"/>
    <ds:schemaRef ds:uri="bc7c48b3-6b8e-4fdc-ac6b-94c03e4dab8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535ce27b-597e-4f45-915d-70e6fdeca80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Landing Sheet</vt:lpstr>
      <vt:lpstr>flatfeet</vt:lpstr>
      <vt:lpstr>Chance</vt:lpstr>
      <vt:lpstr>Assessment Sheet</vt:lpstr>
      <vt:lpstr>Pivot Tabels</vt:lpstr>
      <vt:lpstr>P&amp;L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Nolan Szuch</cp:lastModifiedBy>
  <dcterms:created xsi:type="dcterms:W3CDTF">2022-01-12T16:47:13Z</dcterms:created>
  <dcterms:modified xsi:type="dcterms:W3CDTF">2026-05-08T00:29:44Z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0x010100E20BB761E6025F459AF5806B1112056B</vt:lpwstr>
  </property>
</Properties>
</file>